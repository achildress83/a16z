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\Flatiron\a16z\"/>
    </mc:Choice>
  </mc:AlternateContent>
  <xr:revisionPtr revIDLastSave="0" documentId="13_ncr:1_{F03CBB5A-1991-42D0-8D39-84FD859550F6}" xr6:coauthVersionLast="45" xr6:coauthVersionMax="45" xr10:uidLastSave="{00000000-0000-0000-0000-000000000000}"/>
  <bookViews>
    <workbookView xWindow="-108" yWindow="-108" windowWidth="23256" windowHeight="12576" firstSheet="1" activeTab="1" xr2:uid="{6B4A9976-D789-42BA-A63F-C6C4DCE35C67}"/>
  </bookViews>
  <sheets>
    <sheet name="defi_score" sheetId="1" r:id="rId1"/>
    <sheet name="tvl_pivot" sheetId="5" r:id="rId2"/>
    <sheet name="commits_pivot" sheetId="8" r:id="rId3"/>
    <sheet name="users_pivot" sheetId="9" r:id="rId4"/>
    <sheet name="unique_address_data" sheetId="6" r:id="rId5"/>
    <sheet name="tvl_data" sheetId="4" r:id="rId6"/>
    <sheet name="github_data" sheetId="7" r:id="rId7"/>
  </sheets>
  <definedNames>
    <definedName name="user_data">Table4[]</definedName>
  </definedNames>
  <calcPr calcId="191029"/>
  <pivotCaches>
    <pivotCache cacheId="3" r:id="rId8"/>
    <pivotCache cacheId="11" r:id="rId9"/>
    <pivotCache cacheId="31" r:id="rId10"/>
    <pivotCache cacheId="34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9" l="1"/>
  <c r="H53" i="9"/>
  <c r="G53" i="9"/>
  <c r="E34" i="8"/>
  <c r="E33" i="8"/>
</calcChain>
</file>

<file path=xl/sharedStrings.xml><?xml version="1.0" encoding="utf-8"?>
<sst xmlns="http://schemas.openxmlformats.org/spreadsheetml/2006/main" count="5738" uniqueCount="1511">
  <si>
    <t>Compound</t>
  </si>
  <si>
    <t>dYdX</t>
  </si>
  <si>
    <t>bZx</t>
  </si>
  <si>
    <t>Nuo</t>
  </si>
  <si>
    <t>DDEX</t>
  </si>
  <si>
    <t>Aave</t>
  </si>
  <si>
    <t>Oasis</t>
  </si>
  <si>
    <t>DAI</t>
  </si>
  <si>
    <t>SAI</t>
  </si>
  <si>
    <t>USDC</t>
  </si>
  <si>
    <t>ETH</t>
  </si>
  <si>
    <t>WBTC</t>
  </si>
  <si>
    <t>REP</t>
  </si>
  <si>
    <t>MKR</t>
  </si>
  <si>
    <t>ZRX</t>
  </si>
  <si>
    <t>BAT</t>
  </si>
  <si>
    <t>KNC</t>
  </si>
  <si>
    <t>LEND</t>
  </si>
  <si>
    <t>LINK</t>
  </si>
  <si>
    <t>SNX</t>
  </si>
  <si>
    <t>TUSD</t>
  </si>
  <si>
    <t>USDT</t>
  </si>
  <si>
    <t>SUSD</t>
  </si>
  <si>
    <t>-</t>
  </si>
  <si>
    <t>BTC</t>
  </si>
  <si>
    <t>tvlETH</t>
  </si>
  <si>
    <t>tvlUSD</t>
  </si>
  <si>
    <t>date</t>
  </si>
  <si>
    <t>DAI_comp</t>
  </si>
  <si>
    <t>ETH_comp</t>
  </si>
  <si>
    <t>BTC_comp</t>
  </si>
  <si>
    <t>tvlETH_comp</t>
  </si>
  <si>
    <t>tvlUSD_comp</t>
  </si>
  <si>
    <t>DAI_all</t>
  </si>
  <si>
    <t>ETH_all</t>
  </si>
  <si>
    <t>BTC_all</t>
  </si>
  <si>
    <t>tvlETH_all</t>
  </si>
  <si>
    <t>tvlUSD_all</t>
  </si>
  <si>
    <t>Grand Total</t>
  </si>
  <si>
    <t>2017</t>
  </si>
  <si>
    <t>2018</t>
  </si>
  <si>
    <t>2019</t>
  </si>
  <si>
    <t>2020</t>
  </si>
  <si>
    <t>Years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</si>
  <si>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</si>
  <si>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</si>
  <si>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</si>
  <si>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</si>
  <si>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</si>
  <si>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</si>
  <si>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</si>
  <si>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</si>
  <si>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</si>
  <si>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</si>
  <si>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</si>
  <si>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</si>
  <si>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</si>
  <si>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</si>
  <si>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</si>
  <si>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</si>
  <si>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</si>
  <si>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</si>
  <si>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</si>
  <si>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</si>
  <si>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</si>
  <si>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</si>
  <si>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</si>
  <si>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</si>
  <si>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</si>
  <si>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</si>
  <si>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</si>
  <si>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</si>
  <si>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</si>
  <si>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</si>
  <si>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</si>
  <si>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</si>
  <si>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</si>
  <si>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</si>
  <si>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</si>
  <si>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</si>
  <si>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</si>
  <si>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</si>
  <si>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</si>
  <si>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</si>
  <si>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</si>
  <si>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</si>
  <si>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</si>
  <si>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</si>
  <si>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</si>
  <si>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</si>
  <si>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</si>
  <si>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</si>
  <si>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</si>
  <si>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</si>
  <si>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</si>
  <si>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</si>
  <si>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</si>
  <si>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</si>
  <si>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</si>
  <si>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</si>
  <si>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</si>
  <si>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</si>
  <si>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</si>
  <si>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</si>
  <si>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</si>
  <si>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</si>
  <si>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</si>
  <si>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</si>
  <si>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</si>
  <si>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</si>
  <si>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</si>
  <si>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</si>
  <si>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</si>
  <si>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</si>
  <si>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</si>
  <si>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</si>
  <si>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</si>
  <si>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</si>
  <si>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</si>
  <si>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</si>
  <si>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</si>
  <si>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</si>
  <si>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</si>
  <si>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</si>
  <si>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</si>
  <si>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</si>
  <si>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</si>
  <si>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</si>
  <si>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</si>
  <si>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</si>
  <si>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</si>
  <si>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</si>
  <si>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</si>
  <si>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</si>
  <si>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</si>
  <si>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</si>
  <si>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</si>
  <si>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</si>
  <si>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4-Apr</t>
  </si>
  <si>
    <t>5-Apr</t>
  </si>
  <si>
    <t>6-Apr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</si>
  <si>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</si>
  <si>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</si>
  <si>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</si>
  <si>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</si>
  <si>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</si>
  <si>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</si>
  <si>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</si>
  <si>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</si>
  <si>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</si>
  <si>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</si>
  <si>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</si>
  <si>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</si>
  <si>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</si>
  <si>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</si>
  <si>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</si>
  <si>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</si>
  <si>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</si>
  <si>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</si>
  <si>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</si>
  <si>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</si>
  <si>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</si>
  <si>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</si>
  <si>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</si>
  <si>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</si>
  <si>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</si>
  <si>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</si>
  <si>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</si>
  <si>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</si>
  <si>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</si>
  <si>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</si>
  <si>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</si>
  <si>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</si>
  <si>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</si>
  <si>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</si>
  <si>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</si>
  <si>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</si>
  <si>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</si>
  <si>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</si>
  <si>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</si>
  <si>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</si>
  <si>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</si>
  <si>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</si>
  <si>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</si>
  <si>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</si>
  <si>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</si>
  <si>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</si>
  <si>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</si>
  <si>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</si>
  <si>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</si>
  <si>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</si>
  <si>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</si>
  <si>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</si>
  <si>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</si>
  <si>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</si>
  <si>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</si>
  <si>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</si>
  <si>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</si>
  <si>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</si>
  <si>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</si>
  <si>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</si>
  <si>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</si>
  <si>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</si>
  <si>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</si>
  <si>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</si>
  <si>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</si>
  <si>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</si>
  <si>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</si>
  <si>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</si>
  <si>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</si>
  <si>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</si>
  <si>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</si>
  <si>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</si>
  <si>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</si>
  <si>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</si>
  <si>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</si>
  <si>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</si>
  <si>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</si>
  <si>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</si>
  <si>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</si>
  <si>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</si>
  <si>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</si>
  <si>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</si>
  <si>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</si>
  <si>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</si>
  <si>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</si>
  <si>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</si>
  <si>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</si>
  <si>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</si>
  <si>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</si>
  <si>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</si>
  <si>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</si>
  <si>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</si>
  <si>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</si>
  <si>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</si>
  <si>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</si>
  <si>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</si>
  <si>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</si>
  <si>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</si>
  <si>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</si>
  <si>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</si>
  <si>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</si>
  <si>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</si>
  <si>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</si>
  <si>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</si>
  <si>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</si>
  <si>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</si>
  <si>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</si>
  <si>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</si>
  <si>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</si>
  <si>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</si>
  <si>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</si>
  <si>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</si>
  <si>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</si>
  <si>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</si>
  <si>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</si>
  <si>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</si>
  <si>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</si>
  <si>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</si>
  <si>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</si>
  <si>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</si>
  <si>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</si>
  <si>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</si>
  <si>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</si>
  <si>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</si>
  <si>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</si>
  <si>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</si>
  <si>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</si>
  <si>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</si>
  <si>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</si>
  <si>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</si>
  <si>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</si>
  <si>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</si>
  <si>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</si>
  <si>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</si>
  <si>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</si>
  <si>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</si>
  <si>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</si>
  <si>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</si>
  <si>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</si>
  <si>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</si>
  <si>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</si>
  <si>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</si>
  <si>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</si>
  <si>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</si>
  <si>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</si>
  <si>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</si>
  <si>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</si>
  <si>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</si>
  <si>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</si>
  <si>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</si>
  <si>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</si>
  <si>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</si>
  <si>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</si>
  <si>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</si>
  <si>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</si>
  <si>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</si>
  <si>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</si>
  <si>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</si>
  <si>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</si>
  <si>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</si>
  <si>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</si>
  <si>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</si>
  <si>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</si>
  <si>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</si>
  <si>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</si>
  <si>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</si>
  <si>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</si>
  <si>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</si>
  <si>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</si>
  <si>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</si>
  <si>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</si>
  <si>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</si>
  <si>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</si>
  <si>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</si>
  <si>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</si>
  <si>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</si>
  <si>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</si>
  <si>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</si>
  <si>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</si>
  <si>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</si>
  <si>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</si>
  <si>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</si>
  <si>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</si>
  <si>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</si>
  <si>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</si>
  <si>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</si>
  <si>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</si>
  <si>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</si>
  <si>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</si>
  <si>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</si>
  <si>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</si>
  <si>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</si>
  <si>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</si>
  <si>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</si>
  <si>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</si>
  <si>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</si>
  <si>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</si>
  <si>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</si>
  <si>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</si>
  <si>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</si>
  <si>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</si>
  <si>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</si>
  <si>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</si>
  <si>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</si>
  <si>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</si>
  <si>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</si>
  <si>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</si>
  <si>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</si>
  <si>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</si>
  <si>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</si>
  <si>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</si>
  <si>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</si>
  <si>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</si>
  <si>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</si>
  <si>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</si>
  <si>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</si>
  <si>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</si>
  <si>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</si>
  <si>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</si>
  <si>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</si>
  <si>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</si>
  <si>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</si>
  <si>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</si>
  <si>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</si>
  <si>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</si>
  <si>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</si>
  <si>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</si>
  <si>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</si>
  <si>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</si>
  <si>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</si>
  <si>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</si>
  <si>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</si>
  <si>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</si>
  <si>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</si>
  <si>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</si>
  <si>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</si>
  <si>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</si>
  <si>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</si>
  <si>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1-Dec</t>
  </si>
  <si>
    <t>2-Dec</t>
  </si>
  <si>
    <t>3-Dec</t>
  </si>
  <si>
    <t>4-Dec</t>
  </si>
  <si>
    <t>5-Dec</t>
  </si>
  <si>
    <t>6-Dec</t>
  </si>
  <si>
    <t>7-Dec</t>
  </si>
  <si>
    <t>8-Dec</t>
  </si>
  <si>
    <t>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</si>
  <si>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</si>
  <si>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</si>
  <si>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</si>
  <si>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</si>
  <si>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</si>
  <si>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</si>
  <si>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</si>
  <si>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</si>
  <si>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</si>
  <si>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</si>
  <si>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</si>
  <si>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</si>
  <si>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</si>
  <si>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</si>
  <si>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</si>
  <si>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</si>
  <si>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</si>
  <si>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</si>
  <si>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</si>
  <si>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</si>
  <si>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</si>
  <si>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</si>
  <si>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count</t>
  </si>
  <si>
    <t>17/08/20 00:00</t>
  </si>
  <si>
    <t>24/08/20 00:00</t>
  </si>
  <si>
    <t>31/08/20 00:00</t>
  </si>
  <si>
    <t>14/09/20 00:00</t>
  </si>
  <si>
    <t>21/09/20 00:00</t>
  </si>
  <si>
    <t>28/09/20 00:00</t>
  </si>
  <si>
    <t>18/05/20 00:00</t>
  </si>
  <si>
    <t>25/05/20 00:00</t>
  </si>
  <si>
    <t>15/06/20 00:00</t>
  </si>
  <si>
    <t>22/06/20 00:00</t>
  </si>
  <si>
    <t>29/06/20 00:00</t>
  </si>
  <si>
    <t>13/07/20 00:00</t>
  </si>
  <si>
    <t>20/07/20 00:00</t>
  </si>
  <si>
    <t>27/07/20 00:00</t>
  </si>
  <si>
    <t>16/03/20 00:00</t>
  </si>
  <si>
    <t>23/03/20 00:00</t>
  </si>
  <si>
    <t>30/03/20 00:00</t>
  </si>
  <si>
    <t>13/04/20 00:00</t>
  </si>
  <si>
    <t>20/04/20 00:00</t>
  </si>
  <si>
    <t>27/04/20 00:00</t>
  </si>
  <si>
    <t>Row Labels</t>
  </si>
  <si>
    <t>Aug</t>
  </si>
  <si>
    <t>Sep</t>
  </si>
  <si>
    <t>Oct</t>
  </si>
  <si>
    <t>Mar</t>
  </si>
  <si>
    <t>Apr</t>
  </si>
  <si>
    <t>May</t>
  </si>
  <si>
    <t>Jun</t>
  </si>
  <si>
    <t>Jul</t>
  </si>
  <si>
    <t>Qtr3</t>
  </si>
  <si>
    <t>Qtr4</t>
  </si>
  <si>
    <t>Qtr1</t>
  </si>
  <si>
    <t>Qtr2</t>
  </si>
  <si>
    <t>share_others</t>
  </si>
  <si>
    <t>share_lend</t>
  </si>
  <si>
    <t>share_comp</t>
  </si>
  <si>
    <t>avg_tvl_others</t>
  </si>
  <si>
    <t>avg_tvl_lend</t>
  </si>
  <si>
    <t>avg_tvl_comp</t>
  </si>
  <si>
    <t>kolya182@gmail.com</t>
  </si>
  <si>
    <t>tokens</t>
  </si>
  <si>
    <t>compound-finance</t>
  </si>
  <si>
    <t>2019-05-15T20:41:53Z</t>
  </si>
  <si>
    <t>2019-05-16T15:42:34Z</t>
  </si>
  <si>
    <t>2019-05-16T15:50:45Z</t>
  </si>
  <si>
    <t>2019-05-16T17:31:29Z</t>
  </si>
  <si>
    <t>2019-05-16T17:58:58Z</t>
  </si>
  <si>
    <t>3277207+kolya182@users.noreply.github.com</t>
  </si>
  <si>
    <t>2019-05-16T22:33:55Z</t>
  </si>
  <si>
    <t>2019-05-17T01:10:23Z</t>
  </si>
  <si>
    <t>2019-05-17T01:10:25Z</t>
  </si>
  <si>
    <t>2019-05-17T05:58:51Z</t>
  </si>
  <si>
    <t>2019-05-17T06:44:47Z</t>
  </si>
  <si>
    <t>2019-05-17T06:47:10Z</t>
  </si>
  <si>
    <t>2019-05-17T20:27:13Z</t>
  </si>
  <si>
    <t>1641795+vikmeup@users.noreply.github.com</t>
  </si>
  <si>
    <t>2019-05-17T20:44:23Z</t>
  </si>
  <si>
    <t>2019-05-17T21:25:45Z</t>
  </si>
  <si>
    <t>2019-05-18T21:31:51Z</t>
  </si>
  <si>
    <t>2019-05-18T21:32:08Z</t>
  </si>
  <si>
    <t>2019-05-18T21:32:23Z</t>
  </si>
  <si>
    <t>2019-05-19T17:03:55Z</t>
  </si>
  <si>
    <t>2019-05-20T16:04:37Z</t>
  </si>
  <si>
    <t>2019-05-20T16:04:55Z</t>
  </si>
  <si>
    <t>2019-05-20T16:05:15Z</t>
  </si>
  <si>
    <t>2019-05-20T16:06:22Z</t>
  </si>
  <si>
    <t>2019-05-20T16:06:54Z</t>
  </si>
  <si>
    <t>2019-05-20T16:26:00Z</t>
  </si>
  <si>
    <t>2019-05-21T00:59:09Z</t>
  </si>
  <si>
    <t>2019-05-22T18:54:02Z</t>
  </si>
  <si>
    <t>2019-05-22T18:54:22Z</t>
  </si>
  <si>
    <t>2019-05-23T13:25:39Z</t>
  </si>
  <si>
    <t>2019-05-23T13:25:58Z</t>
  </si>
  <si>
    <t>2019-05-23T19:45:03Z</t>
  </si>
  <si>
    <t>adam.bavosa@gmail.com</t>
  </si>
  <si>
    <t>token-list</t>
  </si>
  <si>
    <t>2020-08-26T00:34:40Z</t>
  </si>
  <si>
    <t>noreply@github.com</t>
  </si>
  <si>
    <t>2020-08-26T16:02:12Z</t>
  </si>
  <si>
    <t>2020-08-26T16:05:23Z</t>
  </si>
  <si>
    <t>2020-08-26T16:11:19Z</t>
  </si>
  <si>
    <t>2020-08-26T16:16:29Z</t>
  </si>
  <si>
    <t>2020-08-26T16:18:09Z</t>
  </si>
  <si>
    <t>2020-08-26T16:39:38Z</t>
  </si>
  <si>
    <t>2020-08-26T16:40:00Z</t>
  </si>
  <si>
    <t>2020-08-26T16:50:41Z</t>
  </si>
  <si>
    <t>2020-08-26T16:54:46Z</t>
  </si>
  <si>
    <t>2020-08-26T16:55:22Z</t>
  </si>
  <si>
    <t>2020-08-26T17:04:59Z</t>
  </si>
  <si>
    <t>2020-08-26T17:05:55Z</t>
  </si>
  <si>
    <t>2020-08-26T23:33:36Z</t>
  </si>
  <si>
    <t>2020-09-03T20:08:03Z</t>
  </si>
  <si>
    <t>goncalo05@gmail.com</t>
  </si>
  <si>
    <t>solidity-parser-antlr</t>
  </si>
  <si>
    <t>2020-01-10T02:20:50Z</t>
  </si>
  <si>
    <t>2020-01-10T02:24:05Z</t>
  </si>
  <si>
    <t>2020-01-10T02:25:14Z</t>
  </si>
  <si>
    <t>2020-01-10T03:29:57Z</t>
  </si>
  <si>
    <t>2020-01-10T10:21:31Z</t>
  </si>
  <si>
    <t>2020-01-10T11:59:12Z</t>
  </si>
  <si>
    <t>2020-01-10T11:59:27Z</t>
  </si>
  <si>
    <t>2020-01-10T18:31:28Z</t>
  </si>
  <si>
    <t>2020-01-10T18:33:04Z</t>
  </si>
  <si>
    <t>2020-01-11T00:12:53Z</t>
  </si>
  <si>
    <t>2020-01-11T00:14:31Z</t>
  </si>
  <si>
    <t>2020-01-16T01:37:48Z</t>
  </si>
  <si>
    <t>2020-01-16T01:38:04Z</t>
  </si>
  <si>
    <t>victorio.franco@gmail.com</t>
  </si>
  <si>
    <t>2020-01-22T19:44:22Z</t>
  </si>
  <si>
    <t>2020-01-23T19:19:04Z</t>
  </si>
  <si>
    <t>2020-01-31T12:21:39Z</t>
  </si>
  <si>
    <t>2020-02-10T18:52:02Z</t>
  </si>
  <si>
    <t>2020-02-11T00:50:33Z</t>
  </si>
  <si>
    <t>2020-02-11T00:51:46Z</t>
  </si>
  <si>
    <t>2020-02-11T17:10:02Z</t>
  </si>
  <si>
    <t>2020-02-12T23:49:48Z</t>
  </si>
  <si>
    <t>2020-02-12T23:50:16Z</t>
  </si>
  <si>
    <t>2020-02-13T17:43:47Z</t>
  </si>
  <si>
    <t>2020-02-13T18:07:18Z</t>
  </si>
  <si>
    <t>2020-02-27T12:52:09Z</t>
  </si>
  <si>
    <t>2020-02-27T12:52:31Z</t>
  </si>
  <si>
    <t>maurelian@protonmail.ch</t>
  </si>
  <si>
    <t>2020-04-28T19:23:32Z</t>
  </si>
  <si>
    <t>2020-04-28T19:30:31Z</t>
  </si>
  <si>
    <t>2020-04-28T21:02:39Z</t>
  </si>
  <si>
    <t>hayesgm@gmail.com</t>
  </si>
  <si>
    <t>2020-07-23T01:02:05Z</t>
  </si>
  <si>
    <t>christophergewecke@gmail.com</t>
  </si>
  <si>
    <t>solidity-coverage</t>
  </si>
  <si>
    <t>2018-04-20T17:33:25Z</t>
  </si>
  <si>
    <t>2018-04-20T17:49:58Z</t>
  </si>
  <si>
    <t>2018-04-20T18:00:13Z</t>
  </si>
  <si>
    <t>2018-04-20T18:10:25Z</t>
  </si>
  <si>
    <t>2018-04-20T18:35:41Z</t>
  </si>
  <si>
    <t>2018-04-20T18:36:07Z</t>
  </si>
  <si>
    <t>2018-04-20T18:41:12Z</t>
  </si>
  <si>
    <t>2018-05-15T00:55:37Z</t>
  </si>
  <si>
    <t>2018-05-15T01:09:40Z</t>
  </si>
  <si>
    <t>2018-05-20T00:55:15Z</t>
  </si>
  <si>
    <t>2018-05-20T01:38:51Z</t>
  </si>
  <si>
    <t>2018-05-20T01:42:00Z</t>
  </si>
  <si>
    <t>2018-05-20T02:07:27Z</t>
  </si>
  <si>
    <t>2018-05-20T02:11:16Z</t>
  </si>
  <si>
    <t>2018-05-20T02:14:04Z</t>
  </si>
  <si>
    <t>2018-05-20T15:13:24Z</t>
  </si>
  <si>
    <t>2018-05-20T15:59:16Z</t>
  </si>
  <si>
    <t>2018-05-20T18:46:01Z</t>
  </si>
  <si>
    <t>2018-05-20T18:48:07Z</t>
  </si>
  <si>
    <t>2018-05-20T18:49:27Z</t>
  </si>
  <si>
    <t>vrdragicevic@gmail.com</t>
  </si>
  <si>
    <t>2018-05-22T23:15:25Z</t>
  </si>
  <si>
    <t>2018-05-23T00:24:54Z</t>
  </si>
  <si>
    <t>2018-05-23T00:26:03Z</t>
  </si>
  <si>
    <t>2018-05-23T00:30:00Z</t>
  </si>
  <si>
    <t>2018-05-23T07:18:25Z</t>
  </si>
  <si>
    <t>2018-05-23T15:22:03Z</t>
  </si>
  <si>
    <t>2018-05-23T15:28:45Z</t>
  </si>
  <si>
    <t>2018-05-23T15:32:38Z</t>
  </si>
  <si>
    <t>2018-05-23T22:45:44Z</t>
  </si>
  <si>
    <t>2018-05-30T21:45:10Z</t>
  </si>
  <si>
    <t>solidity</t>
  </si>
  <si>
    <t>2019-01-22T11:58:43Z</t>
  </si>
  <si>
    <t>2019-01-22T12:49:41Z</t>
  </si>
  <si>
    <t>chris@ethereum.org</t>
  </si>
  <si>
    <t>2019-01-22T13:45:25Z</t>
  </si>
  <si>
    <t>alex@rtfs.hu</t>
  </si>
  <si>
    <t>2019-01-22T14:45:08Z</t>
  </si>
  <si>
    <t>2019-01-22T14:49:45Z</t>
  </si>
  <si>
    <t>2019-01-22T15:46:25Z</t>
  </si>
  <si>
    <t>2019-01-22T15:53:52Z</t>
  </si>
  <si>
    <t>2019-01-22T15:56:17Z</t>
  </si>
  <si>
    <t>2019-01-22T16:38:17Z</t>
  </si>
  <si>
    <t>2019-01-22T17:03:24Z</t>
  </si>
  <si>
    <t>2019-01-22T17:18:27Z</t>
  </si>
  <si>
    <t>2019-01-22T17:22:54Z</t>
  </si>
  <si>
    <t>2019-01-22T17:24:03Z</t>
  </si>
  <si>
    <t>2019-01-22T17:29:08Z</t>
  </si>
  <si>
    <t>2019-01-22T17:33:45Z</t>
  </si>
  <si>
    <t>2019-01-22T17:36:26Z</t>
  </si>
  <si>
    <t>2019-01-22T17:38:06Z</t>
  </si>
  <si>
    <t>2019-01-22T17:44:09Z</t>
  </si>
  <si>
    <t>2019-01-22T21:26:38Z</t>
  </si>
  <si>
    <t>guptamudit@ymail.com</t>
  </si>
  <si>
    <t>2019-01-23T04:52:27Z</t>
  </si>
  <si>
    <t>2019-01-23T09:35:32Z</t>
  </si>
  <si>
    <t>bshastry@ethereum.org</t>
  </si>
  <si>
    <t>2019-01-23T10:06:25Z</t>
  </si>
  <si>
    <t>2019-01-23T10:13:22Z</t>
  </si>
  <si>
    <t>2019-01-23T10:13:24Z</t>
  </si>
  <si>
    <t>2019-01-23T16:30:17Z</t>
  </si>
  <si>
    <t>2019-01-24T12:10:27Z</t>
  </si>
  <si>
    <t>2019-01-24T12:32:11Z</t>
  </si>
  <si>
    <t>2019-01-24T19:42:32Z</t>
  </si>
  <si>
    <t>2019-01-24T20:16:31Z</t>
  </si>
  <si>
    <t>shellygr151@gmail.com</t>
  </si>
  <si>
    <t>2019-01-26T13:30:17Z</t>
  </si>
  <si>
    <t>saddle</t>
  </si>
  <si>
    <t>2020-02-22T06:11:22Z</t>
  </si>
  <si>
    <t>2020-02-22T06:17:39Z</t>
  </si>
  <si>
    <t>2020-02-26T23:44:04Z</t>
  </si>
  <si>
    <t>2020-02-26T23:46:57Z</t>
  </si>
  <si>
    <t>maxcwolff@gmail.com</t>
  </si>
  <si>
    <t>2020-02-28T18:55:06Z</t>
  </si>
  <si>
    <t>2020-03-03T01:18:01Z</t>
  </si>
  <si>
    <t>2020-03-03T22:01:07Z</t>
  </si>
  <si>
    <t>2020-03-03T22:29:21Z</t>
  </si>
  <si>
    <t>2020-03-03T23:08:24Z</t>
  </si>
  <si>
    <t>2020-03-06T23:54:40Z</t>
  </si>
  <si>
    <t>2020-03-06T23:55:01Z</t>
  </si>
  <si>
    <t>2020-04-15T06:21:56Z</t>
  </si>
  <si>
    <t>2020-04-15T06:24:27Z</t>
  </si>
  <si>
    <t>2020-04-17T18:02:36Z</t>
  </si>
  <si>
    <t>2020-04-17T18:59:02Z</t>
  </si>
  <si>
    <t>2020-04-17T19:09:23Z</t>
  </si>
  <si>
    <t>jflatow@gmail.com</t>
  </si>
  <si>
    <t>2020-04-17T22:21:00Z</t>
  </si>
  <si>
    <t>2020-07-23T23:56:16Z</t>
  </si>
  <si>
    <t>2020-07-27T23:28:39Z</t>
  </si>
  <si>
    <t>antonina.norair@gmail.com</t>
  </si>
  <si>
    <t>2020-08-14T18:41:38Z</t>
  </si>
  <si>
    <t>2020-08-14T19:07:47Z</t>
  </si>
  <si>
    <t>2020-08-21T18:33:42Z</t>
  </si>
  <si>
    <t>redix_stream</t>
  </si>
  <si>
    <t>2018-01-11T09:27:39Z</t>
  </si>
  <si>
    <t>2018-01-11T09:45:02Z</t>
  </si>
  <si>
    <t>2018-01-11T09:47:16Z</t>
  </si>
  <si>
    <t>2018-01-11T09:49:02Z</t>
  </si>
  <si>
    <t>2018-01-11T09:50:20Z</t>
  </si>
  <si>
    <t>2018-01-11T20:08:27Z</t>
  </si>
  <si>
    <t>jeff@jeffutter.com</t>
  </si>
  <si>
    <t>2018-07-16T21:35:26Z</t>
  </si>
  <si>
    <t>2018-07-16T21:41:20Z</t>
  </si>
  <si>
    <t>2018-08-01T04:30:58Z</t>
  </si>
  <si>
    <t>geoff@compound.finance</t>
  </si>
  <si>
    <t>2018-08-03T21:26:33Z</t>
  </si>
  <si>
    <t>2018-08-03T21:34:27Z</t>
  </si>
  <si>
    <t>2018-08-03T21:35:35Z</t>
  </si>
  <si>
    <t>2018-10-29T22:02:33Z</t>
  </si>
  <si>
    <t>2018-10-30T22:05:12Z</t>
  </si>
  <si>
    <t>2018-10-30T22:10:26Z</t>
  </si>
  <si>
    <t>2018-10-30T22:13:29Z</t>
  </si>
  <si>
    <t>2018-12-19T02:12:36Z</t>
  </si>
  <si>
    <t>admwiggin@gmail.com</t>
  </si>
  <si>
    <t>redis</t>
  </si>
  <si>
    <t>2017-01-18T00:04:12Z</t>
  </si>
  <si>
    <t>2017-01-18T00:04:23Z</t>
  </si>
  <si>
    <t>2017-01-18T00:06:00Z</t>
  </si>
  <si>
    <t>2017-01-18T00:11:01Z</t>
  </si>
  <si>
    <t>2017-01-18T00:46:23Z</t>
  </si>
  <si>
    <t>github+dockerlibrarybot@infosiftr.com</t>
  </si>
  <si>
    <t>2017-01-31T16:03:16Z</t>
  </si>
  <si>
    <t>2017-01-31T19:29:49Z</t>
  </si>
  <si>
    <t>2017-02-13T20:49:03Z</t>
  </si>
  <si>
    <t>2017-02-28T00:14:25Z</t>
  </si>
  <si>
    <t>2017-05-18T20:50:23Z</t>
  </si>
  <si>
    <t>2017-06-08T21:18:36Z</t>
  </si>
  <si>
    <t>2017-06-08T21:22:58Z</t>
  </si>
  <si>
    <t>2017-06-08T21:48:07Z</t>
  </si>
  <si>
    <t>2017-06-08T22:07:40Z</t>
  </si>
  <si>
    <t>2017-06-19T22:38:25Z</t>
  </si>
  <si>
    <t>2017-07-14T15:12:54Z</t>
  </si>
  <si>
    <t>2017-07-14T16:50:07Z</t>
  </si>
  <si>
    <t>2017-07-14T17:34:15Z</t>
  </si>
  <si>
    <t>2017-07-14T19:40:26Z</t>
  </si>
  <si>
    <t>2017-07-24T15:03:57Z</t>
  </si>
  <si>
    <t>2017-07-28T21:03:54Z</t>
  </si>
  <si>
    <t>2017-09-21T15:03:07Z</t>
  </si>
  <si>
    <t>2017-11-30T19:53:54Z</t>
  </si>
  <si>
    <t>2017-12-01T16:03:04Z</t>
  </si>
  <si>
    <t>2017-12-04T22:03:05Z</t>
  </si>
  <si>
    <t>michael-k@users.noreply.github.com</t>
  </si>
  <si>
    <t>2018-01-19T10:59:51Z</t>
  </si>
  <si>
    <t>2018-01-19T19:33:22Z</t>
  </si>
  <si>
    <t>2018-01-24T16:11:05Z</t>
  </si>
  <si>
    <t>2018-02-02T22:03:07Z</t>
  </si>
  <si>
    <t>coburn@compound.finance</t>
  </si>
  <si>
    <t>QuickBorrow</t>
  </si>
  <si>
    <t>2018-11-14T22:08:02Z</t>
  </si>
  <si>
    <t>2018-11-15T04:52:21Z</t>
  </si>
  <si>
    <t>2018-11-15T05:15:35Z</t>
  </si>
  <si>
    <t>2018-11-15T05:18:19Z</t>
  </si>
  <si>
    <t>2018-11-15T05:18:35Z</t>
  </si>
  <si>
    <t>2018-11-15T22:03:14Z</t>
  </si>
  <si>
    <t>2018-11-15T23:05:16Z</t>
  </si>
  <si>
    <t>2018-11-15T23:37:15Z</t>
  </si>
  <si>
    <t>2018-11-15T23:58:01Z</t>
  </si>
  <si>
    <t>2018-11-16T00:00:08Z</t>
  </si>
  <si>
    <t>2018-11-16T00:01:46Z</t>
  </si>
  <si>
    <t>2018-11-16T02:42:07Z</t>
  </si>
  <si>
    <t>2018-11-16T03:29:29Z</t>
  </si>
  <si>
    <t>2018-11-17T00:15:47Z</t>
  </si>
  <si>
    <t>2018-11-17T01:42:12Z</t>
  </si>
  <si>
    <t>2018-11-19T22:05:11Z</t>
  </si>
  <si>
    <t>2018-11-20T02:01:10Z</t>
  </si>
  <si>
    <t>2018-11-20T04:15:11Z</t>
  </si>
  <si>
    <t>2018-11-20T04:27:23Z</t>
  </si>
  <si>
    <t>2018-11-20T06:49:52Z</t>
  </si>
  <si>
    <t>2018-11-20T07:00:01Z</t>
  </si>
  <si>
    <t>2018-11-20T07:00:28Z</t>
  </si>
  <si>
    <t>2018-11-20T07:02:28Z</t>
  </si>
  <si>
    <t>2018-11-21T00:00:18Z</t>
  </si>
  <si>
    <t>2018-11-21T00:40:30Z</t>
  </si>
  <si>
    <t>2018-11-21T00:47:38Z</t>
  </si>
  <si>
    <t>2018-11-21T01:15:44Z</t>
  </si>
  <si>
    <t>2018-11-21T23:40:09Z</t>
  </si>
  <si>
    <t>2018-11-21T23:52:19Z</t>
  </si>
  <si>
    <t>2018-11-25T21:35:06Z</t>
  </si>
  <si>
    <t>quest</t>
  </si>
  <si>
    <t>2020-08-23T01:59:10Z</t>
  </si>
  <si>
    <t>open-oracle</t>
  </si>
  <si>
    <t>2020-01-27T23:18:22Z</t>
  </si>
  <si>
    <t>2020-01-28T20:57:52Z</t>
  </si>
  <si>
    <t>2020-01-29T01:43:11Z</t>
  </si>
  <si>
    <t>2020-01-29T19:54:58Z</t>
  </si>
  <si>
    <t>2020-01-29T22:33:41Z</t>
  </si>
  <si>
    <t>2020-01-29T23:49:39Z</t>
  </si>
  <si>
    <t>2020-01-29T23:55:57Z</t>
  </si>
  <si>
    <t>2020-01-30T00:04:50Z</t>
  </si>
  <si>
    <t>2020-01-31T21:42:45Z</t>
  </si>
  <si>
    <t>2020-01-31T21:56:21Z</t>
  </si>
  <si>
    <t>2020-01-31T22:14:32Z</t>
  </si>
  <si>
    <t>2020-01-31T22:18:15Z</t>
  </si>
  <si>
    <t>2020-01-31T22:45:37Z</t>
  </si>
  <si>
    <t>2020-01-31T23:01:44Z</t>
  </si>
  <si>
    <t>2020-06-23T17:26:15Z</t>
  </si>
  <si>
    <t>2020-07-04T01:55:43Z</t>
  </si>
  <si>
    <t>2020-07-28T21:50:36Z</t>
  </si>
  <si>
    <t>2020-07-31T22:44:37Z</t>
  </si>
  <si>
    <t>2020-08-04T00:59:50Z</t>
  </si>
  <si>
    <t>2020-08-04T18:54:09Z</t>
  </si>
  <si>
    <t>2020-08-04T18:58:35Z</t>
  </si>
  <si>
    <t>2020-08-05T18:06:34Z</t>
  </si>
  <si>
    <t>2020-08-05T19:01:27Z</t>
  </si>
  <si>
    <t>2020-08-07T22:42:34Z</t>
  </si>
  <si>
    <t>2020-08-13T21:39:32Z</t>
  </si>
  <si>
    <t>2020-08-13T21:59:37Z</t>
  </si>
  <si>
    <t>2020-08-13T22:27:51Z</t>
  </si>
  <si>
    <t>2020-08-21T22:00:59Z</t>
  </si>
  <si>
    <t>2020-09-10T22:54:09Z</t>
  </si>
  <si>
    <t>ganache-core</t>
  </si>
  <si>
    <t>2019-10-09T05:03:05Z</t>
  </si>
  <si>
    <t>2019-10-09T05:03:24Z</t>
  </si>
  <si>
    <t>david@davidmurdoch.com</t>
  </si>
  <si>
    <t>2019-10-09T05:09:53Z</t>
  </si>
  <si>
    <t>43416138+nicholasjpaterno@users.noreply.github.com</t>
  </si>
  <si>
    <t>2019-11-06T20:05:21Z</t>
  </si>
  <si>
    <t>davidmurdoch@users.noreply.github.com</t>
  </si>
  <si>
    <t>2019-11-06T22:56:54Z</t>
  </si>
  <si>
    <t>2019-11-07T18:33:11Z</t>
  </si>
  <si>
    <t>2019-11-07T18:35:17Z</t>
  </si>
  <si>
    <t>2019-11-25T21:14:18Z</t>
  </si>
  <si>
    <t>2019-11-25T21:14:53Z</t>
  </si>
  <si>
    <t>cashlion@protonmail.com</t>
  </si>
  <si>
    <t>2019-12-10T14:31:19Z</t>
  </si>
  <si>
    <t>2019-12-10T14:31:20Z</t>
  </si>
  <si>
    <t>2019-12-10T14:31:21Z</t>
  </si>
  <si>
    <t>2019-12-10T17:26:05Z</t>
  </si>
  <si>
    <t>2019-12-10T18:02:39Z</t>
  </si>
  <si>
    <t>2019-12-10T18:05:30Z</t>
  </si>
  <si>
    <t>2019-12-10T19:43:40Z</t>
  </si>
  <si>
    <t>2019-12-10T22:02:12Z</t>
  </si>
  <si>
    <t>2019-12-10T22:17:00Z</t>
  </si>
  <si>
    <t>2019-12-10T22:27:03Z</t>
  </si>
  <si>
    <t>2019-12-12T03:52:25Z</t>
  </si>
  <si>
    <t>2019-12-11T23:48:31Z</t>
  </si>
  <si>
    <t>2020-01-06T18:18:08Z</t>
  </si>
  <si>
    <t>ganache-cli</t>
  </si>
  <si>
    <t>2020-01-30T16:06:37Z</t>
  </si>
  <si>
    <t>2020-01-30T16:14:25Z</t>
  </si>
  <si>
    <t>2020-01-30T16:39:01Z</t>
  </si>
  <si>
    <t>2020-02-12T18:32:19Z</t>
  </si>
  <si>
    <t>2020-02-14T00:02:51Z</t>
  </si>
  <si>
    <t>2020-02-14T00:17:52Z</t>
  </si>
  <si>
    <t>contact@palkeo.com</t>
  </si>
  <si>
    <t>2020-04-03T06:21:10Z</t>
  </si>
  <si>
    <t>2020-04-05T14:55:13Z</t>
  </si>
  <si>
    <t>2020-05-06T20:13:49Z</t>
  </si>
  <si>
    <t>2020-05-06T23:29:54Z</t>
  </si>
  <si>
    <t>2020-05-14T17:19:41Z</t>
  </si>
  <si>
    <t>2020-05-15T16:21:49Z</t>
  </si>
  <si>
    <t>2020-05-15T20:08:18Z</t>
  </si>
  <si>
    <t>2020-05-18T22:04:29Z</t>
  </si>
  <si>
    <t>2020-05-18T22:20:29Z</t>
  </si>
  <si>
    <t>2020-05-18T22:32:20Z</t>
  </si>
  <si>
    <t>2020-05-19T16:19:24Z</t>
  </si>
  <si>
    <t>2020-05-19T16:25:06Z</t>
  </si>
  <si>
    <t>2020-05-20T20:06:02Z</t>
  </si>
  <si>
    <t>2020-05-21T18:25:22Z</t>
  </si>
  <si>
    <t>2020-06-24T14:50:41Z</t>
  </si>
  <si>
    <t>2020-06-24T20:28:32Z</t>
  </si>
  <si>
    <t>2020-06-24T21:46:23Z</t>
  </si>
  <si>
    <t>2020-06-24T21:48:12Z</t>
  </si>
  <si>
    <t>2020-06-24T21:49:50Z</t>
  </si>
  <si>
    <t>2020-06-25T00:33:28Z</t>
  </si>
  <si>
    <t>2020-06-25T22:33:13Z</t>
  </si>
  <si>
    <t>2020-06-26T18:17:23Z</t>
  </si>
  <si>
    <t>2020-06-26T18:25:35Z</t>
  </si>
  <si>
    <t>2020-06-26T18:46:55Z</t>
  </si>
  <si>
    <t>etherscan</t>
  </si>
  <si>
    <t>2020-05-22T21:37:52Z</t>
  </si>
  <si>
    <t>2020-05-25T00:58:29Z</t>
  </si>
  <si>
    <t>2020-05-26T20:23:16Z</t>
  </si>
  <si>
    <t>2020-06-02T22:20:58Z</t>
  </si>
  <si>
    <t>2020-07-14T21:33:27Z</t>
  </si>
  <si>
    <t>2020-07-28T20:39:17Z</t>
  </si>
  <si>
    <t>itz.s1na@gmail.com</t>
  </si>
  <si>
    <t>ethereumjs-vm</t>
  </si>
  <si>
    <t>2019-11-11T16:18:18Z</t>
  </si>
  <si>
    <t>2019-11-11T16:19:17Z</t>
  </si>
  <si>
    <t>2019-11-13T15:00:25Z</t>
  </si>
  <si>
    <t>2019-11-15T09:51:44Z</t>
  </si>
  <si>
    <t>2019-11-15T10:15:07Z</t>
  </si>
  <si>
    <t>2019-11-15T10:28:38Z</t>
  </si>
  <si>
    <t>2019-11-15T14:16:21Z</t>
  </si>
  <si>
    <t>2019-11-18T10:24:56Z</t>
  </si>
  <si>
    <t>2019-11-18T12:11:34Z</t>
  </si>
  <si>
    <t>2019-11-18T22:04:51Z</t>
  </si>
  <si>
    <t>Holger.Drewes@gmail.com</t>
  </si>
  <si>
    <t>2019-11-19T11:36:15Z</t>
  </si>
  <si>
    <t>2019-11-19T19:25:59Z</t>
  </si>
  <si>
    <t>1591639+s1na@users.noreply.github.com</t>
  </si>
  <si>
    <t>2019-11-20T13:42:06Z</t>
  </si>
  <si>
    <t>2019-11-21T09:45:18Z</t>
  </si>
  <si>
    <t>2019-11-21T10:12:14Z</t>
  </si>
  <si>
    <t>2019-11-27T10:25:17Z</t>
  </si>
  <si>
    <t>2019-11-27T11:01:26Z</t>
  </si>
  <si>
    <t>ryan@ryanio.com</t>
  </si>
  <si>
    <t>2019-12-06T20:34:03Z</t>
  </si>
  <si>
    <t>2019-12-06T20:34:33Z</t>
  </si>
  <si>
    <t>2019-12-09T04:19:52Z</t>
  </si>
  <si>
    <t>2019-12-09T17:05:42Z</t>
  </si>
  <si>
    <t>2019-12-11T05:56:53Z</t>
  </si>
  <si>
    <t>2019-12-11T16:56:26Z</t>
  </si>
  <si>
    <t>2019-12-13T21:31:31Z</t>
  </si>
  <si>
    <t>2019-12-13T21:34:17Z</t>
  </si>
  <si>
    <t>2019-12-15T09:15:40Z</t>
  </si>
  <si>
    <t>ev@ethereum.org</t>
  </si>
  <si>
    <t>2019-12-16T16:10:46Z</t>
  </si>
  <si>
    <t>2019-12-16T16:39:53Z</t>
  </si>
  <si>
    <t>2019-12-16T17:41:31Z</t>
  </si>
  <si>
    <t>2019-12-16T18:08:29Z</t>
  </si>
  <si>
    <t>ethereumjs-util</t>
  </si>
  <si>
    <t>2019-04-26T13:04:06Z</t>
  </si>
  <si>
    <t>2019-04-26T13:04:30Z</t>
  </si>
  <si>
    <t>2019-04-26T13:04:56Z</t>
  </si>
  <si>
    <t>2019-04-26T13:05:35Z</t>
  </si>
  <si>
    <t>2019-04-26T14:42:19Z</t>
  </si>
  <si>
    <t>2019-04-29T13:15:34Z</t>
  </si>
  <si>
    <t>2019-04-29T13:28:00Z</t>
  </si>
  <si>
    <t>email@patriciopalladino.com</t>
  </si>
  <si>
    <t>2019-05-14T14:59:02Z</t>
  </si>
  <si>
    <t>2019-05-14T14:59:03Z</t>
  </si>
  <si>
    <t>2019-05-14T14:59:04Z</t>
  </si>
  <si>
    <t>2019-05-14T14:59:05Z</t>
  </si>
  <si>
    <t>2019-05-14T20:50:59Z</t>
  </si>
  <si>
    <t>2019-06-25T19:01:54Z</t>
  </si>
  <si>
    <t>2019-06-25T19:25:22Z</t>
  </si>
  <si>
    <t>2019-06-25T19:40:24Z</t>
  </si>
  <si>
    <t>2019-06-25T23:07:20Z</t>
  </si>
  <si>
    <t>2019-06-25T23:08:10Z</t>
  </si>
  <si>
    <t>2019-06-28T20:02:01Z</t>
  </si>
  <si>
    <t>2019-06-28T20:45:14Z</t>
  </si>
  <si>
    <t>2019-11-04T15:13:52Z</t>
  </si>
  <si>
    <t>2019-11-05T13:05:41Z</t>
  </si>
  <si>
    <t>2019-11-05T16:08:25Z</t>
  </si>
  <si>
    <t>2019-11-06T18:46:04Z</t>
  </si>
  <si>
    <t>2019-11-07T10:38:58Z</t>
  </si>
  <si>
    <t>efmino@uc.cl</t>
  </si>
  <si>
    <t>eth-contract-metadata</t>
  </si>
  <si>
    <t>2019-06-19T16:36:47Z</t>
  </si>
  <si>
    <t>2019-06-19T16:57:28Z</t>
  </si>
  <si>
    <t>2019-06-19T19:05:43Z</t>
  </si>
  <si>
    <t>2019-06-19T19:12:08Z</t>
  </si>
  <si>
    <t>2019-08-29T16:23:17Z</t>
  </si>
  <si>
    <t>2019-08-29T16:27:21Z</t>
  </si>
  <si>
    <t>2019-08-29T16:36:13Z</t>
  </si>
  <si>
    <t>2019-08-29T16:37:20Z</t>
  </si>
  <si>
    <t>2019-08-29T16:43:43Z</t>
  </si>
  <si>
    <t>2019-08-29T16:47:16Z</t>
  </si>
  <si>
    <t>2019-08-29T16:55:09Z</t>
  </si>
  <si>
    <t>2019-08-29T17:28:58Z</t>
  </si>
  <si>
    <t>2019-08-29T18:11:29Z</t>
  </si>
  <si>
    <t>2019-08-29T18:19:09Z</t>
  </si>
  <si>
    <t>2019-08-29T18:22:37Z</t>
  </si>
  <si>
    <t>2019-08-29T18:23:53Z</t>
  </si>
  <si>
    <t>2019-08-29T18:48:47Z</t>
  </si>
  <si>
    <t>2019-08-29T18:52:00Z</t>
  </si>
  <si>
    <t>2019-08-29T18:58:36Z</t>
  </si>
  <si>
    <t>kumavis@users.noreply.github.com</t>
  </si>
  <si>
    <t>2019-10-31T23:35:21Z</t>
  </si>
  <si>
    <t>2019-11-13T21:04:38Z</t>
  </si>
  <si>
    <t>2019-11-13T21:06:47Z</t>
  </si>
  <si>
    <t>2019-11-13T21:07:02Z</t>
  </si>
  <si>
    <t>2019-11-13T21:27:13Z</t>
  </si>
  <si>
    <t>2019-11-13T21:34:18Z</t>
  </si>
  <si>
    <t>2019-11-13T22:06:30Z</t>
  </si>
  <si>
    <t>2019-11-13T22:10:08Z</t>
  </si>
  <si>
    <t>2019-11-14T20:07:51Z</t>
  </si>
  <si>
    <t>2019-11-27T00:34:09Z</t>
  </si>
  <si>
    <t>2019-11-27T00:37:11Z</t>
  </si>
  <si>
    <t>DeFi-Pulse-Adapters</t>
  </si>
  <si>
    <t>2020-05-12T05:53:06Z</t>
  </si>
  <si>
    <t>arman.it37@gmail.com</t>
  </si>
  <si>
    <t>2020-05-12T06:00:59Z</t>
  </si>
  <si>
    <t>2020-05-12T06:34:59Z</t>
  </si>
  <si>
    <t>2020-05-12T08:56:36Z</t>
  </si>
  <si>
    <t>2020-05-12T08:59:52Z</t>
  </si>
  <si>
    <t>angelangelov97@gmail.com</t>
  </si>
  <si>
    <t>2020-05-13T22:11:26Z</t>
  </si>
  <si>
    <t>2020-05-13T22:12:56Z</t>
  </si>
  <si>
    <t>2020-05-20T02:38:42Z</t>
  </si>
  <si>
    <t>m.pilkey@gmail.com</t>
  </si>
  <si>
    <t>2020-05-20T03:46:42Z</t>
  </si>
  <si>
    <t>2020-05-24T14:53:05Z</t>
  </si>
  <si>
    <t>18844062006@163.com</t>
  </si>
  <si>
    <t>2020-05-27T08:11:55Z</t>
  </si>
  <si>
    <t>2020-06-03T15:13:30Z</t>
  </si>
  <si>
    <t>2020-06-03T15:14:09Z</t>
  </si>
  <si>
    <t>mick@mickdegraaf.nl</t>
  </si>
  <si>
    <t>2020-06-03T21:17:31Z</t>
  </si>
  <si>
    <t>2020-06-04T16:36:11Z</t>
  </si>
  <si>
    <t>david.sato64@gmail.com</t>
  </si>
  <si>
    <t>2020-06-05T10:41:56Z</t>
  </si>
  <si>
    <t>2020-06-07T16:47:31Z</t>
  </si>
  <si>
    <t>2020-06-08T19:44:10Z</t>
  </si>
  <si>
    <t>2020-06-08T19:56:31Z</t>
  </si>
  <si>
    <t>mikeraymcdonald@gmail.com</t>
  </si>
  <si>
    <t>2020-06-08T23:38:50Z</t>
  </si>
  <si>
    <t>2020-06-09T12:45:30Z</t>
  </si>
  <si>
    <t>2020-06-09T12:47:48Z</t>
  </si>
  <si>
    <t>2020-06-09T13:23:50Z</t>
  </si>
  <si>
    <t>2020-06-09T16:50:30Z</t>
  </si>
  <si>
    <t>2020-06-09T16:53:31Z</t>
  </si>
  <si>
    <t>2020-06-10T19:04:09Z</t>
  </si>
  <si>
    <t>2020-06-10T19:05:31Z</t>
  </si>
  <si>
    <t>2020-06-11T17:03:41Z</t>
  </si>
  <si>
    <t>2020-06-11T18:55:02Z</t>
  </si>
  <si>
    <t>2020-06-11T18:56:48Z</t>
  </si>
  <si>
    <t>kajpustd@gmail.com</t>
  </si>
  <si>
    <t>compound-v2-subgraph</t>
  </si>
  <si>
    <t>2019-04-12T16:42:02Z</t>
  </si>
  <si>
    <t>2019-04-12T19:03:11Z</t>
  </si>
  <si>
    <t>2019-04-12T19:25:00Z</t>
  </si>
  <si>
    <t>2019-04-12T20:49:33Z</t>
  </si>
  <si>
    <t>2019-04-15T17:55:45Z</t>
  </si>
  <si>
    <t>2019-04-15T18:39:07Z</t>
  </si>
  <si>
    <t>2019-04-15T21:44:10Z</t>
  </si>
  <si>
    <t>2019-04-15T21:44:53Z</t>
  </si>
  <si>
    <t>2019-04-15T22:16:50Z</t>
  </si>
  <si>
    <t>2019-04-17T03:15:26Z</t>
  </si>
  <si>
    <t>2019-04-17T03:15:54Z</t>
  </si>
  <si>
    <t>2019-04-18T20:05:16Z</t>
  </si>
  <si>
    <t>2019-04-26T22:17:45Z</t>
  </si>
  <si>
    <t>2019-05-02T00:48:03Z</t>
  </si>
  <si>
    <t>2019-05-02T00:49:27Z</t>
  </si>
  <si>
    <t>2019-05-04T00:23:20Z</t>
  </si>
  <si>
    <t>2019-05-05T21:27:40Z</t>
  </si>
  <si>
    <t>2019-09-16T18:51:31Z</t>
  </si>
  <si>
    <t>2019-09-16T20:10:19Z</t>
  </si>
  <si>
    <t>2019-09-20T20:43:28Z</t>
  </si>
  <si>
    <t>2019-09-20T20:43:57Z</t>
  </si>
  <si>
    <t>2019-09-20T20:44:18Z</t>
  </si>
  <si>
    <t>2019-09-20T20:44:41Z</t>
  </si>
  <si>
    <t>2019-09-20T20:44:55Z</t>
  </si>
  <si>
    <t>2019-09-20T21:15:54Z</t>
  </si>
  <si>
    <t>2019-09-23T15:01:22Z</t>
  </si>
  <si>
    <t>2019-09-23T15:07:47Z</t>
  </si>
  <si>
    <t>2019-09-23T16:41:24Z</t>
  </si>
  <si>
    <t>2019-11-05T19:18:21Z</t>
  </si>
  <si>
    <t>2019-11-05T19:20:46Z</t>
  </si>
  <si>
    <t>compound-protocol</t>
  </si>
  <si>
    <t>2020-02-26T06:36:16Z</t>
  </si>
  <si>
    <t>2020-02-26T18:28:41Z</t>
  </si>
  <si>
    <t>2020-03-02T18:57:11Z</t>
  </si>
  <si>
    <t>2020-03-05T21:58:59Z</t>
  </si>
  <si>
    <t>2020-03-24T00:20:29Z</t>
  </si>
  <si>
    <t>2020-03-24T00:21:57Z</t>
  </si>
  <si>
    <t>2020-03-31T22:45:52Z</t>
  </si>
  <si>
    <t>2020-04-01T20:39:40Z</t>
  </si>
  <si>
    <t>2020-04-24T18:11:25Z</t>
  </si>
  <si>
    <t>2020-04-24T18:12:45Z</t>
  </si>
  <si>
    <t>2020-04-25T23:23:10Z</t>
  </si>
  <si>
    <t>2020-04-25T23:23:50Z</t>
  </si>
  <si>
    <t>2020-04-30T17:19:24Z</t>
  </si>
  <si>
    <t>2020-06-16T22:07:45Z</t>
  </si>
  <si>
    <t>2020-06-23T06:44:47Z</t>
  </si>
  <si>
    <t>2020-06-25T06:03:36Z</t>
  </si>
  <si>
    <t>2020-07-08T17:22:36Z</t>
  </si>
  <si>
    <t>2020-07-08T17:48:42Z</t>
  </si>
  <si>
    <t>2020-07-08T19:27:19Z</t>
  </si>
  <si>
    <t>2020-07-09T17:44:20Z</t>
  </si>
  <si>
    <t>2020-07-29T23:41:55Z</t>
  </si>
  <si>
    <t>2020-08-17T06:44:18Z</t>
  </si>
  <si>
    <t>2020-08-19T18:55:49Z</t>
  </si>
  <si>
    <t>2020-08-19T19:09:59Z</t>
  </si>
  <si>
    <t>2020-08-27T18:38:00Z</t>
  </si>
  <si>
    <t>2020-09-14T22:38:01Z</t>
  </si>
  <si>
    <t>2020-09-21T16:52:12Z</t>
  </si>
  <si>
    <t>2020-10-03T20:35:39Z</t>
  </si>
  <si>
    <t>2020-10-13T23:24:24Z</t>
  </si>
  <si>
    <t>compound-money-market</t>
  </si>
  <si>
    <t>2018-09-26T22:29:34Z</t>
  </si>
  <si>
    <t>compound-js</t>
  </si>
  <si>
    <t>2020-09-02T16:46:09Z</t>
  </si>
  <si>
    <t>2020-09-04T18:10:25Z</t>
  </si>
  <si>
    <t>2020-09-04T18:10:42Z</t>
  </si>
  <si>
    <t>2020-09-04T18:10:56Z</t>
  </si>
  <si>
    <t>2020-09-04T18:11:17Z</t>
  </si>
  <si>
    <t>2020-09-04T18:11:51Z</t>
  </si>
  <si>
    <t>2020-09-04T18:14:55Z</t>
  </si>
  <si>
    <t>2020-09-04T19:00:12Z</t>
  </si>
  <si>
    <t>2020-09-04T19:00:27Z</t>
  </si>
  <si>
    <t>2020-09-04T19:03:56Z</t>
  </si>
  <si>
    <t>2020-09-09T00:20:36Z</t>
  </si>
  <si>
    <t>2020-09-09T00:47:35Z</t>
  </si>
  <si>
    <t>2020-09-09T18:48:19Z</t>
  </si>
  <si>
    <t>2020-09-09T18:51:38Z</t>
  </si>
  <si>
    <t>2020-09-10T19:51:56Z</t>
  </si>
  <si>
    <t>2020-09-10T20:33:50Z</t>
  </si>
  <si>
    <t>2020-09-16T00:08:53Z</t>
  </si>
  <si>
    <t>2020-09-16T00:12:12Z</t>
  </si>
  <si>
    <t>2020-09-16T00:24:27Z</t>
  </si>
  <si>
    <t>2020-09-16T00:24:39Z</t>
  </si>
  <si>
    <t>2020-09-16T22:36:50Z</t>
  </si>
  <si>
    <t>2020-09-16T22:45:27Z</t>
  </si>
  <si>
    <t>2020-09-16T22:46:26Z</t>
  </si>
  <si>
    <t>2020-09-22T00:30:54Z</t>
  </si>
  <si>
    <t>2020-09-22T00:31:15Z</t>
  </si>
  <si>
    <t>2020-09-25T20:50:03Z</t>
  </si>
  <si>
    <t>2020-09-25T20:53:16Z</t>
  </si>
  <si>
    <t>2020-09-25T23:01:20Z</t>
  </si>
  <si>
    <t>2020-09-25T23:01:46Z</t>
  </si>
  <si>
    <t>2020-09-25T23:04:18Z</t>
  </si>
  <si>
    <t>compound-eureka</t>
  </si>
  <si>
    <t>2020-06-10T18:46:48Z</t>
  </si>
  <si>
    <t>2020-06-26T22:15:24Z</t>
  </si>
  <si>
    <t>2020-07-03T20:37:16Z</t>
  </si>
  <si>
    <t>2020-07-29T22:36:49Z</t>
  </si>
  <si>
    <t>2020-07-29T23:10:32Z</t>
  </si>
  <si>
    <t>2020-08-05T21:33:05Z</t>
  </si>
  <si>
    <t>2020-08-05T21:38:28Z</t>
  </si>
  <si>
    <t>2020-08-05T21:50:25Z</t>
  </si>
  <si>
    <t>2020-08-06T00:28:40Z</t>
  </si>
  <si>
    <t>compound-config</t>
  </si>
  <si>
    <t>2020-08-05T19:39:12Z</t>
  </si>
  <si>
    <t>2020-08-05T21:51:51Z</t>
  </si>
  <si>
    <t>2020-09-04T18:03:25Z</t>
  </si>
  <si>
    <t>2020-09-04T22:16:42Z</t>
  </si>
  <si>
    <t>2020-09-04T22:18:11Z</t>
  </si>
  <si>
    <t>2020-09-04T22:36:24Z</t>
  </si>
  <si>
    <t>2020-09-04T22:38:31Z</t>
  </si>
  <si>
    <t>2020-09-09T21:45:54Z</t>
  </si>
  <si>
    <t>2020-09-09T21:55:26Z</t>
  </si>
  <si>
    <t>torrey@compound.finance</t>
  </si>
  <si>
    <t>2020-09-15T22:25:30Z</t>
  </si>
  <si>
    <t>2020-09-15T22:28:26Z</t>
  </si>
  <si>
    <t>2020-09-18T22:37:24Z</t>
  </si>
  <si>
    <t>2020-09-20T05:47:43Z</t>
  </si>
  <si>
    <t>2020-09-20T18:57:31Z</t>
  </si>
  <si>
    <t>2020-09-20T19:18:21Z</t>
  </si>
  <si>
    <t>2020-09-22T05:25:28Z</t>
  </si>
  <si>
    <t>2020-09-22T06:29:43Z</t>
  </si>
  <si>
    <t>2020-09-22T21:09:38Z</t>
  </si>
  <si>
    <t>2020-09-22T21:10:01Z</t>
  </si>
  <si>
    <t>2020-09-23T19:22:53Z</t>
  </si>
  <si>
    <t>2020-09-29T16:53:46Z</t>
  </si>
  <si>
    <t>2020-10-02T23:04:59Z</t>
  </si>
  <si>
    <t>2020-10-02T23:17:46Z</t>
  </si>
  <si>
    <t>2020-10-02T23:30:57Z</t>
  </si>
  <si>
    <t>2020-10-03T19:28:28Z</t>
  </si>
  <si>
    <t>2020-10-03T19:45:41Z</t>
  </si>
  <si>
    <t>2020-10-14T22:23:02Z</t>
  </si>
  <si>
    <t>2020-10-14T22:26:12Z</t>
  </si>
  <si>
    <t>cloud-builders-community</t>
  </si>
  <si>
    <t>2018-05-08T17:03:52Z</t>
  </si>
  <si>
    <t>me@steven.mx</t>
  </si>
  <si>
    <t>2018-05-09T17:31:45Z</t>
  </si>
  <si>
    <t>jasonhall@google.com</t>
  </si>
  <si>
    <t>2018-05-09T18:37:21Z</t>
  </si>
  <si>
    <t>2018-05-18T10:28:09Z</t>
  </si>
  <si>
    <t>derek@fanai.io</t>
  </si>
  <si>
    <t>2018-05-25T22:04:52Z</t>
  </si>
  <si>
    <t>2018-05-30T15:22:19Z</t>
  </si>
  <si>
    <t>2018-06-06T14:13:49Z</t>
  </si>
  <si>
    <t>tom@unspecified.me</t>
  </si>
  <si>
    <t>2018-06-08T19:56:27Z</t>
  </si>
  <si>
    <t>2018-06-18T13:00:35Z</t>
  </si>
  <si>
    <t>2018-06-27T20:05:15Z</t>
  </si>
  <si>
    <t>2018-06-28T00:02:53Z</t>
  </si>
  <si>
    <t>bendory@google.com</t>
  </si>
  <si>
    <t>2018-06-28T12:36:15Z</t>
  </si>
  <si>
    <t>2018-06-28T12:56:42Z</t>
  </si>
  <si>
    <t>2018-06-28T12:59:55Z</t>
  </si>
  <si>
    <t>2018-06-28T13:06:57Z</t>
  </si>
  <si>
    <t>2018-06-28T13:18:06Z</t>
  </si>
  <si>
    <t>2018-06-29T20:34:06Z</t>
  </si>
  <si>
    <t>johnlabarge@google.com</t>
  </si>
  <si>
    <t>2018-06-29T20:36:13Z</t>
  </si>
  <si>
    <t>2018-06-29T20:51:06Z</t>
  </si>
  <si>
    <t>2018-07-01T22:28:19Z</t>
  </si>
  <si>
    <t>2018-07-01T22:34:33Z</t>
  </si>
  <si>
    <t>2018-07-01T22:41:03Z</t>
  </si>
  <si>
    <t>2018-07-03T02:04:26Z</t>
  </si>
  <si>
    <t>2018-07-15T15:56:41Z</t>
  </si>
  <si>
    <t>2018-07-24T19:48:14Z</t>
  </si>
  <si>
    <t>2018-07-24T19:56:29Z</t>
  </si>
  <si>
    <t>2018-07-24T19:58:04Z</t>
  </si>
  <si>
    <t>2018-07-24T23:23:02Z</t>
  </si>
  <si>
    <t>2018-07-25T18:43:49Z</t>
  </si>
  <si>
    <t>2018-07-26T16:39:05Z</t>
  </si>
  <si>
    <t>autonomous-proposals</t>
  </si>
  <si>
    <t>2020-09-02T19:19:09Z</t>
  </si>
  <si>
    <t>2020-09-02T19:23:44Z</t>
  </si>
  <si>
    <t>2020-09-02T21:04:47Z</t>
  </si>
  <si>
    <t>2020-09-02T23:11:12Z</t>
  </si>
  <si>
    <t>2020-09-03T04:12:59Z</t>
  </si>
  <si>
    <t>2020-09-03T06:19:01Z</t>
  </si>
  <si>
    <t>2020-09-03T19:55:04Z</t>
  </si>
  <si>
    <t>2020-09-03T20:27:49Z</t>
  </si>
  <si>
    <t>2020-09-04T00:26:57Z</t>
  </si>
  <si>
    <t>2020-09-04T02:41:06Z</t>
  </si>
  <si>
    <t>2020-09-04T06:01:12Z</t>
  </si>
  <si>
    <t>2020-09-04T17:31:34Z</t>
  </si>
  <si>
    <t>2020-09-04T18:29:37Z</t>
  </si>
  <si>
    <t>2020-09-04T19:21:18Z</t>
  </si>
  <si>
    <t>2020-09-04T19:48:11Z</t>
  </si>
  <si>
    <t>2020-09-04T19:53:31Z</t>
  </si>
  <si>
    <t>2020-09-04T20:08:59Z</t>
  </si>
  <si>
    <t>2020-09-04T20:34:25Z</t>
  </si>
  <si>
    <t>2020-09-04T20:48:13Z</t>
  </si>
  <si>
    <t>2020-09-04T21:17:43Z</t>
  </si>
  <si>
    <t>2020-09-04T21:21:10Z</t>
  </si>
  <si>
    <t>2020-09-04T21:38:32Z</t>
  </si>
  <si>
    <t>2020-09-09T18:14:53Z</t>
  </si>
  <si>
    <t>2020-09-09T18:28:46Z</t>
  </si>
  <si>
    <t>2020-09-09T18:29:35Z</t>
  </si>
  <si>
    <t>2020-09-09T18:38:47Z</t>
  </si>
  <si>
    <t>2020-09-09T21:58:34Z</t>
  </si>
  <si>
    <t>2020-09-09T22:18:03Z</t>
  </si>
  <si>
    <t>2020-09-09T22:19:08Z</t>
  </si>
  <si>
    <t>2020-09-09T22:19:44Z</t>
  </si>
  <si>
    <t>mchl.zhu.96@gmail.com</t>
  </si>
  <si>
    <t>0x-monorepo</t>
  </si>
  <si>
    <t>2019-11-26T22:16:54Z</t>
  </si>
  <si>
    <t>2019-11-26T22:19:37Z</t>
  </si>
  <si>
    <t>2019-11-26T22:39:59Z</t>
  </si>
  <si>
    <t>2019-11-26T23:20:54Z</t>
  </si>
  <si>
    <t>jacob@dekz.net</t>
  </si>
  <si>
    <t>2019-11-27T00:43:12Z</t>
  </si>
  <si>
    <t>2019-11-27T00:52:14Z</t>
  </si>
  <si>
    <t>2019-11-27T00:57:56Z</t>
  </si>
  <si>
    <t>2019-11-27T02:02:37Z</t>
  </si>
  <si>
    <t>2019-11-27T02:27:37Z</t>
  </si>
  <si>
    <t>2019-11-28T01:50:24Z</t>
  </si>
  <si>
    <t>abandeali1@gmail.com</t>
  </si>
  <si>
    <t>2019-11-29T23:55:49Z</t>
  </si>
  <si>
    <t>2019-11-30T02:20:07Z</t>
  </si>
  <si>
    <t>2019-11-30T21:31:36Z</t>
  </si>
  <si>
    <t>2019-11-30T21:31:42Z</t>
  </si>
  <si>
    <t>2019-11-30T22:17:52Z</t>
  </si>
  <si>
    <t>joshua@webcoders.com.au</t>
  </si>
  <si>
    <t>2019-12-01T05:44:31Z</t>
  </si>
  <si>
    <t>2019-12-01T21:06:00Z</t>
  </si>
  <si>
    <t>2019-12-02T07:51:47Z</t>
  </si>
  <si>
    <t>2019-12-02T11:48:09Z</t>
  </si>
  <si>
    <t>2019-12-02T12:09:01Z</t>
  </si>
  <si>
    <t>2019-12-02T12:11:48Z</t>
  </si>
  <si>
    <t>2019-12-02T12:37:43Z</t>
  </si>
  <si>
    <t>2019-12-02T12:38:04Z</t>
  </si>
  <si>
    <t>2019-12-02T13:26:25Z</t>
  </si>
  <si>
    <t>2019-12-02T13:44:01Z</t>
  </si>
  <si>
    <t>me@fabioberger.com</t>
  </si>
  <si>
    <t>2019-12-02T14:30:53Z</t>
  </si>
  <si>
    <t>2019-12-02T14:31:06Z</t>
  </si>
  <si>
    <t>uniswap-frontend</t>
  </si>
  <si>
    <t>aave</t>
  </si>
  <si>
    <t>2019-05-03T20:37:59Z</t>
  </si>
  <si>
    <t>noahwz@gmail.com</t>
  </si>
  <si>
    <t>2019-05-04T00:18:06Z</t>
  </si>
  <si>
    <t>2019-05-08T02:25:55Z</t>
  </si>
  <si>
    <t>2019-05-10T00:48:34Z</t>
  </si>
  <si>
    <t>2019-05-13T13:49:58Z</t>
  </si>
  <si>
    <t>c@martinkrung.org</t>
  </si>
  <si>
    <t>2019-05-13T19:15:45Z</t>
  </si>
  <si>
    <t>2019-05-13T19:47:15Z</t>
  </si>
  <si>
    <t>2019-05-14T14:19:09Z</t>
  </si>
  <si>
    <t>2019-05-14T14:59:25Z</t>
  </si>
  <si>
    <t>2019-05-14T15:01:25Z</t>
  </si>
  <si>
    <t>2019-05-14T16:05:57Z</t>
  </si>
  <si>
    <t>2019-05-16T17:21:14Z</t>
  </si>
  <si>
    <t>2019-05-16T20:54:15Z</t>
  </si>
  <si>
    <t>2019-05-16T21:03:10Z</t>
  </si>
  <si>
    <t>2019-05-16T21:21:45Z</t>
  </si>
  <si>
    <t>2019-05-22T15:10:09Z</t>
  </si>
  <si>
    <t>2019-05-22T23:11:51Z</t>
  </si>
  <si>
    <t>2019-05-24T20:53:01Z</t>
  </si>
  <si>
    <t>2019-05-27T23:25:52Z</t>
  </si>
  <si>
    <t>2019-05-27T23:36:57Z</t>
  </si>
  <si>
    <t>2019-05-28T18:10:02Z</t>
  </si>
  <si>
    <t>2019-05-28T18:53:47Z</t>
  </si>
  <si>
    <t>2019-05-28T20:57:18Z</t>
  </si>
  <si>
    <t>2019-05-28T22:44:46Z</t>
  </si>
  <si>
    <t>2019-05-30T17:37:36Z</t>
  </si>
  <si>
    <t>2019-05-30T20:42:25Z</t>
  </si>
  <si>
    <t>2019-05-30T21:54:32Z</t>
  </si>
  <si>
    <t>2019-05-30T22:06:20Z</t>
  </si>
  <si>
    <t>2019-05-31T17:39:22Z</t>
  </si>
  <si>
    <t>2019-06-04T23:27:21Z</t>
  </si>
  <si>
    <t>ernesto.boado.moreira@gmail.com</t>
  </si>
  <si>
    <t>split-croatia-workshop</t>
  </si>
  <si>
    <t>2019-04-23T13:35:06Z</t>
  </si>
  <si>
    <t>2019-04-23T13:41:49Z</t>
  </si>
  <si>
    <t>2019-04-23T14:37:56Z</t>
  </si>
  <si>
    <t>frangellaemilio@gmail.com</t>
  </si>
  <si>
    <t>2019-04-23T15:45:32Z</t>
  </si>
  <si>
    <t>2019-04-23T15:51:18Z</t>
  </si>
  <si>
    <t>anibal.eduardo@protonmail.ch</t>
  </si>
  <si>
    <t>2019-04-23T21:39:53Z</t>
  </si>
  <si>
    <t>2019-04-24T03:02:55Z</t>
  </si>
  <si>
    <t>2019-04-24T06:22:47Z</t>
  </si>
  <si>
    <t>2019-04-24T06:47:47Z</t>
  </si>
  <si>
    <t>2019-04-24T06:48:51Z</t>
  </si>
  <si>
    <t>2019-04-24T08:21:59Z</t>
  </si>
  <si>
    <t>2019-04-24T08:22:14Z</t>
  </si>
  <si>
    <t>2019-04-24T08:49:00Z</t>
  </si>
  <si>
    <t>2019-04-24T09:15:43Z</t>
  </si>
  <si>
    <t>2019-04-24T15:39:34Z</t>
  </si>
  <si>
    <t>2019-04-24T20:59:02Z</t>
  </si>
  <si>
    <t>2019-04-24T22:40:36Z</t>
  </si>
  <si>
    <t>2019-04-24T22:53:53Z</t>
  </si>
  <si>
    <t>2019-04-24T23:05:26Z</t>
  </si>
  <si>
    <t>2019-04-24T23:18:09Z</t>
  </si>
  <si>
    <t>2019-04-24T23:19:38Z</t>
  </si>
  <si>
    <t>2019-04-24T23:21:02Z</t>
  </si>
  <si>
    <t>2019-04-24T23:22:03Z</t>
  </si>
  <si>
    <t>2019-04-24T23:23:10Z</t>
  </si>
  <si>
    <t>2019-04-25T00:59:01Z</t>
  </si>
  <si>
    <t>2019-04-25T01:00:55Z</t>
  </si>
  <si>
    <t>2019-04-25T01:01:04Z</t>
  </si>
  <si>
    <t>2019-04-25T01:07:05Z</t>
  </si>
  <si>
    <t>2019-04-25T01:07:48Z</t>
  </si>
  <si>
    <t>2019-04-25T03:40:17Z</t>
  </si>
  <si>
    <t>safety-module</t>
  </si>
  <si>
    <t>2020-09-25T10:22:17Z</t>
  </si>
  <si>
    <t>2020-09-25T10:24:51Z</t>
  </si>
  <si>
    <t>2020-09-25T10:30:24Z</t>
  </si>
  <si>
    <t>2020-09-25T10:32:06Z</t>
  </si>
  <si>
    <t>2020-09-25T16:06:01Z</t>
  </si>
  <si>
    <t>2020-09-25T16:06:58Z</t>
  </si>
  <si>
    <t>2020-09-25T16:08:54Z</t>
  </si>
  <si>
    <t>2020-09-25T16:20:50Z</t>
  </si>
  <si>
    <t>proto-governance</t>
  </si>
  <si>
    <t>2020-09-22T12:19:37Z</t>
  </si>
  <si>
    <t>2020-09-22T12:21:03Z</t>
  </si>
  <si>
    <t>2020-09-25T10:26:41Z</t>
  </si>
  <si>
    <t>markets-adapters</t>
  </si>
  <si>
    <t>2020-05-27T14:20:48Z</t>
  </si>
  <si>
    <t>2020-05-27T14:25:24Z</t>
  </si>
  <si>
    <t>2020-05-27T15:28:24Z</t>
  </si>
  <si>
    <t>loanlord-bot</t>
  </si>
  <si>
    <t>2019-02-20T18:54:36Z</t>
  </si>
  <si>
    <t>2019-02-20T19:02:42Z</t>
  </si>
  <si>
    <t>2019-02-20T19:04:46Z</t>
  </si>
  <si>
    <t>2019-02-20T19:05:00Z</t>
  </si>
  <si>
    <t>2019-02-20T19:07:24Z</t>
  </si>
  <si>
    <t>2019-02-21T11:08:29Z</t>
  </si>
  <si>
    <t>2019-02-21T11:29:28Z</t>
  </si>
  <si>
    <t>2019-02-21T14:52:33Z</t>
  </si>
  <si>
    <t>2019-02-21T16:28:10Z</t>
  </si>
  <si>
    <t>2019-02-21T16:31:11Z</t>
  </si>
  <si>
    <t>2019-02-21T16:31:57Z</t>
  </si>
  <si>
    <t>2019-02-22T13:17:19Z</t>
  </si>
  <si>
    <t>2019-02-22T13:27:57Z</t>
  </si>
  <si>
    <t>2019-04-18T17:21:34Z</t>
  </si>
  <si>
    <t>argeares97@gmail.com</t>
  </si>
  <si>
    <t>liquidation-ui</t>
  </si>
  <si>
    <t>2020-03-13T14:42:59Z</t>
  </si>
  <si>
    <t>2020-03-13T15:55:38Z</t>
  </si>
  <si>
    <t>2020-03-13T16:25:54Z</t>
  </si>
  <si>
    <t>2020-03-13T16:30:29Z</t>
  </si>
  <si>
    <t>2020-03-13T16:44:56Z</t>
  </si>
  <si>
    <t>2020-03-13T17:51:02Z</t>
  </si>
  <si>
    <t>2020-03-13T18:24:56Z</t>
  </si>
  <si>
    <t>kyzia.ru@gmail.com</t>
  </si>
  <si>
    <t>2020-03-13T18:46:43Z</t>
  </si>
  <si>
    <t>2020-03-13T19:17:20Z</t>
  </si>
  <si>
    <t>2020-03-13T19:30:48Z</t>
  </si>
  <si>
    <t>2020-03-13T20:33:43Z</t>
  </si>
  <si>
    <t>2020-03-13T21:45:25Z</t>
  </si>
  <si>
    <t>2020-03-14T09:03:19Z</t>
  </si>
  <si>
    <t>2020-03-14T09:18:25Z</t>
  </si>
  <si>
    <t>2020-03-14T09:30:42Z</t>
  </si>
  <si>
    <t>emilio@ethlend.io</t>
  </si>
  <si>
    <t>2020-03-16T09:10:46Z</t>
  </si>
  <si>
    <t>2020-03-16T09:11:00Z</t>
  </si>
  <si>
    <t>2020-03-16T10:55:32Z</t>
  </si>
  <si>
    <t>2020-03-16T10:59:48Z</t>
  </si>
  <si>
    <t>2020-03-16T11:35:27Z</t>
  </si>
  <si>
    <t>2020-03-19T09:48:26Z</t>
  </si>
  <si>
    <t>2020-03-19T10:08:52Z</t>
  </si>
  <si>
    <t>2020-03-23T09:29:31Z</t>
  </si>
  <si>
    <t>2020-03-23T09:33:07Z</t>
  </si>
  <si>
    <t>2020-03-23T10:14:13Z</t>
  </si>
  <si>
    <t>2020-03-23T10:36:21Z</t>
  </si>
  <si>
    <t>2020-03-23T10:46:52Z</t>
  </si>
  <si>
    <t>2020-03-23T10:48:27Z</t>
  </si>
  <si>
    <t>2020-03-23T10:48:47Z</t>
  </si>
  <si>
    <t>2020-03-23T11:06:16Z</t>
  </si>
  <si>
    <t>genesis-migration</t>
  </si>
  <si>
    <t>2020-09-25T10:44:25Z</t>
  </si>
  <si>
    <t>2020-09-25T10:46:47Z</t>
  </si>
  <si>
    <t>david@truong.vc</t>
  </si>
  <si>
    <t>flashloan-box</t>
  </si>
  <si>
    <t>2020-04-21T19:47:39Z</t>
  </si>
  <si>
    <t>2020-04-22T09:14:00Z</t>
  </si>
  <si>
    <t>2020-04-22T17:43:11Z</t>
  </si>
  <si>
    <t>david@themobilecompany.com</t>
  </si>
  <si>
    <t>2020-05-11T11:38:20Z</t>
  </si>
  <si>
    <t>cds.sudama@gmail.com</t>
  </si>
  <si>
    <t>2020-05-29T02:35:15Z</t>
  </si>
  <si>
    <t>2020-05-29T07:35:18Z</t>
  </si>
  <si>
    <t>2020-06-04T12:08:53Z</t>
  </si>
  <si>
    <t>2020-06-30T15:09:04Z</t>
  </si>
  <si>
    <t>2020-06-30T15:12:53Z</t>
  </si>
  <si>
    <t>2020-07-02T10:11:57Z</t>
  </si>
  <si>
    <t>ethlondon-flash</t>
  </si>
  <si>
    <t>2020-02-28T17:49:25Z</t>
  </si>
  <si>
    <t>2020-02-28T20:01:33Z</t>
  </si>
  <si>
    <t>2020-02-28T20:02:01Z</t>
  </si>
  <si>
    <t>2020-03-03T16:15:25Z</t>
  </si>
  <si>
    <t>2020-03-03T16:43:32Z</t>
  </si>
  <si>
    <t>2020-03-03T16:43:49Z</t>
  </si>
  <si>
    <t>2020-03-03T16:56:44Z</t>
  </si>
  <si>
    <t>dlp-docs-abi</t>
  </si>
  <si>
    <t>2019-07-19T13:13:34Z</t>
  </si>
  <si>
    <t>37953689+The-3D@users.noreply.github.com</t>
  </si>
  <si>
    <t>2019-07-19T13:16:32Z</t>
  </si>
  <si>
    <t>2019-07-19T13:16:59Z</t>
  </si>
  <si>
    <t>2019-07-19T13:48:23Z</t>
  </si>
  <si>
    <t>2019-07-19T13:55:35Z</t>
  </si>
  <si>
    <t>2019-07-19T14:10:35Z</t>
  </si>
  <si>
    <t>2019-07-19T14:22:15Z</t>
  </si>
  <si>
    <t>2019-07-19T14:26:41Z</t>
  </si>
  <si>
    <t>2019-07-19T14:28:11Z</t>
  </si>
  <si>
    <t>2019-07-19T14:29:00Z</t>
  </si>
  <si>
    <t>2019-07-19T14:31:06Z</t>
  </si>
  <si>
    <t>2019-07-19T14:32:01Z</t>
  </si>
  <si>
    <t>2020-03-03T20:25:10Z</t>
  </si>
  <si>
    <t>2020-03-03T20:25:31Z</t>
  </si>
  <si>
    <t>ivan.herger@gmail.com</t>
  </si>
  <si>
    <t>2020-03-04T09:36:42Z</t>
  </si>
  <si>
    <t>2020-03-04T16:57:25Z</t>
  </si>
  <si>
    <t>2020-03-04T17:01:29Z</t>
  </si>
  <si>
    <t>2020-03-04T17:02:21Z</t>
  </si>
  <si>
    <t>kevin.zhang@ddex.io</t>
  </si>
  <si>
    <t>2020-03-04T17:44:30Z</t>
  </si>
  <si>
    <t>2020-03-05T20:29:30Z</t>
  </si>
  <si>
    <t>2020-03-06T00:18:33Z</t>
  </si>
  <si>
    <t>2020-03-06T00:19:41Z</t>
  </si>
  <si>
    <t>2020-03-06T00:20:29Z</t>
  </si>
  <si>
    <t>2020-03-10T03:17:04Z</t>
  </si>
  <si>
    <t>2020-03-11T15:48:42Z</t>
  </si>
  <si>
    <t>2020-03-11T16:04:15Z</t>
  </si>
  <si>
    <t>2020-03-11T21:59:11Z</t>
  </si>
  <si>
    <t>2020-03-13T21:05:24Z</t>
  </si>
  <si>
    <t>kongliangzhong@gmail.com</t>
  </si>
  <si>
    <t>2020-03-17T17:36:45Z</t>
  </si>
  <si>
    <t>2020-03-18T18:49:56Z</t>
  </si>
  <si>
    <t>2020-03-18T20:17:47Z</t>
  </si>
  <si>
    <t>2020-03-18T20:29:55Z</t>
  </si>
  <si>
    <t>2020-03-19T15:50:43Z</t>
  </si>
  <si>
    <t>2020-03-19T18:26:08Z</t>
  </si>
  <si>
    <t>2020-03-19T18:40:04Z</t>
  </si>
  <si>
    <t>2020-03-19T18:43:31Z</t>
  </si>
  <si>
    <t>2020-03-19T18:43:42Z</t>
  </si>
  <si>
    <t>2020-03-19T18:43:52Z</t>
  </si>
  <si>
    <t>2020-03-19T22:19:12Z</t>
  </si>
  <si>
    <t>2020-03-19T22:19:33Z</t>
  </si>
  <si>
    <t>2020-03-19T23:51:47Z</t>
  </si>
  <si>
    <t>2020-03-19T23:52:02Z</t>
  </si>
  <si>
    <t>aip</t>
  </si>
  <si>
    <t>2020-06-26T12:18:38Z</t>
  </si>
  <si>
    <t>2020-06-26T12:38:28Z</t>
  </si>
  <si>
    <t>2020-06-26T13:38:18Z</t>
  </si>
  <si>
    <t>2020-06-29T10:05:12Z</t>
  </si>
  <si>
    <t>2020-06-30T08:24:02Z</t>
  </si>
  <si>
    <t>2020-07-01T13:19:09Z</t>
  </si>
  <si>
    <t>2020-07-01T13:20:20Z</t>
  </si>
  <si>
    <t>2020-07-01T13:22:09Z</t>
  </si>
  <si>
    <t>2020-07-01T13:24:04Z</t>
  </si>
  <si>
    <t>2020-07-01T13:28:18Z</t>
  </si>
  <si>
    <t>2020-07-01T13:35:25Z</t>
  </si>
  <si>
    <t>2020-07-01T13:40:04Z</t>
  </si>
  <si>
    <t>2020-07-01T14:59:09Z</t>
  </si>
  <si>
    <t>2020-07-01T15:02:18Z</t>
  </si>
  <si>
    <t>david@aave.com</t>
  </si>
  <si>
    <t>2020-07-30T21:30:53Z</t>
  </si>
  <si>
    <t>2020-09-23T08:45:04Z</t>
  </si>
  <si>
    <t>2020-09-23T10:09:13Z</t>
  </si>
  <si>
    <t>2020-09-23T10:11:50Z</t>
  </si>
  <si>
    <t>2020-09-23T10:22:20Z</t>
  </si>
  <si>
    <t>2020-09-25T13:36:00Z</t>
  </si>
  <si>
    <t>2020-09-25T13:38:59Z</t>
  </si>
  <si>
    <t>2020-09-25T13:42:37Z</t>
  </si>
  <si>
    <t>2020-09-25T13:49:12Z</t>
  </si>
  <si>
    <t>2020-09-25T13:50:05Z</t>
  </si>
  <si>
    <t>2020-09-25T13:51:58Z</t>
  </si>
  <si>
    <t>2020-09-25T14:15:28Z</t>
  </si>
  <si>
    <t>2020-09-25T14:29:17Z</t>
  </si>
  <si>
    <t>2020-09-25T15:22:31Z</t>
  </si>
  <si>
    <t>2020-09-25T16:04:15Z</t>
  </si>
  <si>
    <t>2020-09-25T18:27:58Z</t>
  </si>
  <si>
    <t>aave-token</t>
  </si>
  <si>
    <t>2020-09-22T12:27:38Z</t>
  </si>
  <si>
    <t>2020-09-25T10:12:49Z</t>
  </si>
  <si>
    <t>2020-09-25T16:02:10Z</t>
  </si>
  <si>
    <t>aave-protocol</t>
  </si>
  <si>
    <t>2019-10-24T09:54:15Z</t>
  </si>
  <si>
    <t>2019-10-24T10:16:53Z</t>
  </si>
  <si>
    <t>2019-10-24T10:18:21Z</t>
  </si>
  <si>
    <t>2019-10-24T10:19:10Z</t>
  </si>
  <si>
    <t>2019-10-24T11:16:27Z</t>
  </si>
  <si>
    <t>2019-10-30T07:46:03Z</t>
  </si>
  <si>
    <t>2019-10-30T07:48:41Z</t>
  </si>
  <si>
    <t>2019-11-02T18:11:40Z</t>
  </si>
  <si>
    <t>2019-11-02T18:15:45Z</t>
  </si>
  <si>
    <t>2020-01-08T15:45:09Z</t>
  </si>
  <si>
    <t>2020-01-08T19:54:00Z</t>
  </si>
  <si>
    <t>2020-01-09T14:58:34Z</t>
  </si>
  <si>
    <t>2020-01-11T21:21:15Z</t>
  </si>
  <si>
    <t>2020-01-27T11:20:55Z</t>
  </si>
  <si>
    <t>2020-01-27T11:21:29Z</t>
  </si>
  <si>
    <t>2020-01-27T11:22:04Z</t>
  </si>
  <si>
    <t>2020-01-27T11:22:29Z</t>
  </si>
  <si>
    <t>2020-01-28T02:35:14Z</t>
  </si>
  <si>
    <t>2020-01-28T02:36:03Z</t>
  </si>
  <si>
    <t>2020-01-29T15:25:10Z</t>
  </si>
  <si>
    <t>2020-01-31T13:22:11Z</t>
  </si>
  <si>
    <t>2020-01-31T13:26:46Z</t>
  </si>
  <si>
    <t>2020-01-31T13:29:24Z</t>
  </si>
  <si>
    <t>2020-02-07T11:17:43Z</t>
  </si>
  <si>
    <t>2020-04-06T18:30:03Z</t>
  </si>
  <si>
    <t>2020-04-23T15:54:40Z</t>
  </si>
  <si>
    <t>2020-06-12T09:24:19Z</t>
  </si>
  <si>
    <t>2020-06-12T09:48:38Z</t>
  </si>
  <si>
    <t>2020-09-01T07:33:06Z</t>
  </si>
  <si>
    <t>2020-09-30T11:54:57Z</t>
  </si>
  <si>
    <t>aave-js</t>
  </si>
  <si>
    <t>2020-03-25T07:27:49Z</t>
  </si>
  <si>
    <t>2020-03-25T08:14:42Z</t>
  </si>
  <si>
    <t>2020-03-25T08:25:35Z</t>
  </si>
  <si>
    <t>2020-03-30T07:05:01Z</t>
  </si>
  <si>
    <t>2020-03-30T08:16:22Z</t>
  </si>
  <si>
    <t>2020-04-09T09:01:38Z</t>
  </si>
  <si>
    <t>2020-04-22T11:21:38Z</t>
  </si>
  <si>
    <t>2020-04-22T11:25:16Z</t>
  </si>
  <si>
    <t>2020-04-22T13:16:06Z</t>
  </si>
  <si>
    <t>2020-04-22T13:16:20Z</t>
  </si>
  <si>
    <t>2020-04-22T13:20:48Z</t>
  </si>
  <si>
    <t>2020-04-22T13:20:55Z</t>
  </si>
  <si>
    <t>2020-05-05T12:38:40Z</t>
  </si>
  <si>
    <t>2020-05-05T12:41:09Z</t>
  </si>
  <si>
    <t>2020-05-08T12:07:01Z</t>
  </si>
  <si>
    <t>2020-05-08T12:07:09Z</t>
  </si>
  <si>
    <t>2020-05-29T15:52:54Z</t>
  </si>
  <si>
    <t>2020-05-29T16:02:08Z</t>
  </si>
  <si>
    <t>2020-05-29T16:02:12Z</t>
  </si>
  <si>
    <t>2020-05-29T16:04:51Z</t>
  </si>
  <si>
    <t>2020-05-29T16:04:58Z</t>
  </si>
  <si>
    <t>2020-06-12T07:09:47Z</t>
  </si>
  <si>
    <t>2020-06-12T07:10:24Z</t>
  </si>
  <si>
    <t>2020-06-12T07:12:53Z</t>
  </si>
  <si>
    <t>2020-07-24T13:27:30Z</t>
  </si>
  <si>
    <t>2020-07-24T13:27:40Z</t>
  </si>
  <si>
    <t>2020-09-02T10:58:39Z</t>
  </si>
  <si>
    <t>2020-09-02T10:58:50Z</t>
  </si>
  <si>
    <t>2020-09-02T11:02:27Z</t>
  </si>
  <si>
    <t>2020-09-02T11:02:32Z</t>
  </si>
  <si>
    <t>committer</t>
  </si>
  <si>
    <t>repo</t>
  </si>
  <si>
    <t>username</t>
  </si>
  <si>
    <t>timestamp</t>
  </si>
  <si>
    <t>Count of committer</t>
  </si>
  <si>
    <t>Column Labels</t>
  </si>
  <si>
    <t>Total</t>
  </si>
  <si>
    <t>%top 10 aave</t>
  </si>
  <si>
    <t>%top 10 comp</t>
  </si>
  <si>
    <t>comp</t>
  </si>
  <si>
    <t>borrowers</t>
  </si>
  <si>
    <t>protocol</t>
  </si>
  <si>
    <t>borrower</t>
  </si>
  <si>
    <t>lender</t>
  </si>
  <si>
    <t>week</t>
  </si>
  <si>
    <t>Flash Loan Volume</t>
  </si>
  <si>
    <t>category</t>
  </si>
  <si>
    <t>Sum of count</t>
  </si>
  <si>
    <t>$Total Flash Loans</t>
  </si>
  <si>
    <t>Flash Loan Vol.</t>
  </si>
  <si>
    <t>lenders</t>
  </si>
  <si>
    <t>aave/comp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</si>
</sst>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767676"/>
      <name val="Segoe UI"/>
      <family val="2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F0F0F0"/>
      </top>
      <bottom/>
      <diagonal/>
    </border>
    <border>
      <left style="medium">
        <color rgb="FFF0F0F0"/>
      </left>
      <right/>
      <top style="medium">
        <color rgb="FFF0F0F0"/>
      </top>
      <bottom/>
      <diagonal/>
    </border>
    <border>
      <left/>
      <right style="medium">
        <color rgb="FFF0F0F0"/>
      </right>
      <top style="medium">
        <color rgb="FFF0F0F0"/>
      </top>
      <bottom/>
      <diagonal/>
    </border>
    <border>
      <left style="medium">
        <color rgb="FFF0F0F0"/>
      </left>
      <right/>
      <top style="medium">
        <color rgb="FFF0F0F0"/>
      </top>
      <bottom style="medium">
        <color rgb="FFF0F0F0"/>
      </bottom>
      <diagonal/>
    </border>
    <border>
      <left/>
      <right/>
      <top style="medium">
        <color rgb="FFF0F0F0"/>
      </top>
      <bottom style="medium">
        <color rgb="FFF0F0F0"/>
      </bottom>
      <diagonal/>
    </border>
    <border>
      <left/>
      <right style="medium">
        <color rgb="FFF0F0F0"/>
      </right>
      <top style="medium">
        <color rgb="FFF0F0F0"/>
      </top>
      <bottom style="medium">
        <color rgb="FFF0F0F0"/>
      </bottom>
      <diagonal/>
    </border>
    <border>
      <left/>
      <right style="medium">
        <color rgb="FFF0F0F0"/>
      </right>
      <top/>
      <bottom style="medium">
        <color rgb="FFF0F0F0"/>
      </bottom>
      <diagonal/>
    </border>
    <border>
      <left/>
      <right style="medium">
        <color rgb="FFF0F0F0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4" fontId="0" fillId="0" borderId="0" xfId="0" quotePrefix="1" applyNumberFormat="1" applyAlignment="1">
      <alignment horizontal="right"/>
    </xf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1" xfId="0" applyFill="1" applyBorder="1" applyAlignment="1">
      <alignment horizontal="right" vertic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center"/>
    </xf>
    <xf numFmtId="0" fontId="0" fillId="2" borderId="6" xfId="0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indent="1"/>
    </xf>
    <xf numFmtId="0" fontId="2" fillId="2" borderId="3" xfId="0" applyFont="1" applyFill="1" applyBorder="1" applyAlignment="1">
      <alignment vertical="center" wrapText="1"/>
    </xf>
    <xf numFmtId="22" fontId="2" fillId="2" borderId="2" xfId="0" applyNumberFormat="1" applyFont="1" applyFill="1" applyBorder="1" applyAlignment="1">
      <alignment horizontal="right" vertical="center" indent="1"/>
    </xf>
    <xf numFmtId="0" fontId="2" fillId="2" borderId="4" xfId="0" applyFont="1" applyFill="1" applyBorder="1" applyAlignment="1">
      <alignment horizontal="right" vertical="center" indent="1"/>
    </xf>
    <xf numFmtId="0" fontId="2" fillId="2" borderId="5" xfId="0" applyFont="1" applyFill="1" applyBorder="1" applyAlignment="1">
      <alignment horizontal="right" vertical="center"/>
    </xf>
    <xf numFmtId="0" fontId="0" fillId="2" borderId="7" xfId="0" applyFill="1" applyBorder="1"/>
    <xf numFmtId="22" fontId="2" fillId="2" borderId="4" xfId="0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1" xfId="0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indent="1"/>
    </xf>
    <xf numFmtId="22" fontId="0" fillId="2" borderId="1" xfId="0" applyNumberFormat="1" applyFill="1" applyBorder="1" applyAlignment="1">
      <alignment horizontal="right" vertical="center" indent="1"/>
    </xf>
    <xf numFmtId="22" fontId="2" fillId="2" borderId="1" xfId="0" applyNumberFormat="1" applyFont="1" applyFill="1" applyBorder="1" applyAlignment="1">
      <alignment horizontal="right" vertical="center" indent="1"/>
    </xf>
    <xf numFmtId="0" fontId="3" fillId="2" borderId="9" xfId="0" applyFont="1" applyFill="1" applyBorder="1" applyAlignment="1">
      <alignment horizontal="right" vertical="center" indent="1"/>
    </xf>
    <xf numFmtId="0" fontId="3" fillId="2" borderId="9" xfId="0" applyFont="1" applyFill="1" applyBorder="1" applyAlignment="1">
      <alignment horizontal="right" vertical="center"/>
    </xf>
    <xf numFmtId="11" fontId="0" fillId="2" borderId="1" xfId="0" applyNumberForma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11" fontId="0" fillId="2" borderId="5" xfId="0" applyNumberFormat="1" applyFill="1" applyBorder="1" applyAlignment="1">
      <alignment horizontal="right" vertical="center"/>
    </xf>
    <xf numFmtId="11" fontId="2" fillId="2" borderId="1" xfId="0" applyNumberFormat="1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 indent="1"/>
    </xf>
    <xf numFmtId="14" fontId="0" fillId="2" borderId="1" xfId="0" applyNumberFormat="1" applyFill="1" applyBorder="1" applyAlignment="1">
      <alignment horizontal="right" vertical="center" indent="1"/>
    </xf>
    <xf numFmtId="0" fontId="4" fillId="0" borderId="0" xfId="0" applyFont="1" applyBorder="1"/>
    <xf numFmtId="0" fontId="4" fillId="2" borderId="0" xfId="0" applyFont="1" applyFill="1" applyBorder="1" applyAlignment="1">
      <alignment horizontal="right" vertical="center" indent="1"/>
    </xf>
    <xf numFmtId="14" fontId="4" fillId="2" borderId="0" xfId="0" applyNumberFormat="1" applyFont="1" applyFill="1" applyBorder="1" applyAlignment="1">
      <alignment horizontal="right" vertical="center" indent="1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22" fontId="4" fillId="2" borderId="0" xfId="0" applyNumberFormat="1" applyFont="1" applyFill="1" applyBorder="1" applyAlignment="1">
      <alignment horizontal="right" vertical="center" indent="1"/>
    </xf>
    <xf numFmtId="0" fontId="0" fillId="2" borderId="8" xfId="0" applyFill="1" applyBorder="1"/>
    <xf numFmtId="21" fontId="0" fillId="0" borderId="0" xfId="0" applyNumberFormat="1"/>
    <xf numFmtId="20" fontId="0" fillId="0" borderId="0" xfId="0" applyNumberFormat="1"/>
    <xf numFmtId="0" fontId="0" fillId="2" borderId="5" xfId="0" applyFill="1" applyBorder="1" applyAlignment="1">
      <alignment horizontal="right" vertical="center" indent="1"/>
    </xf>
    <xf numFmtId="14" fontId="0" fillId="2" borderId="5" xfId="0" applyNumberFormat="1" applyFill="1" applyBorder="1" applyAlignment="1">
      <alignment horizontal="right" vertical="center" inden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67676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F0F0F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67676"/>
        <name val="Segoe UI"/>
        <family val="2"/>
        <scheme val="none"/>
      </font>
      <numFmt numFmtId="15" formatCode="0.00E+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F0F0F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67676"/>
        <name val="Segoe UI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right" vertical="center" textRotation="0" wrapText="0" indent="1" justifyLastLine="0" shrinkToFit="0" readingOrder="0"/>
      <border diagonalUp="0" diagonalDown="0">
        <left/>
        <right/>
        <top style="medium">
          <color rgb="FFF0F0F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767676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1" justifyLastLine="0" shrinkToFit="0" readingOrder="0"/>
      <border diagonalUp="0" diagonalDown="0">
        <left/>
        <right/>
        <top style="medium">
          <color rgb="FFF0F0F0"/>
        </top>
        <bottom/>
        <vertical/>
        <horizontal/>
      </border>
    </dxf>
    <dxf>
      <border outline="0">
        <top style="medium">
          <color rgb="FFF0F0F0"/>
        </top>
      </border>
    </dxf>
    <dxf>
      <border outline="0">
        <bottom style="medium">
          <color rgb="FFF0F0F0"/>
        </bottom>
      </border>
    </dxf>
    <dxf>
      <border outline="0">
        <left style="medium">
          <color rgb="FFF0F0F0"/>
        </left>
        <top style="medium">
          <color rgb="FFF0F0F0"/>
        </top>
        <bottom style="medium">
          <color rgb="FFF0F0F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rgb="FFFFFFFF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right" vertical="center" textRotation="0" wrapText="0" indent="1" justifyLastLine="0" shrinkToFit="0" readingOrder="0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465359"/>
      <color rgb="FF969FA7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[a16z_data_analysis.xlsx]tvl_pivot!PivotTable1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Defi</a:t>
            </a:r>
            <a:r>
              <a:rPr lang="en-US" baseline="0"/>
              <a:t> Market Share &amp; Average </a:t>
            </a:r>
            <a:r>
              <a:rPr lang="en-US"/>
              <a:t>Total Value Locked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69FA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65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tvl_pivot!$C$3</c:f>
              <c:strCache>
                <c:ptCount val="1"/>
                <c:pt idx="0">
                  <c:v>share_others</c:v>
                </c:pt>
              </c:strCache>
            </c:strRef>
          </c:tx>
          <c:spPr>
            <a:solidFill>
              <a:srgbClr val="969FA7"/>
            </a:solidFill>
            <a:ln>
              <a:noFill/>
            </a:ln>
            <a:effectLst/>
          </c:spPr>
          <c:cat>
            <c:multiLvlStrRef>
              <c:f>tvl_pivot!$A$4:$B$1176</c:f>
              <c:multiLvlStrCache>
                <c:ptCount val="1168"/>
                <c:lvl>
                  <c:pt idx="0">
                    <c:v>2-Aug</c:v>
                  </c:pt>
                  <c:pt idx="1">
                    <c:v>3-Aug</c:v>
                  </c:pt>
                  <c:pt idx="2">
                    <c:v>4-Aug</c:v>
                  </c:pt>
                  <c:pt idx="3">
                    <c:v>5-Aug</c:v>
                  </c:pt>
                  <c:pt idx="4">
                    <c:v>6-Aug</c:v>
                  </c:pt>
                  <c:pt idx="5">
                    <c:v>7-Aug</c:v>
                  </c:pt>
                  <c:pt idx="6">
                    <c:v>8-Aug</c:v>
                  </c:pt>
                  <c:pt idx="7">
                    <c:v>9-Aug</c:v>
                  </c:pt>
                  <c:pt idx="8">
                    <c:v>10-Aug</c:v>
                  </c:pt>
                  <c:pt idx="9">
                    <c:v>11-Aug</c:v>
                  </c:pt>
                  <c:pt idx="10">
                    <c:v>12-Aug</c:v>
                  </c:pt>
                  <c:pt idx="11">
                    <c:v>13-Aug</c:v>
                  </c:pt>
                  <c:pt idx="12">
                    <c:v>14-Aug</c:v>
                  </c:pt>
                  <c:pt idx="13">
                    <c:v>15-Aug</c:v>
                  </c:pt>
                  <c:pt idx="14">
                    <c:v>16-Aug</c:v>
                  </c:pt>
                  <c:pt idx="15">
                    <c:v>17-Aug</c:v>
                  </c:pt>
                  <c:pt idx="16">
                    <c:v>18-Aug</c:v>
                  </c:pt>
                  <c:pt idx="17">
                    <c:v>19-Aug</c:v>
                  </c:pt>
                  <c:pt idx="18">
                    <c:v>20-Aug</c:v>
                  </c:pt>
                  <c:pt idx="19">
                    <c:v>21-Aug</c:v>
                  </c:pt>
                  <c:pt idx="20">
                    <c:v>22-Aug</c:v>
                  </c:pt>
                  <c:pt idx="21">
                    <c:v>23-Aug</c:v>
                  </c:pt>
                  <c:pt idx="22">
                    <c:v>24-Aug</c:v>
                  </c:pt>
                  <c:pt idx="23">
                    <c:v>25-Aug</c:v>
                  </c:pt>
                  <c:pt idx="24">
                    <c:v>26-Aug</c:v>
                  </c:pt>
                  <c:pt idx="25">
                    <c:v>27-Aug</c:v>
                  </c:pt>
                  <c:pt idx="26">
                    <c:v>28-Aug</c:v>
                  </c:pt>
                  <c:pt idx="27">
                    <c:v>29-Aug</c:v>
                  </c:pt>
                  <c:pt idx="28">
                    <c:v>30-Aug</c:v>
                  </c:pt>
                  <c:pt idx="29">
                    <c:v>31-Aug</c:v>
                  </c:pt>
                  <c:pt idx="30">
                    <c:v>1-Sep</c:v>
                  </c:pt>
                  <c:pt idx="31">
                    <c:v>2-Sep</c:v>
                  </c:pt>
                  <c:pt idx="32">
                    <c:v>3-Sep</c:v>
                  </c:pt>
                  <c:pt idx="33">
                    <c:v>4-Sep</c:v>
                  </c:pt>
                  <c:pt idx="34">
                    <c:v>5-Sep</c:v>
                  </c:pt>
                  <c:pt idx="35">
                    <c:v>6-Sep</c:v>
                  </c:pt>
                  <c:pt idx="36">
                    <c:v>7-Sep</c:v>
                  </c:pt>
                  <c:pt idx="37">
                    <c:v>8-Sep</c:v>
                  </c:pt>
                  <c:pt idx="38">
                    <c:v>9-Sep</c:v>
                  </c:pt>
                  <c:pt idx="39">
                    <c:v>10-Sep</c:v>
                  </c:pt>
                  <c:pt idx="40">
                    <c:v>11-Sep</c:v>
                  </c:pt>
                  <c:pt idx="41">
                    <c:v>12-Sep</c:v>
                  </c:pt>
                  <c:pt idx="42">
                    <c:v>13-Sep</c:v>
                  </c:pt>
                  <c:pt idx="43">
                    <c:v>14-Sep</c:v>
                  </c:pt>
                  <c:pt idx="44">
                    <c:v>15-Sep</c:v>
                  </c:pt>
                  <c:pt idx="45">
                    <c:v>16-Sep</c:v>
                  </c:pt>
                  <c:pt idx="46">
                    <c:v>17-Sep</c:v>
                  </c:pt>
                  <c:pt idx="47">
                    <c:v>18-Sep</c:v>
                  </c:pt>
                  <c:pt idx="48">
                    <c:v>19-Sep</c:v>
                  </c:pt>
                  <c:pt idx="49">
                    <c:v>20-Sep</c:v>
                  </c:pt>
                  <c:pt idx="50">
                    <c:v>21-Sep</c:v>
                  </c:pt>
                  <c:pt idx="51">
                    <c:v>22-Sep</c:v>
                  </c:pt>
                  <c:pt idx="52">
                    <c:v>23-Sep</c:v>
                  </c:pt>
                  <c:pt idx="53">
                    <c:v>24-Sep</c:v>
                  </c:pt>
                  <c:pt idx="54">
                    <c:v>25-Sep</c:v>
                  </c:pt>
                  <c:pt idx="55">
                    <c:v>26-Sep</c:v>
                  </c:pt>
                  <c:pt idx="56">
                    <c:v>27-Sep</c:v>
                  </c:pt>
                  <c:pt idx="57">
                    <c:v>28-Sep</c:v>
                  </c:pt>
                  <c:pt idx="58">
                    <c:v>29-Sep</c:v>
                  </c:pt>
                  <c:pt idx="59">
                    <c:v>30-Sep</c:v>
                  </c:pt>
                  <c:pt idx="60">
                    <c:v>1-Oct</c:v>
                  </c:pt>
                  <c:pt idx="61">
                    <c:v>2-Oct</c:v>
                  </c:pt>
                  <c:pt idx="62">
                    <c:v>3-Oct</c:v>
                  </c:pt>
                  <c:pt idx="63">
                    <c:v>4-Oct</c:v>
                  </c:pt>
                  <c:pt idx="64">
                    <c:v>5-Oct</c:v>
                  </c:pt>
                  <c:pt idx="65">
                    <c:v>6-Oct</c:v>
                  </c:pt>
                  <c:pt idx="66">
                    <c:v>7-Oct</c:v>
                  </c:pt>
                  <c:pt idx="67">
                    <c:v>8-Oct</c:v>
                  </c:pt>
                  <c:pt idx="68">
                    <c:v>9-Oct</c:v>
                  </c:pt>
                  <c:pt idx="69">
                    <c:v>10-Oct</c:v>
                  </c:pt>
                  <c:pt idx="70">
                    <c:v>11-Oct</c:v>
                  </c:pt>
                  <c:pt idx="71">
                    <c:v>12-Oct</c:v>
                  </c:pt>
                  <c:pt idx="72">
                    <c:v>13-Oct</c:v>
                  </c:pt>
                  <c:pt idx="73">
                    <c:v>14-Oct</c:v>
                  </c:pt>
                  <c:pt idx="74">
                    <c:v>15-Oct</c:v>
                  </c:pt>
                  <c:pt idx="75">
                    <c:v>16-Oct</c:v>
                  </c:pt>
                  <c:pt idx="76">
                    <c:v>17-Oct</c:v>
                  </c:pt>
                  <c:pt idx="77">
                    <c:v>18-Oct</c:v>
                  </c:pt>
                  <c:pt idx="78">
                    <c:v>19-Oct</c:v>
                  </c:pt>
                  <c:pt idx="79">
                    <c:v>20-Oct</c:v>
                  </c:pt>
                  <c:pt idx="80">
                    <c:v>21-Oct</c:v>
                  </c:pt>
                  <c:pt idx="81">
                    <c:v>22-Oct</c:v>
                  </c:pt>
                  <c:pt idx="82">
                    <c:v>23-Oct</c:v>
                  </c:pt>
                  <c:pt idx="83">
                    <c:v>24-Oct</c:v>
                  </c:pt>
                  <c:pt idx="84">
                    <c:v>25-Oct</c:v>
                  </c:pt>
                  <c:pt idx="85">
                    <c:v>26-Oct</c:v>
                  </c:pt>
                  <c:pt idx="86">
                    <c:v>27-Oct</c:v>
                  </c:pt>
                  <c:pt idx="87">
                    <c:v>28-Oct</c:v>
                  </c:pt>
                  <c:pt idx="88">
                    <c:v>29-Oct</c:v>
                  </c:pt>
                  <c:pt idx="89">
                    <c:v>30-Oct</c:v>
                  </c:pt>
                  <c:pt idx="90">
                    <c:v>31-Oct</c:v>
                  </c:pt>
                  <c:pt idx="91">
                    <c:v>1-Nov</c:v>
                  </c:pt>
                  <c:pt idx="92">
                    <c:v>2-Nov</c:v>
                  </c:pt>
                  <c:pt idx="93">
                    <c:v>3-Nov</c:v>
                  </c:pt>
                  <c:pt idx="94">
                    <c:v>4-Nov</c:v>
                  </c:pt>
                  <c:pt idx="95">
                    <c:v>5-Nov</c:v>
                  </c:pt>
                  <c:pt idx="96">
                    <c:v>6-Nov</c:v>
                  </c:pt>
                  <c:pt idx="97">
                    <c:v>7-Nov</c:v>
                  </c:pt>
                  <c:pt idx="98">
                    <c:v>8-Nov</c:v>
                  </c:pt>
                  <c:pt idx="99">
                    <c:v>9-Nov</c:v>
                  </c:pt>
                  <c:pt idx="100">
                    <c:v>10-Nov</c:v>
                  </c:pt>
                  <c:pt idx="101">
                    <c:v>11-Nov</c:v>
                  </c:pt>
                  <c:pt idx="102">
                    <c:v>12-Nov</c:v>
                  </c:pt>
                  <c:pt idx="103">
                    <c:v>13-Nov</c:v>
                  </c:pt>
                  <c:pt idx="104">
                    <c:v>14-Nov</c:v>
                  </c:pt>
                  <c:pt idx="105">
                    <c:v>15-Nov</c:v>
                  </c:pt>
                  <c:pt idx="106">
                    <c:v>16-Nov</c:v>
                  </c:pt>
                  <c:pt idx="107">
                    <c:v>17-Nov</c:v>
                  </c:pt>
                  <c:pt idx="108">
                    <c:v>18-Nov</c:v>
                  </c:pt>
                  <c:pt idx="109">
                    <c:v>19-Nov</c:v>
                  </c:pt>
                  <c:pt idx="110">
                    <c:v>20-Nov</c:v>
                  </c:pt>
                  <c:pt idx="111">
                    <c:v>21-Nov</c:v>
                  </c:pt>
                  <c:pt idx="112">
                    <c:v>22-Nov</c:v>
                  </c:pt>
                  <c:pt idx="113">
                    <c:v>23-Nov</c:v>
                  </c:pt>
                  <c:pt idx="114">
                    <c:v>24-Nov</c:v>
                  </c:pt>
                  <c:pt idx="115">
                    <c:v>25-Nov</c:v>
                  </c:pt>
                  <c:pt idx="116">
                    <c:v>26-Nov</c:v>
                  </c:pt>
                  <c:pt idx="117">
                    <c:v>27-Nov</c:v>
                  </c:pt>
                  <c:pt idx="118">
                    <c:v>28-Nov</c:v>
                  </c:pt>
                  <c:pt idx="119">
                    <c:v>29-Nov</c:v>
                  </c:pt>
                  <c:pt idx="120">
                    <c:v>30-Nov</c:v>
                  </c:pt>
                  <c:pt idx="121">
                    <c:v>1-Dec</c:v>
                  </c:pt>
                  <c:pt idx="122">
                    <c:v>2-Dec</c:v>
                  </c:pt>
                  <c:pt idx="123">
                    <c:v>3-Dec</c:v>
                  </c:pt>
                  <c:pt idx="124">
                    <c:v>4-Dec</c:v>
                  </c:pt>
                  <c:pt idx="125">
                    <c:v>5-Dec</c:v>
                  </c:pt>
                  <c:pt idx="126">
                    <c:v>6-Dec</c:v>
                  </c:pt>
                  <c:pt idx="127">
                    <c:v>7-Dec</c:v>
                  </c:pt>
                  <c:pt idx="128">
                    <c:v>8-Dec</c:v>
                  </c:pt>
                  <c:pt idx="129">
                    <c:v>9-Dec</c:v>
                  </c:pt>
                  <c:pt idx="130">
                    <c:v>10-Dec</c:v>
                  </c:pt>
                  <c:pt idx="131">
                    <c:v>11-Dec</c:v>
                  </c:pt>
                  <c:pt idx="132">
                    <c:v>12-Dec</c:v>
                  </c:pt>
                  <c:pt idx="133">
                    <c:v>13-Dec</c:v>
                  </c:pt>
                  <c:pt idx="134">
                    <c:v>14-Dec</c:v>
                  </c:pt>
                  <c:pt idx="135">
                    <c:v>15-Dec</c:v>
                  </c:pt>
                  <c:pt idx="136">
                    <c:v>16-Dec</c:v>
                  </c:pt>
                  <c:pt idx="137">
                    <c:v>17-Dec</c:v>
                  </c:pt>
                  <c:pt idx="138">
                    <c:v>18-Dec</c:v>
                  </c:pt>
                  <c:pt idx="139">
                    <c:v>19-Dec</c:v>
                  </c:pt>
                  <c:pt idx="140">
                    <c:v>20-Dec</c:v>
                  </c:pt>
                  <c:pt idx="141">
                    <c:v>21-Dec</c:v>
                  </c:pt>
                  <c:pt idx="142">
                    <c:v>22-Dec</c:v>
                  </c:pt>
                  <c:pt idx="143">
                    <c:v>23-Dec</c:v>
                  </c:pt>
                  <c:pt idx="144">
                    <c:v>24-Dec</c:v>
                  </c:pt>
                  <c:pt idx="145">
                    <c:v>25-Dec</c:v>
                  </c:pt>
                  <c:pt idx="146">
                    <c:v>26-Dec</c:v>
                  </c:pt>
                  <c:pt idx="147">
                    <c:v>27-Dec</c:v>
                  </c:pt>
                  <c:pt idx="148">
                    <c:v>28-Dec</c:v>
                  </c:pt>
                  <c:pt idx="149">
                    <c:v>29-Dec</c:v>
                  </c:pt>
                  <c:pt idx="150">
                    <c:v>30-Dec</c:v>
                  </c:pt>
                  <c:pt idx="151">
                    <c:v>31-Dec</c:v>
                  </c:pt>
                  <c:pt idx="152">
                    <c:v>1-Jan</c:v>
                  </c:pt>
                  <c:pt idx="153">
                    <c:v>2-Jan</c:v>
                  </c:pt>
                  <c:pt idx="154">
                    <c:v>3-Jan</c:v>
                  </c:pt>
                  <c:pt idx="155">
                    <c:v>4-Jan</c:v>
                  </c:pt>
                  <c:pt idx="156">
                    <c:v>5-Jan</c:v>
                  </c:pt>
                  <c:pt idx="157">
                    <c:v>6-Jan</c:v>
                  </c:pt>
                  <c:pt idx="158">
                    <c:v>7-Jan</c:v>
                  </c:pt>
                  <c:pt idx="159">
                    <c:v>8-Jan</c:v>
                  </c:pt>
                  <c:pt idx="160">
                    <c:v>9-Jan</c:v>
                  </c:pt>
                  <c:pt idx="161">
                    <c:v>10-Jan</c:v>
                  </c:pt>
                  <c:pt idx="162">
                    <c:v>11-Jan</c:v>
                  </c:pt>
                  <c:pt idx="163">
                    <c:v>12-Jan</c:v>
                  </c:pt>
                  <c:pt idx="164">
                    <c:v>13-Jan</c:v>
                  </c:pt>
                  <c:pt idx="165">
                    <c:v>14-Jan</c:v>
                  </c:pt>
                  <c:pt idx="166">
                    <c:v>15-Jan</c:v>
                  </c:pt>
                  <c:pt idx="167">
                    <c:v>16-Jan</c:v>
                  </c:pt>
                  <c:pt idx="168">
                    <c:v>17-Jan</c:v>
                  </c:pt>
                  <c:pt idx="169">
                    <c:v>18-Jan</c:v>
                  </c:pt>
                  <c:pt idx="170">
                    <c:v>19-Jan</c:v>
                  </c:pt>
                  <c:pt idx="171">
                    <c:v>20-Jan</c:v>
                  </c:pt>
                  <c:pt idx="172">
                    <c:v>21-Jan</c:v>
                  </c:pt>
                  <c:pt idx="173">
                    <c:v>22-Jan</c:v>
                  </c:pt>
                  <c:pt idx="174">
                    <c:v>23-Jan</c:v>
                  </c:pt>
                  <c:pt idx="175">
                    <c:v>24-Jan</c:v>
                  </c:pt>
                  <c:pt idx="176">
                    <c:v>25-Jan</c:v>
                  </c:pt>
                  <c:pt idx="177">
                    <c:v>26-Jan</c:v>
                  </c:pt>
                  <c:pt idx="178">
                    <c:v>27-Jan</c:v>
                  </c:pt>
                  <c:pt idx="179">
                    <c:v>28-Jan</c:v>
                  </c:pt>
                  <c:pt idx="180">
                    <c:v>29-Jan</c:v>
                  </c:pt>
                  <c:pt idx="181">
                    <c:v>30-Jan</c:v>
                  </c:pt>
                  <c:pt idx="182">
                    <c:v>31-Jan</c:v>
                  </c:pt>
                  <c:pt idx="183">
                    <c:v>1-Feb</c:v>
                  </c:pt>
                  <c:pt idx="184">
                    <c:v>2-Feb</c:v>
                  </c:pt>
                  <c:pt idx="185">
                    <c:v>3-Feb</c:v>
                  </c:pt>
                  <c:pt idx="186">
                    <c:v>4-Feb</c:v>
                  </c:pt>
                  <c:pt idx="187">
                    <c:v>5-Feb</c:v>
                  </c:pt>
                  <c:pt idx="188">
                    <c:v>6-Feb</c:v>
                  </c:pt>
                  <c:pt idx="189">
                    <c:v>7-Feb</c:v>
                  </c:pt>
                  <c:pt idx="190">
                    <c:v>8-Feb</c:v>
                  </c:pt>
                  <c:pt idx="191">
                    <c:v>9-Feb</c:v>
                  </c:pt>
                  <c:pt idx="192">
                    <c:v>10-Feb</c:v>
                  </c:pt>
                  <c:pt idx="193">
                    <c:v>11-Feb</c:v>
                  </c:pt>
                  <c:pt idx="194">
                    <c:v>12-Feb</c:v>
                  </c:pt>
                  <c:pt idx="195">
                    <c:v>13-Feb</c:v>
                  </c:pt>
                  <c:pt idx="196">
                    <c:v>14-Feb</c:v>
                  </c:pt>
                  <c:pt idx="197">
                    <c:v>15-Feb</c:v>
                  </c:pt>
                  <c:pt idx="198">
                    <c:v>16-Feb</c:v>
                  </c:pt>
                  <c:pt idx="199">
                    <c:v>17-Feb</c:v>
                  </c:pt>
                  <c:pt idx="200">
                    <c:v>18-Feb</c:v>
                  </c:pt>
                  <c:pt idx="201">
                    <c:v>19-Feb</c:v>
                  </c:pt>
                  <c:pt idx="202">
                    <c:v>20-Feb</c:v>
                  </c:pt>
                  <c:pt idx="203">
                    <c:v>21-Feb</c:v>
                  </c:pt>
                  <c:pt idx="204">
                    <c:v>22-Feb</c:v>
                  </c:pt>
                  <c:pt idx="205">
                    <c:v>23-Feb</c:v>
                  </c:pt>
                  <c:pt idx="206">
                    <c:v>24-Feb</c:v>
                  </c:pt>
                  <c:pt idx="207">
                    <c:v>25-Feb</c:v>
                  </c:pt>
                  <c:pt idx="208">
                    <c:v>26-Feb</c:v>
                  </c:pt>
                  <c:pt idx="209">
                    <c:v>27-Feb</c:v>
                  </c:pt>
                  <c:pt idx="210">
                    <c:v>28-Feb</c:v>
                  </c:pt>
                  <c:pt idx="211">
                    <c:v>1-Mar</c:v>
                  </c:pt>
                  <c:pt idx="212">
                    <c:v>2-Mar</c:v>
                  </c:pt>
                  <c:pt idx="213">
                    <c:v>3-Mar</c:v>
                  </c:pt>
                  <c:pt idx="214">
                    <c:v>4-Mar</c:v>
                  </c:pt>
                  <c:pt idx="215">
                    <c:v>5-Mar</c:v>
                  </c:pt>
                  <c:pt idx="216">
                    <c:v>6-Mar</c:v>
                  </c:pt>
                  <c:pt idx="217">
                    <c:v>7-Mar</c:v>
                  </c:pt>
                  <c:pt idx="218">
                    <c:v>8-Mar</c:v>
                  </c:pt>
                  <c:pt idx="219">
                    <c:v>9-Mar</c:v>
                  </c:pt>
                  <c:pt idx="220">
                    <c:v>10-Mar</c:v>
                  </c:pt>
                  <c:pt idx="221">
                    <c:v>11-Mar</c:v>
                  </c:pt>
                  <c:pt idx="222">
                    <c:v>12-Mar</c:v>
                  </c:pt>
                  <c:pt idx="223">
                    <c:v>13-Mar</c:v>
                  </c:pt>
                  <c:pt idx="224">
                    <c:v>14-Mar</c:v>
                  </c:pt>
                  <c:pt idx="225">
                    <c:v>15-Mar</c:v>
                  </c:pt>
                  <c:pt idx="226">
                    <c:v>16-Mar</c:v>
                  </c:pt>
                  <c:pt idx="227">
                    <c:v>17-Mar</c:v>
                  </c:pt>
                  <c:pt idx="228">
                    <c:v>18-Mar</c:v>
                  </c:pt>
                  <c:pt idx="229">
                    <c:v>19-Mar</c:v>
                  </c:pt>
                  <c:pt idx="230">
                    <c:v>20-Mar</c:v>
                  </c:pt>
                  <c:pt idx="231">
                    <c:v>21-Mar</c:v>
                  </c:pt>
                  <c:pt idx="232">
                    <c:v>22-Mar</c:v>
                  </c:pt>
                  <c:pt idx="233">
                    <c:v>23-Mar</c:v>
                  </c:pt>
                  <c:pt idx="234">
                    <c:v>24-Mar</c:v>
                  </c:pt>
                  <c:pt idx="235">
                    <c:v>25-Mar</c:v>
                  </c:pt>
                  <c:pt idx="236">
                    <c:v>26-Mar</c:v>
                  </c:pt>
                  <c:pt idx="237">
                    <c:v>27-Mar</c:v>
                  </c:pt>
                  <c:pt idx="238">
                    <c:v>28-Mar</c:v>
                  </c:pt>
                  <c:pt idx="239">
                    <c:v>29-Mar</c:v>
                  </c:pt>
                  <c:pt idx="240">
                    <c:v>30-Mar</c:v>
                  </c:pt>
                  <c:pt idx="241">
                    <c:v>31-Mar</c:v>
                  </c:pt>
                  <c:pt idx="242">
                    <c:v>1-Apr</c:v>
                  </c:pt>
                  <c:pt idx="243">
                    <c:v>2-Apr</c:v>
                  </c:pt>
                  <c:pt idx="244">
                    <c:v>3-Apr</c:v>
                  </c:pt>
                  <c:pt idx="245">
                    <c:v>4-Apr</c:v>
                  </c:pt>
                  <c:pt idx="246">
                    <c:v>5-Apr</c:v>
                  </c:pt>
                  <c:pt idx="247">
                    <c:v>6-Apr</c:v>
                  </c:pt>
                  <c:pt idx="248">
                    <c:v>7-Apr</c:v>
                  </c:pt>
                  <c:pt idx="249">
                    <c:v>8-Apr</c:v>
                  </c:pt>
                  <c:pt idx="250">
                    <c:v>9-Apr</c:v>
                  </c:pt>
                  <c:pt idx="251">
                    <c:v>10-Apr</c:v>
                  </c:pt>
                  <c:pt idx="252">
                    <c:v>11-Apr</c:v>
                  </c:pt>
                  <c:pt idx="253">
                    <c:v>12-Apr</c:v>
                  </c:pt>
                  <c:pt idx="254">
                    <c:v>13-Apr</c:v>
                  </c:pt>
                  <c:pt idx="255">
                    <c:v>14-Apr</c:v>
                  </c:pt>
                  <c:pt idx="256">
                    <c:v>15-Apr</c:v>
                  </c:pt>
                  <c:pt idx="257">
                    <c:v>16-Apr</c:v>
                  </c:pt>
                  <c:pt idx="258">
                    <c:v>17-Apr</c:v>
                  </c:pt>
                  <c:pt idx="259">
                    <c:v>18-Apr</c:v>
                  </c:pt>
                  <c:pt idx="260">
                    <c:v>19-Apr</c:v>
                  </c:pt>
                  <c:pt idx="261">
                    <c:v>20-Apr</c:v>
                  </c:pt>
                  <c:pt idx="262">
                    <c:v>21-Apr</c:v>
                  </c:pt>
                  <c:pt idx="263">
                    <c:v>22-Apr</c:v>
                  </c:pt>
                  <c:pt idx="264">
                    <c:v>23-Apr</c:v>
                  </c:pt>
                  <c:pt idx="265">
                    <c:v>24-Apr</c:v>
                  </c:pt>
                  <c:pt idx="266">
                    <c:v>25-Apr</c:v>
                  </c:pt>
                  <c:pt idx="267">
                    <c:v>26-Apr</c:v>
                  </c:pt>
                  <c:pt idx="268">
                    <c:v>27-Apr</c:v>
                  </c:pt>
                  <c:pt idx="269">
                    <c:v>28-Apr</c:v>
                  </c:pt>
                  <c:pt idx="270">
                    <c:v>29-Apr</c:v>
                  </c:pt>
                  <c:pt idx="271">
                    <c:v>30-Apr</c:v>
                  </c:pt>
                  <c:pt idx="272">
                    <c:v>1-May</c:v>
                  </c:pt>
                  <c:pt idx="273">
                    <c:v>2-May</c:v>
                  </c:pt>
                  <c:pt idx="274">
                    <c:v>3-May</c:v>
                  </c:pt>
                  <c:pt idx="275">
                    <c:v>4-May</c:v>
                  </c:pt>
                  <c:pt idx="276">
                    <c:v>5-May</c:v>
                  </c:pt>
                  <c:pt idx="277">
                    <c:v>6-May</c:v>
                  </c:pt>
                  <c:pt idx="278">
                    <c:v>7-May</c:v>
                  </c:pt>
                  <c:pt idx="279">
                    <c:v>8-May</c:v>
                  </c:pt>
                  <c:pt idx="280">
                    <c:v>9-May</c:v>
                  </c:pt>
                  <c:pt idx="281">
                    <c:v>10-May</c:v>
                  </c:pt>
                  <c:pt idx="282">
                    <c:v>11-May</c:v>
                  </c:pt>
                  <c:pt idx="283">
                    <c:v>12-May</c:v>
                  </c:pt>
                  <c:pt idx="284">
                    <c:v>13-May</c:v>
                  </c:pt>
                  <c:pt idx="285">
                    <c:v>14-May</c:v>
                  </c:pt>
                  <c:pt idx="286">
                    <c:v>15-May</c:v>
                  </c:pt>
                  <c:pt idx="287">
                    <c:v>16-May</c:v>
                  </c:pt>
                  <c:pt idx="288">
                    <c:v>17-May</c:v>
                  </c:pt>
                  <c:pt idx="289">
                    <c:v>18-May</c:v>
                  </c:pt>
                  <c:pt idx="290">
                    <c:v>19-May</c:v>
                  </c:pt>
                  <c:pt idx="291">
                    <c:v>20-May</c:v>
                  </c:pt>
                  <c:pt idx="292">
                    <c:v>21-May</c:v>
                  </c:pt>
                  <c:pt idx="293">
                    <c:v>22-May</c:v>
                  </c:pt>
                  <c:pt idx="294">
                    <c:v>23-May</c:v>
                  </c:pt>
                  <c:pt idx="295">
                    <c:v>24-May</c:v>
                  </c:pt>
                  <c:pt idx="296">
                    <c:v>25-May</c:v>
                  </c:pt>
                  <c:pt idx="297">
                    <c:v>26-May</c:v>
                  </c:pt>
                  <c:pt idx="298">
                    <c:v>27-May</c:v>
                  </c:pt>
                  <c:pt idx="299">
                    <c:v>28-May</c:v>
                  </c:pt>
                  <c:pt idx="300">
                    <c:v>29-May</c:v>
                  </c:pt>
                  <c:pt idx="301">
                    <c:v>30-May</c:v>
                  </c:pt>
                  <c:pt idx="302">
                    <c:v>31-May</c:v>
                  </c:pt>
                  <c:pt idx="303">
                    <c:v>1-Jun</c:v>
                  </c:pt>
                  <c:pt idx="304">
                    <c:v>2-Jun</c:v>
                  </c:pt>
                  <c:pt idx="305">
                    <c:v>3-Jun</c:v>
                  </c:pt>
                  <c:pt idx="306">
                    <c:v>4-Jun</c:v>
                  </c:pt>
                  <c:pt idx="307">
                    <c:v>5-Jun</c:v>
                  </c:pt>
                  <c:pt idx="308">
                    <c:v>6-Jun</c:v>
                  </c:pt>
                  <c:pt idx="309">
                    <c:v>7-Jun</c:v>
                  </c:pt>
                  <c:pt idx="310">
                    <c:v>8-Jun</c:v>
                  </c:pt>
                  <c:pt idx="311">
                    <c:v>9-Jun</c:v>
                  </c:pt>
                  <c:pt idx="312">
                    <c:v>10-Jun</c:v>
                  </c:pt>
                  <c:pt idx="313">
                    <c:v>11-Jun</c:v>
                  </c:pt>
                  <c:pt idx="314">
                    <c:v>12-Jun</c:v>
                  </c:pt>
                  <c:pt idx="315">
                    <c:v>13-Jun</c:v>
                  </c:pt>
                  <c:pt idx="316">
                    <c:v>14-Jun</c:v>
                  </c:pt>
                  <c:pt idx="317">
                    <c:v>15-Jun</c:v>
                  </c:pt>
                  <c:pt idx="318">
                    <c:v>16-Jun</c:v>
                  </c:pt>
                  <c:pt idx="319">
                    <c:v>17-Jun</c:v>
                  </c:pt>
                  <c:pt idx="320">
                    <c:v>18-Jun</c:v>
                  </c:pt>
                  <c:pt idx="321">
                    <c:v>19-Jun</c:v>
                  </c:pt>
                  <c:pt idx="322">
                    <c:v>20-Jun</c:v>
                  </c:pt>
                  <c:pt idx="323">
                    <c:v>21-Jun</c:v>
                  </c:pt>
                  <c:pt idx="324">
                    <c:v>22-Jun</c:v>
                  </c:pt>
                  <c:pt idx="325">
                    <c:v>23-Jun</c:v>
                  </c:pt>
                  <c:pt idx="326">
                    <c:v>24-Jun</c:v>
                  </c:pt>
                  <c:pt idx="327">
                    <c:v>25-Jun</c:v>
                  </c:pt>
                  <c:pt idx="328">
                    <c:v>26-Jun</c:v>
                  </c:pt>
                  <c:pt idx="329">
                    <c:v>27-Jun</c:v>
                  </c:pt>
                  <c:pt idx="330">
                    <c:v>28-Jun</c:v>
                  </c:pt>
                  <c:pt idx="331">
                    <c:v>29-Jun</c:v>
                  </c:pt>
                  <c:pt idx="332">
                    <c:v>30-Jun</c:v>
                  </c:pt>
                  <c:pt idx="333">
                    <c:v>1-Jul</c:v>
                  </c:pt>
                  <c:pt idx="334">
                    <c:v>2-Jul</c:v>
                  </c:pt>
                  <c:pt idx="335">
                    <c:v>3-Jul</c:v>
                  </c:pt>
                  <c:pt idx="336">
                    <c:v>4-Jul</c:v>
                  </c:pt>
                  <c:pt idx="337">
                    <c:v>5-Jul</c:v>
                  </c:pt>
                  <c:pt idx="338">
                    <c:v>6-Jul</c:v>
                  </c:pt>
                  <c:pt idx="339">
                    <c:v>7-Jul</c:v>
                  </c:pt>
                  <c:pt idx="340">
                    <c:v>8-Jul</c:v>
                  </c:pt>
                  <c:pt idx="341">
                    <c:v>9-Jul</c:v>
                  </c:pt>
                  <c:pt idx="342">
                    <c:v>10-Jul</c:v>
                  </c:pt>
                  <c:pt idx="343">
                    <c:v>11-Jul</c:v>
                  </c:pt>
                  <c:pt idx="344">
                    <c:v>12-Jul</c:v>
                  </c:pt>
                  <c:pt idx="345">
                    <c:v>13-Jul</c:v>
                  </c:pt>
                  <c:pt idx="346">
                    <c:v>14-Jul</c:v>
                  </c:pt>
                  <c:pt idx="347">
                    <c:v>15-Jul</c:v>
                  </c:pt>
                  <c:pt idx="348">
                    <c:v>16-Jul</c:v>
                  </c:pt>
                  <c:pt idx="349">
                    <c:v>17-Jul</c:v>
                  </c:pt>
                  <c:pt idx="350">
                    <c:v>18-Jul</c:v>
                  </c:pt>
                  <c:pt idx="351">
                    <c:v>19-Jul</c:v>
                  </c:pt>
                  <c:pt idx="352">
                    <c:v>20-Jul</c:v>
                  </c:pt>
                  <c:pt idx="353">
                    <c:v>21-Jul</c:v>
                  </c:pt>
                  <c:pt idx="354">
                    <c:v>22-Jul</c:v>
                  </c:pt>
                  <c:pt idx="355">
                    <c:v>23-Jul</c:v>
                  </c:pt>
                  <c:pt idx="356">
                    <c:v>24-Jul</c:v>
                  </c:pt>
                  <c:pt idx="357">
                    <c:v>25-Jul</c:v>
                  </c:pt>
                  <c:pt idx="358">
                    <c:v>26-Jul</c:v>
                  </c:pt>
                  <c:pt idx="359">
                    <c:v>27-Jul</c:v>
                  </c:pt>
                  <c:pt idx="360">
                    <c:v>28-Jul</c:v>
                  </c:pt>
                  <c:pt idx="361">
                    <c:v>29-Jul</c:v>
                  </c:pt>
                  <c:pt idx="362">
                    <c:v>30-Jul</c:v>
                  </c:pt>
                  <c:pt idx="363">
                    <c:v>31-Jul</c:v>
                  </c:pt>
                  <c:pt idx="364">
                    <c:v>1-Aug</c:v>
                  </c:pt>
                  <c:pt idx="365">
                    <c:v>2-Aug</c:v>
                  </c:pt>
                  <c:pt idx="366">
                    <c:v>3-Aug</c:v>
                  </c:pt>
                  <c:pt idx="367">
                    <c:v>4-Aug</c:v>
                  </c:pt>
                  <c:pt idx="368">
                    <c:v>5-Aug</c:v>
                  </c:pt>
                  <c:pt idx="369">
                    <c:v>6-Aug</c:v>
                  </c:pt>
                  <c:pt idx="370">
                    <c:v>7-Aug</c:v>
                  </c:pt>
                  <c:pt idx="371">
                    <c:v>8-Aug</c:v>
                  </c:pt>
                  <c:pt idx="372">
                    <c:v>9-Aug</c:v>
                  </c:pt>
                  <c:pt idx="373">
                    <c:v>10-Aug</c:v>
                  </c:pt>
                  <c:pt idx="374">
                    <c:v>11-Aug</c:v>
                  </c:pt>
                  <c:pt idx="375">
                    <c:v>12-Aug</c:v>
                  </c:pt>
                  <c:pt idx="376">
                    <c:v>13-Aug</c:v>
                  </c:pt>
                  <c:pt idx="377">
                    <c:v>14-Aug</c:v>
                  </c:pt>
                  <c:pt idx="378">
                    <c:v>15-Aug</c:v>
                  </c:pt>
                  <c:pt idx="379">
                    <c:v>16-Aug</c:v>
                  </c:pt>
                  <c:pt idx="380">
                    <c:v>17-Aug</c:v>
                  </c:pt>
                  <c:pt idx="381">
                    <c:v>18-Aug</c:v>
                  </c:pt>
                  <c:pt idx="382">
                    <c:v>19-Aug</c:v>
                  </c:pt>
                  <c:pt idx="383">
                    <c:v>20-Aug</c:v>
                  </c:pt>
                  <c:pt idx="384">
                    <c:v>21-Aug</c:v>
                  </c:pt>
                  <c:pt idx="385">
                    <c:v>22-Aug</c:v>
                  </c:pt>
                  <c:pt idx="386">
                    <c:v>23-Aug</c:v>
                  </c:pt>
                  <c:pt idx="387">
                    <c:v>24-Aug</c:v>
                  </c:pt>
                  <c:pt idx="388">
                    <c:v>25-Aug</c:v>
                  </c:pt>
                  <c:pt idx="389">
                    <c:v>26-Aug</c:v>
                  </c:pt>
                  <c:pt idx="390">
                    <c:v>27-Aug</c:v>
                  </c:pt>
                  <c:pt idx="391">
                    <c:v>28-Aug</c:v>
                  </c:pt>
                  <c:pt idx="392">
                    <c:v>29-Aug</c:v>
                  </c:pt>
                  <c:pt idx="393">
                    <c:v>30-Aug</c:v>
                  </c:pt>
                  <c:pt idx="394">
                    <c:v>31-Aug</c:v>
                  </c:pt>
                  <c:pt idx="395">
                    <c:v>1-Sep</c:v>
                  </c:pt>
                  <c:pt idx="396">
                    <c:v>2-Sep</c:v>
                  </c:pt>
                  <c:pt idx="397">
                    <c:v>3-Sep</c:v>
                  </c:pt>
                  <c:pt idx="398">
                    <c:v>4-Sep</c:v>
                  </c:pt>
                  <c:pt idx="399">
                    <c:v>5-Sep</c:v>
                  </c:pt>
                  <c:pt idx="400">
                    <c:v>6-Sep</c:v>
                  </c:pt>
                  <c:pt idx="401">
                    <c:v>7-Sep</c:v>
                  </c:pt>
                  <c:pt idx="402">
                    <c:v>8-Sep</c:v>
                  </c:pt>
                  <c:pt idx="403">
                    <c:v>9-Sep</c:v>
                  </c:pt>
                  <c:pt idx="404">
                    <c:v>10-Sep</c:v>
                  </c:pt>
                  <c:pt idx="405">
                    <c:v>11-Sep</c:v>
                  </c:pt>
                  <c:pt idx="406">
                    <c:v>12-Sep</c:v>
                  </c:pt>
                  <c:pt idx="407">
                    <c:v>13-Sep</c:v>
                  </c:pt>
                  <c:pt idx="408">
                    <c:v>14-Sep</c:v>
                  </c:pt>
                  <c:pt idx="409">
                    <c:v>15-Sep</c:v>
                  </c:pt>
                  <c:pt idx="410">
                    <c:v>16-Sep</c:v>
                  </c:pt>
                  <c:pt idx="411">
                    <c:v>17-Sep</c:v>
                  </c:pt>
                  <c:pt idx="412">
                    <c:v>18-Sep</c:v>
                  </c:pt>
                  <c:pt idx="413">
                    <c:v>19-Sep</c:v>
                  </c:pt>
                  <c:pt idx="414">
                    <c:v>20-Sep</c:v>
                  </c:pt>
                  <c:pt idx="415">
                    <c:v>21-Sep</c:v>
                  </c:pt>
                  <c:pt idx="416">
                    <c:v>22-Sep</c:v>
                  </c:pt>
                  <c:pt idx="417">
                    <c:v>23-Sep</c:v>
                  </c:pt>
                  <c:pt idx="418">
                    <c:v>24-Sep</c:v>
                  </c:pt>
                  <c:pt idx="419">
                    <c:v>25-Sep</c:v>
                  </c:pt>
                  <c:pt idx="420">
                    <c:v>26-Sep</c:v>
                  </c:pt>
                  <c:pt idx="421">
                    <c:v>27-Sep</c:v>
                  </c:pt>
                  <c:pt idx="422">
                    <c:v>28-Sep</c:v>
                  </c:pt>
                  <c:pt idx="423">
                    <c:v>29-Sep</c:v>
                  </c:pt>
                  <c:pt idx="424">
                    <c:v>30-Sep</c:v>
                  </c:pt>
                  <c:pt idx="425">
                    <c:v>1-Oct</c:v>
                  </c:pt>
                  <c:pt idx="426">
                    <c:v>2-Oct</c:v>
                  </c:pt>
                  <c:pt idx="427">
                    <c:v>3-Oct</c:v>
                  </c:pt>
                  <c:pt idx="428">
                    <c:v>4-Oct</c:v>
                  </c:pt>
                  <c:pt idx="429">
                    <c:v>5-Oct</c:v>
                  </c:pt>
                  <c:pt idx="430">
                    <c:v>6-Oct</c:v>
                  </c:pt>
                  <c:pt idx="431">
                    <c:v>7-Oct</c:v>
                  </c:pt>
                  <c:pt idx="432">
                    <c:v>8-Oct</c:v>
                  </c:pt>
                  <c:pt idx="433">
                    <c:v>9-Oct</c:v>
                  </c:pt>
                  <c:pt idx="434">
                    <c:v>10-Oct</c:v>
                  </c:pt>
                  <c:pt idx="435">
                    <c:v>11-Oct</c:v>
                  </c:pt>
                  <c:pt idx="436">
                    <c:v>12-Oct</c:v>
                  </c:pt>
                  <c:pt idx="437">
                    <c:v>13-Oct</c:v>
                  </c:pt>
                  <c:pt idx="438">
                    <c:v>14-Oct</c:v>
                  </c:pt>
                  <c:pt idx="439">
                    <c:v>15-Oct</c:v>
                  </c:pt>
                  <c:pt idx="440">
                    <c:v>16-Oct</c:v>
                  </c:pt>
                  <c:pt idx="441">
                    <c:v>17-Oct</c:v>
                  </c:pt>
                  <c:pt idx="442">
                    <c:v>18-Oct</c:v>
                  </c:pt>
                  <c:pt idx="443">
                    <c:v>19-Oct</c:v>
                  </c:pt>
                  <c:pt idx="444">
                    <c:v>20-Oct</c:v>
                  </c:pt>
                  <c:pt idx="445">
                    <c:v>21-Oct</c:v>
                  </c:pt>
                  <c:pt idx="446">
                    <c:v>22-Oct</c:v>
                  </c:pt>
                  <c:pt idx="447">
                    <c:v>23-Oct</c:v>
                  </c:pt>
                  <c:pt idx="448">
                    <c:v>24-Oct</c:v>
                  </c:pt>
                  <c:pt idx="449">
                    <c:v>25-Oct</c:v>
                  </c:pt>
                  <c:pt idx="450">
                    <c:v>26-Oct</c:v>
                  </c:pt>
                  <c:pt idx="451">
                    <c:v>27-Oct</c:v>
                  </c:pt>
                  <c:pt idx="452">
                    <c:v>28-Oct</c:v>
                  </c:pt>
                  <c:pt idx="453">
                    <c:v>29-Oct</c:v>
                  </c:pt>
                  <c:pt idx="454">
                    <c:v>30-Oct</c:v>
                  </c:pt>
                  <c:pt idx="455">
                    <c:v>31-Oct</c:v>
                  </c:pt>
                  <c:pt idx="456">
                    <c:v>1-Nov</c:v>
                  </c:pt>
                  <c:pt idx="457">
                    <c:v>2-Nov</c:v>
                  </c:pt>
                  <c:pt idx="458">
                    <c:v>3-Nov</c:v>
                  </c:pt>
                  <c:pt idx="459">
                    <c:v>4-Nov</c:v>
                  </c:pt>
                  <c:pt idx="460">
                    <c:v>5-Nov</c:v>
                  </c:pt>
                  <c:pt idx="461">
                    <c:v>6-Nov</c:v>
                  </c:pt>
                  <c:pt idx="462">
                    <c:v>7-Nov</c:v>
                  </c:pt>
                  <c:pt idx="463">
                    <c:v>8-Nov</c:v>
                  </c:pt>
                  <c:pt idx="464">
                    <c:v>9-Nov</c:v>
                  </c:pt>
                  <c:pt idx="465">
                    <c:v>10-Nov</c:v>
                  </c:pt>
                  <c:pt idx="466">
                    <c:v>11-Nov</c:v>
                  </c:pt>
                  <c:pt idx="467">
                    <c:v>12-Nov</c:v>
                  </c:pt>
                  <c:pt idx="468">
                    <c:v>13-Nov</c:v>
                  </c:pt>
                  <c:pt idx="469">
                    <c:v>14-Nov</c:v>
                  </c:pt>
                  <c:pt idx="470">
                    <c:v>15-Nov</c:v>
                  </c:pt>
                  <c:pt idx="471">
                    <c:v>16-Nov</c:v>
                  </c:pt>
                  <c:pt idx="472">
                    <c:v>17-Nov</c:v>
                  </c:pt>
                  <c:pt idx="473">
                    <c:v>18-Nov</c:v>
                  </c:pt>
                  <c:pt idx="474">
                    <c:v>19-Nov</c:v>
                  </c:pt>
                  <c:pt idx="475">
                    <c:v>20-Nov</c:v>
                  </c:pt>
                  <c:pt idx="476">
                    <c:v>21-Nov</c:v>
                  </c:pt>
                  <c:pt idx="477">
                    <c:v>22-Nov</c:v>
                  </c:pt>
                  <c:pt idx="478">
                    <c:v>23-Nov</c:v>
                  </c:pt>
                  <c:pt idx="479">
                    <c:v>24-Nov</c:v>
                  </c:pt>
                  <c:pt idx="480">
                    <c:v>25-Nov</c:v>
                  </c:pt>
                  <c:pt idx="481">
                    <c:v>26-Nov</c:v>
                  </c:pt>
                  <c:pt idx="482">
                    <c:v>27-Nov</c:v>
                  </c:pt>
                  <c:pt idx="483">
                    <c:v>28-Nov</c:v>
                  </c:pt>
                  <c:pt idx="484">
                    <c:v>29-Nov</c:v>
                  </c:pt>
                  <c:pt idx="485">
                    <c:v>30-Nov</c:v>
                  </c:pt>
                  <c:pt idx="486">
                    <c:v>1-Dec</c:v>
                  </c:pt>
                  <c:pt idx="487">
                    <c:v>2-Dec</c:v>
                  </c:pt>
                  <c:pt idx="488">
                    <c:v>3-Dec</c:v>
                  </c:pt>
                  <c:pt idx="489">
                    <c:v>4-Dec</c:v>
                  </c:pt>
                  <c:pt idx="490">
                    <c:v>5-Dec</c:v>
                  </c:pt>
                  <c:pt idx="491">
                    <c:v>6-Dec</c:v>
                  </c:pt>
                  <c:pt idx="492">
                    <c:v>7-Dec</c:v>
                  </c:pt>
                  <c:pt idx="493">
                    <c:v>8-Dec</c:v>
                  </c:pt>
                  <c:pt idx="494">
                    <c:v>9-Dec</c:v>
                  </c:pt>
                  <c:pt idx="495">
                    <c:v>10-Dec</c:v>
                  </c:pt>
                  <c:pt idx="496">
                    <c:v>11-Dec</c:v>
                  </c:pt>
                  <c:pt idx="497">
                    <c:v>12-Dec</c:v>
                  </c:pt>
                  <c:pt idx="498">
                    <c:v>13-Dec</c:v>
                  </c:pt>
                  <c:pt idx="499">
                    <c:v>14-Dec</c:v>
                  </c:pt>
                  <c:pt idx="500">
                    <c:v>15-Dec</c:v>
                  </c:pt>
                  <c:pt idx="501">
                    <c:v>16-Dec</c:v>
                  </c:pt>
                  <c:pt idx="502">
                    <c:v>17-Dec</c:v>
                  </c:pt>
                  <c:pt idx="503">
                    <c:v>18-Dec</c:v>
                  </c:pt>
                  <c:pt idx="504">
                    <c:v>19-Dec</c:v>
                  </c:pt>
                  <c:pt idx="505">
                    <c:v>20-Dec</c:v>
                  </c:pt>
                  <c:pt idx="506">
                    <c:v>21-Dec</c:v>
                  </c:pt>
                  <c:pt idx="507">
                    <c:v>22-Dec</c:v>
                  </c:pt>
                  <c:pt idx="508">
                    <c:v>23-Dec</c:v>
                  </c:pt>
                  <c:pt idx="509">
                    <c:v>24-Dec</c:v>
                  </c:pt>
                  <c:pt idx="510">
                    <c:v>25-Dec</c:v>
                  </c:pt>
                  <c:pt idx="511">
                    <c:v>26-Dec</c:v>
                  </c:pt>
                  <c:pt idx="512">
                    <c:v>27-Dec</c:v>
                  </c:pt>
                  <c:pt idx="513">
                    <c:v>28-Dec</c:v>
                  </c:pt>
                  <c:pt idx="514">
                    <c:v>29-Dec</c:v>
                  </c:pt>
                  <c:pt idx="515">
                    <c:v>30-Dec</c:v>
                  </c:pt>
                  <c:pt idx="516">
                    <c:v>31-Dec</c:v>
                  </c:pt>
                  <c:pt idx="517">
                    <c:v>1-Jan</c:v>
                  </c:pt>
                  <c:pt idx="518">
                    <c:v>2-Jan</c:v>
                  </c:pt>
                  <c:pt idx="519">
                    <c:v>3-Jan</c:v>
                  </c:pt>
                  <c:pt idx="520">
                    <c:v>4-Jan</c:v>
                  </c:pt>
                  <c:pt idx="521">
                    <c:v>5-Jan</c:v>
                  </c:pt>
                  <c:pt idx="522">
                    <c:v>6-Jan</c:v>
                  </c:pt>
                  <c:pt idx="523">
                    <c:v>7-Jan</c:v>
                  </c:pt>
                  <c:pt idx="524">
                    <c:v>8-Jan</c:v>
                  </c:pt>
                  <c:pt idx="525">
                    <c:v>9-Jan</c:v>
                  </c:pt>
                  <c:pt idx="526">
                    <c:v>10-Jan</c:v>
                  </c:pt>
                  <c:pt idx="527">
                    <c:v>11-Jan</c:v>
                  </c:pt>
                  <c:pt idx="528">
                    <c:v>12-Jan</c:v>
                  </c:pt>
                  <c:pt idx="529">
                    <c:v>13-Jan</c:v>
                  </c:pt>
                  <c:pt idx="530">
                    <c:v>14-Jan</c:v>
                  </c:pt>
                  <c:pt idx="531">
                    <c:v>15-Jan</c:v>
                  </c:pt>
                  <c:pt idx="532">
                    <c:v>16-Jan</c:v>
                  </c:pt>
                  <c:pt idx="533">
                    <c:v>17-Jan</c:v>
                  </c:pt>
                  <c:pt idx="534">
                    <c:v>18-Jan</c:v>
                  </c:pt>
                  <c:pt idx="535">
                    <c:v>19-Jan</c:v>
                  </c:pt>
                  <c:pt idx="536">
                    <c:v>20-Jan</c:v>
                  </c:pt>
                  <c:pt idx="537">
                    <c:v>21-Jan</c:v>
                  </c:pt>
                  <c:pt idx="538">
                    <c:v>22-Jan</c:v>
                  </c:pt>
                  <c:pt idx="539">
                    <c:v>23-Jan</c:v>
                  </c:pt>
                  <c:pt idx="540">
                    <c:v>24-Jan</c:v>
                  </c:pt>
                  <c:pt idx="541">
                    <c:v>25-Jan</c:v>
                  </c:pt>
                  <c:pt idx="542">
                    <c:v>26-Jan</c:v>
                  </c:pt>
                  <c:pt idx="543">
                    <c:v>27-Jan</c:v>
                  </c:pt>
                  <c:pt idx="544">
                    <c:v>28-Jan</c:v>
                  </c:pt>
                  <c:pt idx="545">
                    <c:v>29-Jan</c:v>
                  </c:pt>
                  <c:pt idx="546">
                    <c:v>30-Jan</c:v>
                  </c:pt>
                  <c:pt idx="547">
                    <c:v>31-Jan</c:v>
                  </c:pt>
                  <c:pt idx="548">
                    <c:v>1-Feb</c:v>
                  </c:pt>
                  <c:pt idx="549">
                    <c:v>2-Feb</c:v>
                  </c:pt>
                  <c:pt idx="550">
                    <c:v>3-Feb</c:v>
                  </c:pt>
                  <c:pt idx="551">
                    <c:v>4-Feb</c:v>
                  </c:pt>
                  <c:pt idx="552">
                    <c:v>5-Feb</c:v>
                  </c:pt>
                  <c:pt idx="553">
                    <c:v>6-Feb</c:v>
                  </c:pt>
                  <c:pt idx="554">
                    <c:v>7-Feb</c:v>
                  </c:pt>
                  <c:pt idx="555">
                    <c:v>8-Feb</c:v>
                  </c:pt>
                  <c:pt idx="556">
                    <c:v>9-Feb</c:v>
                  </c:pt>
                  <c:pt idx="557">
                    <c:v>10-Feb</c:v>
                  </c:pt>
                  <c:pt idx="558">
                    <c:v>11-Feb</c:v>
                  </c:pt>
                  <c:pt idx="559">
                    <c:v>12-Feb</c:v>
                  </c:pt>
                  <c:pt idx="560">
                    <c:v>13-Feb</c:v>
                  </c:pt>
                  <c:pt idx="561">
                    <c:v>14-Feb</c:v>
                  </c:pt>
                  <c:pt idx="562">
                    <c:v>15-Feb</c:v>
                  </c:pt>
                  <c:pt idx="563">
                    <c:v>16-Feb</c:v>
                  </c:pt>
                  <c:pt idx="564">
                    <c:v>17-Feb</c:v>
                  </c:pt>
                  <c:pt idx="565">
                    <c:v>18-Feb</c:v>
                  </c:pt>
                  <c:pt idx="566">
                    <c:v>19-Feb</c:v>
                  </c:pt>
                  <c:pt idx="567">
                    <c:v>20-Feb</c:v>
                  </c:pt>
                  <c:pt idx="568">
                    <c:v>21-Feb</c:v>
                  </c:pt>
                  <c:pt idx="569">
                    <c:v>22-Feb</c:v>
                  </c:pt>
                  <c:pt idx="570">
                    <c:v>23-Feb</c:v>
                  </c:pt>
                  <c:pt idx="571">
                    <c:v>24-Feb</c:v>
                  </c:pt>
                  <c:pt idx="572">
                    <c:v>25-Feb</c:v>
                  </c:pt>
                  <c:pt idx="573">
                    <c:v>26-Feb</c:v>
                  </c:pt>
                  <c:pt idx="574">
                    <c:v>27-Feb</c:v>
                  </c:pt>
                  <c:pt idx="575">
                    <c:v>28-Feb</c:v>
                  </c:pt>
                  <c:pt idx="576">
                    <c:v>1-Mar</c:v>
                  </c:pt>
                  <c:pt idx="577">
                    <c:v>2-Mar</c:v>
                  </c:pt>
                  <c:pt idx="578">
                    <c:v>3-Mar</c:v>
                  </c:pt>
                  <c:pt idx="579">
                    <c:v>4-Mar</c:v>
                  </c:pt>
                  <c:pt idx="580">
                    <c:v>5-Mar</c:v>
                  </c:pt>
                  <c:pt idx="581">
                    <c:v>6-Mar</c:v>
                  </c:pt>
                  <c:pt idx="582">
                    <c:v>7-Mar</c:v>
                  </c:pt>
                  <c:pt idx="583">
                    <c:v>8-Mar</c:v>
                  </c:pt>
                  <c:pt idx="584">
                    <c:v>9-Mar</c:v>
                  </c:pt>
                  <c:pt idx="585">
                    <c:v>10-Mar</c:v>
                  </c:pt>
                  <c:pt idx="586">
                    <c:v>11-Mar</c:v>
                  </c:pt>
                  <c:pt idx="587">
                    <c:v>12-Mar</c:v>
                  </c:pt>
                  <c:pt idx="588">
                    <c:v>13-Mar</c:v>
                  </c:pt>
                  <c:pt idx="589">
                    <c:v>14-Mar</c:v>
                  </c:pt>
                  <c:pt idx="590">
                    <c:v>15-Mar</c:v>
                  </c:pt>
                  <c:pt idx="591">
                    <c:v>16-Mar</c:v>
                  </c:pt>
                  <c:pt idx="592">
                    <c:v>17-Mar</c:v>
                  </c:pt>
                  <c:pt idx="593">
                    <c:v>18-Mar</c:v>
                  </c:pt>
                  <c:pt idx="594">
                    <c:v>19-Mar</c:v>
                  </c:pt>
                  <c:pt idx="595">
                    <c:v>20-Mar</c:v>
                  </c:pt>
                  <c:pt idx="596">
                    <c:v>21-Mar</c:v>
                  </c:pt>
                  <c:pt idx="597">
                    <c:v>22-Mar</c:v>
                  </c:pt>
                  <c:pt idx="598">
                    <c:v>23-Mar</c:v>
                  </c:pt>
                  <c:pt idx="599">
                    <c:v>24-Mar</c:v>
                  </c:pt>
                  <c:pt idx="600">
                    <c:v>25-Mar</c:v>
                  </c:pt>
                  <c:pt idx="601">
                    <c:v>26-Mar</c:v>
                  </c:pt>
                  <c:pt idx="602">
                    <c:v>27-Mar</c:v>
                  </c:pt>
                  <c:pt idx="603">
                    <c:v>28-Mar</c:v>
                  </c:pt>
                  <c:pt idx="604">
                    <c:v>29-Mar</c:v>
                  </c:pt>
                  <c:pt idx="605">
                    <c:v>30-Mar</c:v>
                  </c:pt>
                  <c:pt idx="606">
                    <c:v>31-Mar</c:v>
                  </c:pt>
                  <c:pt idx="607">
                    <c:v>1-Apr</c:v>
                  </c:pt>
                  <c:pt idx="608">
                    <c:v>2-Apr</c:v>
                  </c:pt>
                  <c:pt idx="609">
                    <c:v>3-Apr</c:v>
                  </c:pt>
                  <c:pt idx="610">
                    <c:v>4-Apr</c:v>
                  </c:pt>
                  <c:pt idx="611">
                    <c:v>5-Apr</c:v>
                  </c:pt>
                  <c:pt idx="612">
                    <c:v>6-Apr</c:v>
                  </c:pt>
                  <c:pt idx="613">
                    <c:v>7-Apr</c:v>
                  </c:pt>
                  <c:pt idx="614">
                    <c:v>8-Apr</c:v>
                  </c:pt>
                  <c:pt idx="615">
                    <c:v>9-Apr</c:v>
                  </c:pt>
                  <c:pt idx="616">
                    <c:v>10-Apr</c:v>
                  </c:pt>
                  <c:pt idx="617">
                    <c:v>11-Apr</c:v>
                  </c:pt>
                  <c:pt idx="618">
                    <c:v>12-Apr</c:v>
                  </c:pt>
                  <c:pt idx="619">
                    <c:v>13-Apr</c:v>
                  </c:pt>
                  <c:pt idx="620">
                    <c:v>14-Apr</c:v>
                  </c:pt>
                  <c:pt idx="621">
                    <c:v>15-Apr</c:v>
                  </c:pt>
                  <c:pt idx="622">
                    <c:v>16-Apr</c:v>
                  </c:pt>
                  <c:pt idx="623">
                    <c:v>17-Apr</c:v>
                  </c:pt>
                  <c:pt idx="624">
                    <c:v>18-Apr</c:v>
                  </c:pt>
                  <c:pt idx="625">
                    <c:v>19-Apr</c:v>
                  </c:pt>
                  <c:pt idx="626">
                    <c:v>20-Apr</c:v>
                  </c:pt>
                  <c:pt idx="627">
                    <c:v>21-Apr</c:v>
                  </c:pt>
                  <c:pt idx="628">
                    <c:v>22-Apr</c:v>
                  </c:pt>
                  <c:pt idx="629">
                    <c:v>23-Apr</c:v>
                  </c:pt>
                  <c:pt idx="630">
                    <c:v>24-Apr</c:v>
                  </c:pt>
                  <c:pt idx="631">
                    <c:v>25-Apr</c:v>
                  </c:pt>
                  <c:pt idx="632">
                    <c:v>26-Apr</c:v>
                  </c:pt>
                  <c:pt idx="633">
                    <c:v>27-Apr</c:v>
                  </c:pt>
                  <c:pt idx="634">
                    <c:v>28-Apr</c:v>
                  </c:pt>
                  <c:pt idx="635">
                    <c:v>29-Apr</c:v>
                  </c:pt>
                  <c:pt idx="636">
                    <c:v>30-Apr</c:v>
                  </c:pt>
                  <c:pt idx="637">
                    <c:v>1-May</c:v>
                  </c:pt>
                  <c:pt idx="638">
                    <c:v>2-May</c:v>
                  </c:pt>
                  <c:pt idx="639">
                    <c:v>3-May</c:v>
                  </c:pt>
                  <c:pt idx="640">
                    <c:v>4-May</c:v>
                  </c:pt>
                  <c:pt idx="641">
                    <c:v>5-May</c:v>
                  </c:pt>
                  <c:pt idx="642">
                    <c:v>6-May</c:v>
                  </c:pt>
                  <c:pt idx="643">
                    <c:v>7-May</c:v>
                  </c:pt>
                  <c:pt idx="644">
                    <c:v>8-May</c:v>
                  </c:pt>
                  <c:pt idx="645">
                    <c:v>9-May</c:v>
                  </c:pt>
                  <c:pt idx="646">
                    <c:v>10-May</c:v>
                  </c:pt>
                  <c:pt idx="647">
                    <c:v>11-May</c:v>
                  </c:pt>
                  <c:pt idx="648">
                    <c:v>12-May</c:v>
                  </c:pt>
                  <c:pt idx="649">
                    <c:v>13-May</c:v>
                  </c:pt>
                  <c:pt idx="650">
                    <c:v>14-May</c:v>
                  </c:pt>
                  <c:pt idx="651">
                    <c:v>15-May</c:v>
                  </c:pt>
                  <c:pt idx="652">
                    <c:v>16-May</c:v>
                  </c:pt>
                  <c:pt idx="653">
                    <c:v>17-May</c:v>
                  </c:pt>
                  <c:pt idx="654">
                    <c:v>18-May</c:v>
                  </c:pt>
                  <c:pt idx="655">
                    <c:v>19-May</c:v>
                  </c:pt>
                  <c:pt idx="656">
                    <c:v>20-May</c:v>
                  </c:pt>
                  <c:pt idx="657">
                    <c:v>21-May</c:v>
                  </c:pt>
                  <c:pt idx="658">
                    <c:v>22-May</c:v>
                  </c:pt>
                  <c:pt idx="659">
                    <c:v>23-May</c:v>
                  </c:pt>
                  <c:pt idx="660">
                    <c:v>24-May</c:v>
                  </c:pt>
                  <c:pt idx="661">
                    <c:v>25-May</c:v>
                  </c:pt>
                  <c:pt idx="662">
                    <c:v>26-May</c:v>
                  </c:pt>
                  <c:pt idx="663">
                    <c:v>27-May</c:v>
                  </c:pt>
                  <c:pt idx="664">
                    <c:v>28-May</c:v>
                  </c:pt>
                  <c:pt idx="665">
                    <c:v>29-May</c:v>
                  </c:pt>
                  <c:pt idx="666">
                    <c:v>30-May</c:v>
                  </c:pt>
                  <c:pt idx="667">
                    <c:v>31-May</c:v>
                  </c:pt>
                  <c:pt idx="668">
                    <c:v>1-Jun</c:v>
                  </c:pt>
                  <c:pt idx="669">
                    <c:v>2-Jun</c:v>
                  </c:pt>
                  <c:pt idx="670">
                    <c:v>3-Jun</c:v>
                  </c:pt>
                  <c:pt idx="671">
                    <c:v>4-Jun</c:v>
                  </c:pt>
                  <c:pt idx="672">
                    <c:v>5-Jun</c:v>
                  </c:pt>
                  <c:pt idx="673">
                    <c:v>6-Jun</c:v>
                  </c:pt>
                  <c:pt idx="674">
                    <c:v>7-Jun</c:v>
                  </c:pt>
                  <c:pt idx="675">
                    <c:v>8-Jun</c:v>
                  </c:pt>
                  <c:pt idx="676">
                    <c:v>9-Jun</c:v>
                  </c:pt>
                  <c:pt idx="677">
                    <c:v>10-Jun</c:v>
                  </c:pt>
                  <c:pt idx="678">
                    <c:v>11-Jun</c:v>
                  </c:pt>
                  <c:pt idx="679">
                    <c:v>12-Jun</c:v>
                  </c:pt>
                  <c:pt idx="680">
                    <c:v>13-Jun</c:v>
                  </c:pt>
                  <c:pt idx="681">
                    <c:v>14-Jun</c:v>
                  </c:pt>
                  <c:pt idx="682">
                    <c:v>15-Jun</c:v>
                  </c:pt>
                  <c:pt idx="683">
                    <c:v>16-Jun</c:v>
                  </c:pt>
                  <c:pt idx="684">
                    <c:v>17-Jun</c:v>
                  </c:pt>
                  <c:pt idx="685">
                    <c:v>18-Jun</c:v>
                  </c:pt>
                  <c:pt idx="686">
                    <c:v>19-Jun</c:v>
                  </c:pt>
                  <c:pt idx="687">
                    <c:v>20-Jun</c:v>
                  </c:pt>
                  <c:pt idx="688">
                    <c:v>21-Jun</c:v>
                  </c:pt>
                  <c:pt idx="689">
                    <c:v>22-Jun</c:v>
                  </c:pt>
                  <c:pt idx="690">
                    <c:v>23-Jun</c:v>
                  </c:pt>
                  <c:pt idx="691">
                    <c:v>24-Jun</c:v>
                  </c:pt>
                  <c:pt idx="692">
                    <c:v>25-Jun</c:v>
                  </c:pt>
                  <c:pt idx="693">
                    <c:v>26-Jun</c:v>
                  </c:pt>
                  <c:pt idx="694">
                    <c:v>27-Jun</c:v>
                  </c:pt>
                  <c:pt idx="695">
                    <c:v>28-Jun</c:v>
                  </c:pt>
                  <c:pt idx="696">
                    <c:v>29-Jun</c:v>
                  </c:pt>
                  <c:pt idx="697">
                    <c:v>30-Jun</c:v>
                  </c:pt>
                  <c:pt idx="698">
                    <c:v>1-Jul</c:v>
                  </c:pt>
                  <c:pt idx="699">
                    <c:v>2-Jul</c:v>
                  </c:pt>
                  <c:pt idx="700">
                    <c:v>3-Jul</c:v>
                  </c:pt>
                  <c:pt idx="701">
                    <c:v>4-Jul</c:v>
                  </c:pt>
                  <c:pt idx="702">
                    <c:v>5-Jul</c:v>
                  </c:pt>
                  <c:pt idx="703">
                    <c:v>6-Jul</c:v>
                  </c:pt>
                  <c:pt idx="704">
                    <c:v>7-Jul</c:v>
                  </c:pt>
                  <c:pt idx="705">
                    <c:v>8-Jul</c:v>
                  </c:pt>
                  <c:pt idx="706">
                    <c:v>9-Jul</c:v>
                  </c:pt>
                  <c:pt idx="707">
                    <c:v>10-Jul</c:v>
                  </c:pt>
                  <c:pt idx="708">
                    <c:v>11-Jul</c:v>
                  </c:pt>
                  <c:pt idx="709">
                    <c:v>12-Jul</c:v>
                  </c:pt>
                  <c:pt idx="710">
                    <c:v>13-Jul</c:v>
                  </c:pt>
                  <c:pt idx="711">
                    <c:v>14-Jul</c:v>
                  </c:pt>
                  <c:pt idx="712">
                    <c:v>15-Jul</c:v>
                  </c:pt>
                  <c:pt idx="713">
                    <c:v>16-Jul</c:v>
                  </c:pt>
                  <c:pt idx="714">
                    <c:v>17-Jul</c:v>
                  </c:pt>
                  <c:pt idx="715">
                    <c:v>18-Jul</c:v>
                  </c:pt>
                  <c:pt idx="716">
                    <c:v>19-Jul</c:v>
                  </c:pt>
                  <c:pt idx="717">
                    <c:v>20-Jul</c:v>
                  </c:pt>
                  <c:pt idx="718">
                    <c:v>21-Jul</c:v>
                  </c:pt>
                  <c:pt idx="719">
                    <c:v>22-Jul</c:v>
                  </c:pt>
                  <c:pt idx="720">
                    <c:v>23-Jul</c:v>
                  </c:pt>
                  <c:pt idx="721">
                    <c:v>24-Jul</c:v>
                  </c:pt>
                  <c:pt idx="722">
                    <c:v>25-Jul</c:v>
                  </c:pt>
                  <c:pt idx="723">
                    <c:v>26-Jul</c:v>
                  </c:pt>
                  <c:pt idx="724">
                    <c:v>27-Jul</c:v>
                  </c:pt>
                  <c:pt idx="725">
                    <c:v>28-Jul</c:v>
                  </c:pt>
                  <c:pt idx="726">
                    <c:v>29-Jul</c:v>
                  </c:pt>
                  <c:pt idx="727">
                    <c:v>30-Jul</c:v>
                  </c:pt>
                  <c:pt idx="728">
                    <c:v>31-Jul</c:v>
                  </c:pt>
                  <c:pt idx="729">
                    <c:v>1-Aug</c:v>
                  </c:pt>
                  <c:pt idx="730">
                    <c:v>2-Aug</c:v>
                  </c:pt>
                  <c:pt idx="731">
                    <c:v>3-Aug</c:v>
                  </c:pt>
                  <c:pt idx="732">
                    <c:v>4-Aug</c:v>
                  </c:pt>
                  <c:pt idx="733">
                    <c:v>5-Aug</c:v>
                  </c:pt>
                  <c:pt idx="734">
                    <c:v>6-Aug</c:v>
                  </c:pt>
                  <c:pt idx="735">
                    <c:v>7-Aug</c:v>
                  </c:pt>
                  <c:pt idx="736">
                    <c:v>8-Aug</c:v>
                  </c:pt>
                  <c:pt idx="737">
                    <c:v>9-Aug</c:v>
                  </c:pt>
                  <c:pt idx="738">
                    <c:v>10-Aug</c:v>
                  </c:pt>
                  <c:pt idx="739">
                    <c:v>11-Aug</c:v>
                  </c:pt>
                  <c:pt idx="740">
                    <c:v>12-Aug</c:v>
                  </c:pt>
                  <c:pt idx="741">
                    <c:v>13-Aug</c:v>
                  </c:pt>
                  <c:pt idx="742">
                    <c:v>14-Aug</c:v>
                  </c:pt>
                  <c:pt idx="743">
                    <c:v>15-Aug</c:v>
                  </c:pt>
                  <c:pt idx="744">
                    <c:v>16-Aug</c:v>
                  </c:pt>
                  <c:pt idx="745">
                    <c:v>17-Aug</c:v>
                  </c:pt>
                  <c:pt idx="746">
                    <c:v>18-Aug</c:v>
                  </c:pt>
                  <c:pt idx="747">
                    <c:v>19-Aug</c:v>
                  </c:pt>
                  <c:pt idx="748">
                    <c:v>20-Aug</c:v>
                  </c:pt>
                  <c:pt idx="749">
                    <c:v>21-Aug</c:v>
                  </c:pt>
                  <c:pt idx="750">
                    <c:v>22-Aug</c:v>
                  </c:pt>
                  <c:pt idx="751">
                    <c:v>23-Aug</c:v>
                  </c:pt>
                  <c:pt idx="752">
                    <c:v>24-Aug</c:v>
                  </c:pt>
                  <c:pt idx="753">
                    <c:v>25-Aug</c:v>
                  </c:pt>
                  <c:pt idx="754">
                    <c:v>26-Aug</c:v>
                  </c:pt>
                  <c:pt idx="755">
                    <c:v>27-Aug</c:v>
                  </c:pt>
                  <c:pt idx="756">
                    <c:v>28-Aug</c:v>
                  </c:pt>
                  <c:pt idx="757">
                    <c:v>29-Aug</c:v>
                  </c:pt>
                  <c:pt idx="758">
                    <c:v>30-Aug</c:v>
                  </c:pt>
                  <c:pt idx="759">
                    <c:v>31-Aug</c:v>
                  </c:pt>
                  <c:pt idx="760">
                    <c:v>1-Sep</c:v>
                  </c:pt>
                  <c:pt idx="761">
                    <c:v>2-Sep</c:v>
                  </c:pt>
                  <c:pt idx="762">
                    <c:v>3-Sep</c:v>
                  </c:pt>
                  <c:pt idx="763">
                    <c:v>4-Sep</c:v>
                  </c:pt>
                  <c:pt idx="764">
                    <c:v>5-Sep</c:v>
                  </c:pt>
                  <c:pt idx="765">
                    <c:v>6-Sep</c:v>
                  </c:pt>
                  <c:pt idx="766">
                    <c:v>7-Sep</c:v>
                  </c:pt>
                  <c:pt idx="767">
                    <c:v>8-Sep</c:v>
                  </c:pt>
                  <c:pt idx="768">
                    <c:v>9-Sep</c:v>
                  </c:pt>
                  <c:pt idx="769">
                    <c:v>10-Sep</c:v>
                  </c:pt>
                  <c:pt idx="770">
                    <c:v>11-Sep</c:v>
                  </c:pt>
                  <c:pt idx="771">
                    <c:v>12-Sep</c:v>
                  </c:pt>
                  <c:pt idx="772">
                    <c:v>13-Sep</c:v>
                  </c:pt>
                  <c:pt idx="773">
                    <c:v>14-Sep</c:v>
                  </c:pt>
                  <c:pt idx="774">
                    <c:v>15-Sep</c:v>
                  </c:pt>
                  <c:pt idx="775">
                    <c:v>16-Sep</c:v>
                  </c:pt>
                  <c:pt idx="776">
                    <c:v>17-Sep</c:v>
                  </c:pt>
                  <c:pt idx="777">
                    <c:v>18-Sep</c:v>
                  </c:pt>
                  <c:pt idx="778">
                    <c:v>19-Sep</c:v>
                  </c:pt>
                  <c:pt idx="779">
                    <c:v>20-Sep</c:v>
                  </c:pt>
                  <c:pt idx="780">
                    <c:v>21-Sep</c:v>
                  </c:pt>
                  <c:pt idx="781">
                    <c:v>22-Sep</c:v>
                  </c:pt>
                  <c:pt idx="782">
                    <c:v>23-Sep</c:v>
                  </c:pt>
                  <c:pt idx="783">
                    <c:v>24-Sep</c:v>
                  </c:pt>
                  <c:pt idx="784">
                    <c:v>25-Sep</c:v>
                  </c:pt>
                  <c:pt idx="785">
                    <c:v>26-Sep</c:v>
                  </c:pt>
                  <c:pt idx="786">
                    <c:v>27-Sep</c:v>
                  </c:pt>
                  <c:pt idx="787">
                    <c:v>28-Sep</c:v>
                  </c:pt>
                  <c:pt idx="788">
                    <c:v>29-Sep</c:v>
                  </c:pt>
                  <c:pt idx="789">
                    <c:v>30-Sep</c:v>
                  </c:pt>
                  <c:pt idx="790">
                    <c:v>1-Oct</c:v>
                  </c:pt>
                  <c:pt idx="791">
                    <c:v>2-Oct</c:v>
                  </c:pt>
                  <c:pt idx="792">
                    <c:v>3-Oct</c:v>
                  </c:pt>
                  <c:pt idx="793">
                    <c:v>4-Oct</c:v>
                  </c:pt>
                  <c:pt idx="794">
                    <c:v>5-Oct</c:v>
                  </c:pt>
                  <c:pt idx="795">
                    <c:v>6-Oct</c:v>
                  </c:pt>
                  <c:pt idx="796">
                    <c:v>7-Oct</c:v>
                  </c:pt>
                  <c:pt idx="797">
                    <c:v>8-Oct</c:v>
                  </c:pt>
                  <c:pt idx="798">
                    <c:v>9-Oct</c:v>
                  </c:pt>
                  <c:pt idx="799">
                    <c:v>10-Oct</c:v>
                  </c:pt>
                  <c:pt idx="800">
                    <c:v>11-Oct</c:v>
                  </c:pt>
                  <c:pt idx="801">
                    <c:v>12-Oct</c:v>
                  </c:pt>
                  <c:pt idx="802">
                    <c:v>13-Oct</c:v>
                  </c:pt>
                  <c:pt idx="803">
                    <c:v>14-Oct</c:v>
                  </c:pt>
                  <c:pt idx="804">
                    <c:v>15-Oct</c:v>
                  </c:pt>
                  <c:pt idx="805">
                    <c:v>16-Oct</c:v>
                  </c:pt>
                  <c:pt idx="806">
                    <c:v>17-Oct</c:v>
                  </c:pt>
                  <c:pt idx="807">
                    <c:v>18-Oct</c:v>
                  </c:pt>
                  <c:pt idx="808">
                    <c:v>19-Oct</c:v>
                  </c:pt>
                  <c:pt idx="809">
                    <c:v>20-Oct</c:v>
                  </c:pt>
                  <c:pt idx="810">
                    <c:v>21-Oct</c:v>
                  </c:pt>
                  <c:pt idx="811">
                    <c:v>22-Oct</c:v>
                  </c:pt>
                  <c:pt idx="812">
                    <c:v>23-Oct</c:v>
                  </c:pt>
                  <c:pt idx="813">
                    <c:v>24-Oct</c:v>
                  </c:pt>
                  <c:pt idx="814">
                    <c:v>25-Oct</c:v>
                  </c:pt>
                  <c:pt idx="815">
                    <c:v>26-Oct</c:v>
                  </c:pt>
                  <c:pt idx="816">
                    <c:v>27-Oct</c:v>
                  </c:pt>
                  <c:pt idx="817">
                    <c:v>28-Oct</c:v>
                  </c:pt>
                  <c:pt idx="818">
                    <c:v>29-Oct</c:v>
                  </c:pt>
                  <c:pt idx="819">
                    <c:v>30-Oct</c:v>
                  </c:pt>
                  <c:pt idx="820">
                    <c:v>31-Oct</c:v>
                  </c:pt>
                  <c:pt idx="821">
                    <c:v>1-Nov</c:v>
                  </c:pt>
                  <c:pt idx="822">
                    <c:v>2-Nov</c:v>
                  </c:pt>
                  <c:pt idx="823">
                    <c:v>3-Nov</c:v>
                  </c:pt>
                  <c:pt idx="824">
                    <c:v>4-Nov</c:v>
                  </c:pt>
                  <c:pt idx="825">
                    <c:v>5-Nov</c:v>
                  </c:pt>
                  <c:pt idx="826">
                    <c:v>6-Nov</c:v>
                  </c:pt>
                  <c:pt idx="827">
                    <c:v>7-Nov</c:v>
                  </c:pt>
                  <c:pt idx="828">
                    <c:v>8-Nov</c:v>
                  </c:pt>
                  <c:pt idx="829">
                    <c:v>9-Nov</c:v>
                  </c:pt>
                  <c:pt idx="830">
                    <c:v>10-Nov</c:v>
                  </c:pt>
                  <c:pt idx="831">
                    <c:v>11-Nov</c:v>
                  </c:pt>
                  <c:pt idx="832">
                    <c:v>12-Nov</c:v>
                  </c:pt>
                  <c:pt idx="833">
                    <c:v>13-Nov</c:v>
                  </c:pt>
                  <c:pt idx="834">
                    <c:v>14-Nov</c:v>
                  </c:pt>
                  <c:pt idx="835">
                    <c:v>15-Nov</c:v>
                  </c:pt>
                  <c:pt idx="836">
                    <c:v>16-Nov</c:v>
                  </c:pt>
                  <c:pt idx="837">
                    <c:v>17-Nov</c:v>
                  </c:pt>
                  <c:pt idx="838">
                    <c:v>18-Nov</c:v>
                  </c:pt>
                  <c:pt idx="839">
                    <c:v>19-Nov</c:v>
                  </c:pt>
                  <c:pt idx="840">
                    <c:v>20-Nov</c:v>
                  </c:pt>
                  <c:pt idx="841">
                    <c:v>21-Nov</c:v>
                  </c:pt>
                  <c:pt idx="842">
                    <c:v>22-Nov</c:v>
                  </c:pt>
                  <c:pt idx="843">
                    <c:v>23-Nov</c:v>
                  </c:pt>
                  <c:pt idx="844">
                    <c:v>24-Nov</c:v>
                  </c:pt>
                  <c:pt idx="845">
                    <c:v>25-Nov</c:v>
                  </c:pt>
                  <c:pt idx="846">
                    <c:v>26-Nov</c:v>
                  </c:pt>
                  <c:pt idx="847">
                    <c:v>27-Nov</c:v>
                  </c:pt>
                  <c:pt idx="848">
                    <c:v>28-Nov</c:v>
                  </c:pt>
                  <c:pt idx="849">
                    <c:v>29-Nov</c:v>
                  </c:pt>
                  <c:pt idx="850">
                    <c:v>30-Nov</c:v>
                  </c:pt>
                  <c:pt idx="851">
                    <c:v>1-Dec</c:v>
                  </c:pt>
                  <c:pt idx="852">
                    <c:v>2-Dec</c:v>
                  </c:pt>
                  <c:pt idx="853">
                    <c:v>3-Dec</c:v>
                  </c:pt>
                  <c:pt idx="854">
                    <c:v>4-Dec</c:v>
                  </c:pt>
                  <c:pt idx="855">
                    <c:v>5-Dec</c:v>
                  </c:pt>
                  <c:pt idx="856">
                    <c:v>6-Dec</c:v>
                  </c:pt>
                  <c:pt idx="857">
                    <c:v>7-Dec</c:v>
                  </c:pt>
                  <c:pt idx="858">
                    <c:v>8-Dec</c:v>
                  </c:pt>
                  <c:pt idx="859">
                    <c:v>9-Dec</c:v>
                  </c:pt>
                  <c:pt idx="860">
                    <c:v>10-Dec</c:v>
                  </c:pt>
                  <c:pt idx="861">
                    <c:v>11-Dec</c:v>
                  </c:pt>
                  <c:pt idx="862">
                    <c:v>12-Dec</c:v>
                  </c:pt>
                  <c:pt idx="863">
                    <c:v>13-Dec</c:v>
                  </c:pt>
                  <c:pt idx="864">
                    <c:v>14-Dec</c:v>
                  </c:pt>
                  <c:pt idx="865">
                    <c:v>15-Dec</c:v>
                  </c:pt>
                  <c:pt idx="866">
                    <c:v>16-Dec</c:v>
                  </c:pt>
                  <c:pt idx="867">
                    <c:v>17-Dec</c:v>
                  </c:pt>
                  <c:pt idx="868">
                    <c:v>18-Dec</c:v>
                  </c:pt>
                  <c:pt idx="869">
                    <c:v>19-Dec</c:v>
                  </c:pt>
                  <c:pt idx="870">
                    <c:v>20-Dec</c:v>
                  </c:pt>
                  <c:pt idx="871">
                    <c:v>21-Dec</c:v>
                  </c:pt>
                  <c:pt idx="872">
                    <c:v>22-Dec</c:v>
                  </c:pt>
                  <c:pt idx="873">
                    <c:v>23-Dec</c:v>
                  </c:pt>
                  <c:pt idx="874">
                    <c:v>24-Dec</c:v>
                  </c:pt>
                  <c:pt idx="875">
                    <c:v>25-Dec</c:v>
                  </c:pt>
                  <c:pt idx="876">
                    <c:v>26-Dec</c:v>
                  </c:pt>
                  <c:pt idx="877">
                    <c:v>27-Dec</c:v>
                  </c:pt>
                  <c:pt idx="878">
                    <c:v>28-Dec</c:v>
                  </c:pt>
                  <c:pt idx="879">
                    <c:v>29-Dec</c:v>
                  </c:pt>
                  <c:pt idx="880">
                    <c:v>30-Dec</c:v>
                  </c:pt>
                  <c:pt idx="881">
                    <c:v>31-Dec</c:v>
                  </c:pt>
                  <c:pt idx="882">
                    <c:v>1-Jan</c:v>
                  </c:pt>
                  <c:pt idx="883">
                    <c:v>2-Jan</c:v>
                  </c:pt>
                  <c:pt idx="884">
                    <c:v>3-Jan</c:v>
                  </c:pt>
                  <c:pt idx="885">
                    <c:v>4-Jan</c:v>
                  </c:pt>
                  <c:pt idx="886">
                    <c:v>5-Jan</c:v>
                  </c:pt>
                  <c:pt idx="887">
                    <c:v>6-Jan</c:v>
                  </c:pt>
                  <c:pt idx="888">
                    <c:v>7-Jan</c:v>
                  </c:pt>
                  <c:pt idx="889">
                    <c:v>8-Jan</c:v>
                  </c:pt>
                  <c:pt idx="890">
                    <c:v>9-Jan</c:v>
                  </c:pt>
                  <c:pt idx="891">
                    <c:v>10-Jan</c:v>
                  </c:pt>
                  <c:pt idx="892">
                    <c:v>11-Jan</c:v>
                  </c:pt>
                  <c:pt idx="893">
                    <c:v>12-Jan</c:v>
                  </c:pt>
                  <c:pt idx="894">
                    <c:v>13-Jan</c:v>
                  </c:pt>
                  <c:pt idx="895">
                    <c:v>14-Jan</c:v>
                  </c:pt>
                  <c:pt idx="896">
                    <c:v>15-Jan</c:v>
                  </c:pt>
                  <c:pt idx="897">
                    <c:v>16-Jan</c:v>
                  </c:pt>
                  <c:pt idx="898">
                    <c:v>17-Jan</c:v>
                  </c:pt>
                  <c:pt idx="899">
                    <c:v>18-Jan</c:v>
                  </c:pt>
                  <c:pt idx="900">
                    <c:v>19-Jan</c:v>
                  </c:pt>
                  <c:pt idx="901">
                    <c:v>20-Jan</c:v>
                  </c:pt>
                  <c:pt idx="902">
                    <c:v>21-Jan</c:v>
                  </c:pt>
                  <c:pt idx="903">
                    <c:v>22-Jan</c:v>
                  </c:pt>
                  <c:pt idx="904">
                    <c:v>23-Jan</c:v>
                  </c:pt>
                  <c:pt idx="905">
                    <c:v>24-Jan</c:v>
                  </c:pt>
                  <c:pt idx="906">
                    <c:v>25-Jan</c:v>
                  </c:pt>
                  <c:pt idx="907">
                    <c:v>26-Jan</c:v>
                  </c:pt>
                  <c:pt idx="908">
                    <c:v>27-Jan</c:v>
                  </c:pt>
                  <c:pt idx="909">
                    <c:v>28-Jan</c:v>
                  </c:pt>
                  <c:pt idx="910">
                    <c:v>29-Jan</c:v>
                  </c:pt>
                  <c:pt idx="911">
                    <c:v>30-Jan</c:v>
                  </c:pt>
                  <c:pt idx="912">
                    <c:v>31-Jan</c:v>
                  </c:pt>
                  <c:pt idx="913">
                    <c:v>1-Feb</c:v>
                  </c:pt>
                  <c:pt idx="914">
                    <c:v>2-Feb</c:v>
                  </c:pt>
                  <c:pt idx="915">
                    <c:v>3-Feb</c:v>
                  </c:pt>
                  <c:pt idx="916">
                    <c:v>4-Feb</c:v>
                  </c:pt>
                  <c:pt idx="917">
                    <c:v>5-Feb</c:v>
                  </c:pt>
                  <c:pt idx="918">
                    <c:v>6-Feb</c:v>
                  </c:pt>
                  <c:pt idx="919">
                    <c:v>7-Feb</c:v>
                  </c:pt>
                  <c:pt idx="920">
                    <c:v>8-Feb</c:v>
                  </c:pt>
                  <c:pt idx="921">
                    <c:v>9-Feb</c:v>
                  </c:pt>
                  <c:pt idx="922">
                    <c:v>10-Feb</c:v>
                  </c:pt>
                  <c:pt idx="923">
                    <c:v>11-Feb</c:v>
                  </c:pt>
                  <c:pt idx="924">
                    <c:v>12-Feb</c:v>
                  </c:pt>
                  <c:pt idx="925">
                    <c:v>13-Feb</c:v>
                  </c:pt>
                  <c:pt idx="926">
                    <c:v>14-Feb</c:v>
                  </c:pt>
                  <c:pt idx="927">
                    <c:v>15-Feb</c:v>
                  </c:pt>
                  <c:pt idx="928">
                    <c:v>16-Feb</c:v>
                  </c:pt>
                  <c:pt idx="929">
                    <c:v>17-Feb</c:v>
                  </c:pt>
                  <c:pt idx="930">
                    <c:v>18-Feb</c:v>
                  </c:pt>
                  <c:pt idx="931">
                    <c:v>19-Feb</c:v>
                  </c:pt>
                  <c:pt idx="932">
                    <c:v>20-Feb</c:v>
                  </c:pt>
                  <c:pt idx="933">
                    <c:v>21-Feb</c:v>
                  </c:pt>
                  <c:pt idx="934">
                    <c:v>22-Feb</c:v>
                  </c:pt>
                  <c:pt idx="935">
                    <c:v>23-Feb</c:v>
                  </c:pt>
                  <c:pt idx="936">
                    <c:v>24-Feb</c:v>
                  </c:pt>
                  <c:pt idx="937">
                    <c:v>25-Feb</c:v>
                  </c:pt>
                  <c:pt idx="938">
                    <c:v>26-Feb</c:v>
                  </c:pt>
                  <c:pt idx="939">
                    <c:v>27-Feb</c:v>
                  </c:pt>
                  <c:pt idx="940">
                    <c:v>28-Feb</c:v>
                  </c:pt>
                  <c:pt idx="941">
                    <c:v>29-Feb</c:v>
                  </c:pt>
                  <c:pt idx="942">
                    <c:v>1-Mar</c:v>
                  </c:pt>
                  <c:pt idx="943">
                    <c:v>2-Mar</c:v>
                  </c:pt>
                  <c:pt idx="944">
                    <c:v>3-Mar</c:v>
                  </c:pt>
                  <c:pt idx="945">
                    <c:v>4-Mar</c:v>
                  </c:pt>
                  <c:pt idx="946">
                    <c:v>5-Mar</c:v>
                  </c:pt>
                  <c:pt idx="947">
                    <c:v>6-Mar</c:v>
                  </c:pt>
                  <c:pt idx="948">
                    <c:v>7-Mar</c:v>
                  </c:pt>
                  <c:pt idx="949">
                    <c:v>8-Mar</c:v>
                  </c:pt>
                  <c:pt idx="950">
                    <c:v>9-Mar</c:v>
                  </c:pt>
                  <c:pt idx="951">
                    <c:v>10-Mar</c:v>
                  </c:pt>
                  <c:pt idx="952">
                    <c:v>11-Mar</c:v>
                  </c:pt>
                  <c:pt idx="953">
                    <c:v>12-Mar</c:v>
                  </c:pt>
                  <c:pt idx="954">
                    <c:v>13-Mar</c:v>
                  </c:pt>
                  <c:pt idx="955">
                    <c:v>14-Mar</c:v>
                  </c:pt>
                  <c:pt idx="956">
                    <c:v>15-Mar</c:v>
                  </c:pt>
                  <c:pt idx="957">
                    <c:v>16-Mar</c:v>
                  </c:pt>
                  <c:pt idx="958">
                    <c:v>17-Mar</c:v>
                  </c:pt>
                  <c:pt idx="959">
                    <c:v>18-Mar</c:v>
                  </c:pt>
                  <c:pt idx="960">
                    <c:v>19-Mar</c:v>
                  </c:pt>
                  <c:pt idx="961">
                    <c:v>20-Mar</c:v>
                  </c:pt>
                  <c:pt idx="962">
                    <c:v>21-Mar</c:v>
                  </c:pt>
                  <c:pt idx="963">
                    <c:v>22-Mar</c:v>
                  </c:pt>
                  <c:pt idx="964">
                    <c:v>23-Mar</c:v>
                  </c:pt>
                  <c:pt idx="965">
                    <c:v>24-Mar</c:v>
                  </c:pt>
                  <c:pt idx="966">
                    <c:v>25-Mar</c:v>
                  </c:pt>
                  <c:pt idx="967">
                    <c:v>26-Mar</c:v>
                  </c:pt>
                  <c:pt idx="968">
                    <c:v>27-Mar</c:v>
                  </c:pt>
                  <c:pt idx="969">
                    <c:v>28-Mar</c:v>
                  </c:pt>
                  <c:pt idx="970">
                    <c:v>29-Mar</c:v>
                  </c:pt>
                  <c:pt idx="971">
                    <c:v>30-Mar</c:v>
                  </c:pt>
                  <c:pt idx="972">
                    <c:v>31-Mar</c:v>
                  </c:pt>
                  <c:pt idx="973">
                    <c:v>1-Apr</c:v>
                  </c:pt>
                  <c:pt idx="974">
                    <c:v>2-Apr</c:v>
                  </c:pt>
                  <c:pt idx="975">
                    <c:v>3-Apr</c:v>
                  </c:pt>
                  <c:pt idx="976">
                    <c:v>4-Apr</c:v>
                  </c:pt>
                  <c:pt idx="977">
                    <c:v>5-Apr</c:v>
                  </c:pt>
                  <c:pt idx="978">
                    <c:v>6-Apr</c:v>
                  </c:pt>
                  <c:pt idx="979">
                    <c:v>7-Apr</c:v>
                  </c:pt>
                  <c:pt idx="980">
                    <c:v>8-Apr</c:v>
                  </c:pt>
                  <c:pt idx="981">
                    <c:v>9-Apr</c:v>
                  </c:pt>
                  <c:pt idx="982">
                    <c:v>10-Apr</c:v>
                  </c:pt>
                  <c:pt idx="983">
                    <c:v>11-Apr</c:v>
                  </c:pt>
                  <c:pt idx="984">
                    <c:v>12-Apr</c:v>
                  </c:pt>
                  <c:pt idx="985">
                    <c:v>13-Apr</c:v>
                  </c:pt>
                  <c:pt idx="986">
                    <c:v>14-Apr</c:v>
                  </c:pt>
                  <c:pt idx="987">
                    <c:v>15-Apr</c:v>
                  </c:pt>
                  <c:pt idx="988">
                    <c:v>16-Apr</c:v>
                  </c:pt>
                  <c:pt idx="989">
                    <c:v>17-Apr</c:v>
                  </c:pt>
                  <c:pt idx="990">
                    <c:v>18-Apr</c:v>
                  </c:pt>
                  <c:pt idx="991">
                    <c:v>19-Apr</c:v>
                  </c:pt>
                  <c:pt idx="992">
                    <c:v>20-Apr</c:v>
                  </c:pt>
                  <c:pt idx="993">
                    <c:v>21-Apr</c:v>
                  </c:pt>
                  <c:pt idx="994">
                    <c:v>22-Apr</c:v>
                  </c:pt>
                  <c:pt idx="995">
                    <c:v>23-Apr</c:v>
                  </c:pt>
                  <c:pt idx="996">
                    <c:v>24-Apr</c:v>
                  </c:pt>
                  <c:pt idx="997">
                    <c:v>25-Apr</c:v>
                  </c:pt>
                  <c:pt idx="998">
                    <c:v>26-Apr</c:v>
                  </c:pt>
                  <c:pt idx="999">
                    <c:v>27-Apr</c:v>
                  </c:pt>
                  <c:pt idx="1000">
                    <c:v>28-Apr</c:v>
                  </c:pt>
                  <c:pt idx="1001">
                    <c:v>29-Apr</c:v>
                  </c:pt>
                  <c:pt idx="1002">
                    <c:v>30-Apr</c:v>
                  </c:pt>
                  <c:pt idx="1003">
                    <c:v>1-May</c:v>
                  </c:pt>
                  <c:pt idx="1004">
                    <c:v>2-May</c:v>
                  </c:pt>
                  <c:pt idx="1005">
                    <c:v>3-May</c:v>
                  </c:pt>
                  <c:pt idx="1006">
                    <c:v>4-May</c:v>
                  </c:pt>
                  <c:pt idx="1007">
                    <c:v>5-May</c:v>
                  </c:pt>
                  <c:pt idx="1008">
                    <c:v>6-May</c:v>
                  </c:pt>
                  <c:pt idx="1009">
                    <c:v>7-May</c:v>
                  </c:pt>
                  <c:pt idx="1010">
                    <c:v>8-May</c:v>
                  </c:pt>
                  <c:pt idx="1011">
                    <c:v>9-May</c:v>
                  </c:pt>
                  <c:pt idx="1012">
                    <c:v>10-May</c:v>
                  </c:pt>
                  <c:pt idx="1013">
                    <c:v>11-May</c:v>
                  </c:pt>
                  <c:pt idx="1014">
                    <c:v>12-May</c:v>
                  </c:pt>
                  <c:pt idx="1015">
                    <c:v>13-May</c:v>
                  </c:pt>
                  <c:pt idx="1016">
                    <c:v>14-May</c:v>
                  </c:pt>
                  <c:pt idx="1017">
                    <c:v>15-May</c:v>
                  </c:pt>
                  <c:pt idx="1018">
                    <c:v>16-May</c:v>
                  </c:pt>
                  <c:pt idx="1019">
                    <c:v>17-May</c:v>
                  </c:pt>
                  <c:pt idx="1020">
                    <c:v>18-May</c:v>
                  </c:pt>
                  <c:pt idx="1021">
                    <c:v>19-May</c:v>
                  </c:pt>
                  <c:pt idx="1022">
                    <c:v>20-May</c:v>
                  </c:pt>
                  <c:pt idx="1023">
                    <c:v>21-May</c:v>
                  </c:pt>
                  <c:pt idx="1024">
                    <c:v>22-May</c:v>
                  </c:pt>
                  <c:pt idx="1025">
                    <c:v>23-May</c:v>
                  </c:pt>
                  <c:pt idx="1026">
                    <c:v>24-May</c:v>
                  </c:pt>
                  <c:pt idx="1027">
                    <c:v>25-May</c:v>
                  </c:pt>
                  <c:pt idx="1028">
                    <c:v>26-May</c:v>
                  </c:pt>
                  <c:pt idx="1029">
                    <c:v>27-May</c:v>
                  </c:pt>
                  <c:pt idx="1030">
                    <c:v>28-May</c:v>
                  </c:pt>
                  <c:pt idx="1031">
                    <c:v>29-May</c:v>
                  </c:pt>
                  <c:pt idx="1032">
                    <c:v>30-May</c:v>
                  </c:pt>
                  <c:pt idx="1033">
                    <c:v>31-May</c:v>
                  </c:pt>
                  <c:pt idx="1034">
                    <c:v>1-Jun</c:v>
                  </c:pt>
                  <c:pt idx="1035">
                    <c:v>2-Jun</c:v>
                  </c:pt>
                  <c:pt idx="1036">
                    <c:v>3-Jun</c:v>
                  </c:pt>
                  <c:pt idx="1037">
                    <c:v>4-Jun</c:v>
                  </c:pt>
                  <c:pt idx="1038">
                    <c:v>5-Jun</c:v>
                  </c:pt>
                  <c:pt idx="1039">
                    <c:v>6-Jun</c:v>
                  </c:pt>
                  <c:pt idx="1040">
                    <c:v>7-Jun</c:v>
                  </c:pt>
                  <c:pt idx="1041">
                    <c:v>8-Jun</c:v>
                  </c:pt>
                  <c:pt idx="1042">
                    <c:v>9-Jun</c:v>
                  </c:pt>
                  <c:pt idx="1043">
                    <c:v>10-Jun</c:v>
                  </c:pt>
                  <c:pt idx="1044">
                    <c:v>11-Jun</c:v>
                  </c:pt>
                  <c:pt idx="1045">
                    <c:v>12-Jun</c:v>
                  </c:pt>
                  <c:pt idx="1046">
                    <c:v>13-Jun</c:v>
                  </c:pt>
                  <c:pt idx="1047">
                    <c:v>14-Jun</c:v>
                  </c:pt>
                  <c:pt idx="1048">
                    <c:v>15-Jun</c:v>
                  </c:pt>
                  <c:pt idx="1049">
                    <c:v>16-Jun</c:v>
                  </c:pt>
                  <c:pt idx="1050">
                    <c:v>17-Jun</c:v>
                  </c:pt>
                  <c:pt idx="1051">
                    <c:v>18-Jun</c:v>
                  </c:pt>
                  <c:pt idx="1052">
                    <c:v>19-Jun</c:v>
                  </c:pt>
                  <c:pt idx="1053">
                    <c:v>20-Jun</c:v>
                  </c:pt>
                  <c:pt idx="1054">
                    <c:v>21-Jun</c:v>
                  </c:pt>
                  <c:pt idx="1055">
                    <c:v>22-Jun</c:v>
                  </c:pt>
                  <c:pt idx="1056">
                    <c:v>23-Jun</c:v>
                  </c:pt>
                  <c:pt idx="1057">
                    <c:v>24-Jun</c:v>
                  </c:pt>
                  <c:pt idx="1058">
                    <c:v>25-Jun</c:v>
                  </c:pt>
                  <c:pt idx="1059">
                    <c:v>26-Jun</c:v>
                  </c:pt>
                  <c:pt idx="1060">
                    <c:v>27-Jun</c:v>
                  </c:pt>
                  <c:pt idx="1061">
                    <c:v>28-Jun</c:v>
                  </c:pt>
                  <c:pt idx="1062">
                    <c:v>29-Jun</c:v>
                  </c:pt>
                  <c:pt idx="1063">
                    <c:v>30-Jun</c:v>
                  </c:pt>
                  <c:pt idx="1064">
                    <c:v>1-Jul</c:v>
                  </c:pt>
                  <c:pt idx="1065">
                    <c:v>2-Jul</c:v>
                  </c:pt>
                  <c:pt idx="1066">
                    <c:v>3-Jul</c:v>
                  </c:pt>
                  <c:pt idx="1067">
                    <c:v>4-Jul</c:v>
                  </c:pt>
                  <c:pt idx="1068">
                    <c:v>5-Jul</c:v>
                  </c:pt>
                  <c:pt idx="1069">
                    <c:v>6-Jul</c:v>
                  </c:pt>
                  <c:pt idx="1070">
                    <c:v>7-Jul</c:v>
                  </c:pt>
                  <c:pt idx="1071">
                    <c:v>8-Jul</c:v>
                  </c:pt>
                  <c:pt idx="1072">
                    <c:v>9-Jul</c:v>
                  </c:pt>
                  <c:pt idx="1073">
                    <c:v>10-Jul</c:v>
                  </c:pt>
                  <c:pt idx="1074">
                    <c:v>11-Jul</c:v>
                  </c:pt>
                  <c:pt idx="1075">
                    <c:v>12-Jul</c:v>
                  </c:pt>
                  <c:pt idx="1076">
                    <c:v>13-Jul</c:v>
                  </c:pt>
                  <c:pt idx="1077">
                    <c:v>14-Jul</c:v>
                  </c:pt>
                  <c:pt idx="1078">
                    <c:v>15-Jul</c:v>
                  </c:pt>
                  <c:pt idx="1079">
                    <c:v>16-Jul</c:v>
                  </c:pt>
                  <c:pt idx="1080">
                    <c:v>17-Jul</c:v>
                  </c:pt>
                  <c:pt idx="1081">
                    <c:v>18-Jul</c:v>
                  </c:pt>
                  <c:pt idx="1082">
                    <c:v>19-Jul</c:v>
                  </c:pt>
                  <c:pt idx="1083">
                    <c:v>20-Jul</c:v>
                  </c:pt>
                  <c:pt idx="1084">
                    <c:v>21-Jul</c:v>
                  </c:pt>
                  <c:pt idx="1085">
                    <c:v>22-Jul</c:v>
                  </c:pt>
                  <c:pt idx="1086">
                    <c:v>23-Jul</c:v>
                  </c:pt>
                  <c:pt idx="1087">
                    <c:v>24-Jul</c:v>
                  </c:pt>
                  <c:pt idx="1088">
                    <c:v>25-Jul</c:v>
                  </c:pt>
                  <c:pt idx="1089">
                    <c:v>26-Jul</c:v>
                  </c:pt>
                  <c:pt idx="1090">
                    <c:v>27-Jul</c:v>
                  </c:pt>
                  <c:pt idx="1091">
                    <c:v>28-Jul</c:v>
                  </c:pt>
                  <c:pt idx="1092">
                    <c:v>29-Jul</c:v>
                  </c:pt>
                  <c:pt idx="1093">
                    <c:v>30-Jul</c:v>
                  </c:pt>
                  <c:pt idx="1094">
                    <c:v>31-Jul</c:v>
                  </c:pt>
                  <c:pt idx="1095">
                    <c:v>1-Aug</c:v>
                  </c:pt>
                  <c:pt idx="1096">
                    <c:v>2-Aug</c:v>
                  </c:pt>
                  <c:pt idx="1097">
                    <c:v>3-Aug</c:v>
                  </c:pt>
                  <c:pt idx="1098">
                    <c:v>4-Aug</c:v>
                  </c:pt>
                  <c:pt idx="1099">
                    <c:v>5-Aug</c:v>
                  </c:pt>
                  <c:pt idx="1100">
                    <c:v>6-Aug</c:v>
                  </c:pt>
                  <c:pt idx="1101">
                    <c:v>7-Aug</c:v>
                  </c:pt>
                  <c:pt idx="1102">
                    <c:v>8-Aug</c:v>
                  </c:pt>
                  <c:pt idx="1103">
                    <c:v>9-Aug</c:v>
                  </c:pt>
                  <c:pt idx="1104">
                    <c:v>10-Aug</c:v>
                  </c:pt>
                  <c:pt idx="1105">
                    <c:v>11-Aug</c:v>
                  </c:pt>
                  <c:pt idx="1106">
                    <c:v>12-Aug</c:v>
                  </c:pt>
                  <c:pt idx="1107">
                    <c:v>13-Aug</c:v>
                  </c:pt>
                  <c:pt idx="1108">
                    <c:v>14-Aug</c:v>
                  </c:pt>
                  <c:pt idx="1109">
                    <c:v>15-Aug</c:v>
                  </c:pt>
                  <c:pt idx="1110">
                    <c:v>16-Aug</c:v>
                  </c:pt>
                  <c:pt idx="1111">
                    <c:v>17-Aug</c:v>
                  </c:pt>
                  <c:pt idx="1112">
                    <c:v>18-Aug</c:v>
                  </c:pt>
                  <c:pt idx="1113">
                    <c:v>19-Aug</c:v>
                  </c:pt>
                  <c:pt idx="1114">
                    <c:v>20-Aug</c:v>
                  </c:pt>
                  <c:pt idx="1115">
                    <c:v>21-Aug</c:v>
                  </c:pt>
                  <c:pt idx="1116">
                    <c:v>22-Aug</c:v>
                  </c:pt>
                  <c:pt idx="1117">
                    <c:v>23-Aug</c:v>
                  </c:pt>
                  <c:pt idx="1118">
                    <c:v>24-Aug</c:v>
                  </c:pt>
                  <c:pt idx="1119">
                    <c:v>25-Aug</c:v>
                  </c:pt>
                  <c:pt idx="1120">
                    <c:v>26-Aug</c:v>
                  </c:pt>
                  <c:pt idx="1121">
                    <c:v>27-Aug</c:v>
                  </c:pt>
                  <c:pt idx="1122">
                    <c:v>28-Aug</c:v>
                  </c:pt>
                  <c:pt idx="1123">
                    <c:v>29-Aug</c:v>
                  </c:pt>
                  <c:pt idx="1124">
                    <c:v>30-Aug</c:v>
                  </c:pt>
                  <c:pt idx="1125">
                    <c:v>31-Aug</c:v>
                  </c:pt>
                  <c:pt idx="1126">
                    <c:v>1-Sep</c:v>
                  </c:pt>
                  <c:pt idx="1127">
                    <c:v>2-Sep</c:v>
                  </c:pt>
                  <c:pt idx="1128">
                    <c:v>3-Sep</c:v>
                  </c:pt>
                  <c:pt idx="1129">
                    <c:v>4-Sep</c:v>
                  </c:pt>
                  <c:pt idx="1130">
                    <c:v>5-Sep</c:v>
                  </c:pt>
                  <c:pt idx="1131">
                    <c:v>6-Sep</c:v>
                  </c:pt>
                  <c:pt idx="1132">
                    <c:v>7-Sep</c:v>
                  </c:pt>
                  <c:pt idx="1133">
                    <c:v>8-Sep</c:v>
                  </c:pt>
                  <c:pt idx="1134">
                    <c:v>9-Sep</c:v>
                  </c:pt>
                  <c:pt idx="1135">
                    <c:v>10-Sep</c:v>
                  </c:pt>
                  <c:pt idx="1136">
                    <c:v>11-Sep</c:v>
                  </c:pt>
                  <c:pt idx="1137">
                    <c:v>12-Sep</c:v>
                  </c:pt>
                  <c:pt idx="1138">
                    <c:v>13-Sep</c:v>
                  </c:pt>
                  <c:pt idx="1139">
                    <c:v>14-Sep</c:v>
                  </c:pt>
                  <c:pt idx="1140">
                    <c:v>15-Sep</c:v>
                  </c:pt>
                  <c:pt idx="1141">
                    <c:v>16-Sep</c:v>
                  </c:pt>
                  <c:pt idx="1142">
                    <c:v>17-Sep</c:v>
                  </c:pt>
                  <c:pt idx="1143">
                    <c:v>18-Sep</c:v>
                  </c:pt>
                  <c:pt idx="1144">
                    <c:v>19-Sep</c:v>
                  </c:pt>
                  <c:pt idx="1145">
                    <c:v>20-Sep</c:v>
                  </c:pt>
                  <c:pt idx="1146">
                    <c:v>21-Sep</c:v>
                  </c:pt>
                  <c:pt idx="1147">
                    <c:v>22-Sep</c:v>
                  </c:pt>
                  <c:pt idx="1148">
                    <c:v>23-Sep</c:v>
                  </c:pt>
                  <c:pt idx="1149">
                    <c:v>24-Sep</c:v>
                  </c:pt>
                  <c:pt idx="1150">
                    <c:v>25-Sep</c:v>
                  </c:pt>
                  <c:pt idx="1151">
                    <c:v>26-Sep</c:v>
                  </c:pt>
                  <c:pt idx="1152">
                    <c:v>27-Sep</c:v>
                  </c:pt>
                  <c:pt idx="1153">
                    <c:v>28-Sep</c:v>
                  </c:pt>
                  <c:pt idx="1154">
                    <c:v>29-Sep</c:v>
                  </c:pt>
                  <c:pt idx="1155">
                    <c:v>30-Sep</c:v>
                  </c:pt>
                  <c:pt idx="1156">
                    <c:v>1-Oct</c:v>
                  </c:pt>
                  <c:pt idx="1157">
                    <c:v>2-Oct</c:v>
                  </c:pt>
                  <c:pt idx="1158">
                    <c:v>3-Oct</c:v>
                  </c:pt>
                  <c:pt idx="1159">
                    <c:v>4-Oct</c:v>
                  </c:pt>
                  <c:pt idx="1160">
                    <c:v>5-Oct</c:v>
                  </c:pt>
                  <c:pt idx="1161">
                    <c:v>6-Oct</c:v>
                  </c:pt>
                  <c:pt idx="1162">
                    <c:v>7-Oct</c:v>
                  </c:pt>
                  <c:pt idx="1163">
                    <c:v>8-Oct</c:v>
                  </c:pt>
                  <c:pt idx="1164">
                    <c:v>9-Oct</c:v>
                  </c:pt>
                  <c:pt idx="1165">
                    <c:v>10-Oct</c:v>
                  </c:pt>
                  <c:pt idx="1166">
                    <c:v>11-Oct</c:v>
                  </c:pt>
                  <c:pt idx="1167">
                    <c:v>12-Oct</c:v>
                  </c:pt>
                </c:lvl>
                <c:lvl>
                  <c:pt idx="0">
                    <c:v>2017</c:v>
                  </c:pt>
                  <c:pt idx="152">
                    <c:v>2018</c:v>
                  </c:pt>
                  <c:pt idx="517">
                    <c:v>2019</c:v>
                  </c:pt>
                  <c:pt idx="882">
                    <c:v>2020</c:v>
                  </c:pt>
                </c:lvl>
              </c:multiLvlStrCache>
            </c:multiLvlStrRef>
          </c:cat>
          <c:val>
            <c:numRef>
              <c:f>tvl_pivot!$C$4:$C$1176</c:f>
              <c:numCache>
                <c:formatCode>General</c:formatCode>
                <c:ptCount val="1168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1386</c:v>
                </c:pt>
                <c:pt idx="23">
                  <c:v>1355</c:v>
                </c:pt>
                <c:pt idx="24">
                  <c:v>1300</c:v>
                </c:pt>
                <c:pt idx="25">
                  <c:v>1365</c:v>
                </c:pt>
                <c:pt idx="26">
                  <c:v>1521</c:v>
                </c:pt>
                <c:pt idx="27">
                  <c:v>1531</c:v>
                </c:pt>
                <c:pt idx="28">
                  <c:v>1591</c:v>
                </c:pt>
                <c:pt idx="29">
                  <c:v>1647</c:v>
                </c:pt>
                <c:pt idx="30">
                  <c:v>1652</c:v>
                </c:pt>
                <c:pt idx="31">
                  <c:v>1516</c:v>
                </c:pt>
                <c:pt idx="32">
                  <c:v>1451</c:v>
                </c:pt>
                <c:pt idx="33">
                  <c:v>1141</c:v>
                </c:pt>
                <c:pt idx="34">
                  <c:v>684</c:v>
                </c:pt>
                <c:pt idx="35">
                  <c:v>723</c:v>
                </c:pt>
                <c:pt idx="36">
                  <c:v>745</c:v>
                </c:pt>
                <c:pt idx="37">
                  <c:v>698</c:v>
                </c:pt>
                <c:pt idx="38">
                  <c:v>679</c:v>
                </c:pt>
                <c:pt idx="39">
                  <c:v>649</c:v>
                </c:pt>
                <c:pt idx="40">
                  <c:v>632</c:v>
                </c:pt>
                <c:pt idx="41">
                  <c:v>2100574</c:v>
                </c:pt>
                <c:pt idx="42">
                  <c:v>2187923</c:v>
                </c:pt>
                <c:pt idx="43">
                  <c:v>1761431</c:v>
                </c:pt>
                <c:pt idx="44">
                  <c:v>1322049</c:v>
                </c:pt>
                <c:pt idx="45">
                  <c:v>1395519</c:v>
                </c:pt>
                <c:pt idx="46">
                  <c:v>1299343</c:v>
                </c:pt>
                <c:pt idx="47">
                  <c:v>1406269</c:v>
                </c:pt>
                <c:pt idx="48">
                  <c:v>1492881</c:v>
                </c:pt>
                <c:pt idx="49">
                  <c:v>1346872</c:v>
                </c:pt>
                <c:pt idx="50">
                  <c:v>1375273</c:v>
                </c:pt>
                <c:pt idx="51">
                  <c:v>1197336</c:v>
                </c:pt>
                <c:pt idx="52">
                  <c:v>1208691</c:v>
                </c:pt>
                <c:pt idx="53">
                  <c:v>1363800</c:v>
                </c:pt>
                <c:pt idx="54">
                  <c:v>1322087</c:v>
                </c:pt>
                <c:pt idx="55">
                  <c:v>1332142</c:v>
                </c:pt>
                <c:pt idx="56">
                  <c:v>1340764</c:v>
                </c:pt>
                <c:pt idx="57">
                  <c:v>1230081</c:v>
                </c:pt>
                <c:pt idx="58">
                  <c:v>1406365</c:v>
                </c:pt>
                <c:pt idx="59">
                  <c:v>1616384</c:v>
                </c:pt>
                <c:pt idx="60">
                  <c:v>2627295</c:v>
                </c:pt>
                <c:pt idx="61">
                  <c:v>1406890</c:v>
                </c:pt>
                <c:pt idx="62">
                  <c:v>1340804</c:v>
                </c:pt>
                <c:pt idx="63">
                  <c:v>1266586</c:v>
                </c:pt>
                <c:pt idx="64">
                  <c:v>4200506</c:v>
                </c:pt>
                <c:pt idx="65">
                  <c:v>4227210</c:v>
                </c:pt>
                <c:pt idx="66">
                  <c:v>1529506</c:v>
                </c:pt>
                <c:pt idx="67">
                  <c:v>1721351</c:v>
                </c:pt>
                <c:pt idx="68">
                  <c:v>1230356</c:v>
                </c:pt>
                <c:pt idx="69">
                  <c:v>1157661</c:v>
                </c:pt>
                <c:pt idx="70">
                  <c:v>1779275</c:v>
                </c:pt>
                <c:pt idx="71">
                  <c:v>2368811</c:v>
                </c:pt>
                <c:pt idx="72">
                  <c:v>2184832</c:v>
                </c:pt>
                <c:pt idx="73">
                  <c:v>1803655</c:v>
                </c:pt>
                <c:pt idx="74">
                  <c:v>1348483</c:v>
                </c:pt>
                <c:pt idx="75">
                  <c:v>4538303</c:v>
                </c:pt>
                <c:pt idx="76">
                  <c:v>4392076</c:v>
                </c:pt>
                <c:pt idx="77">
                  <c:v>4105398</c:v>
                </c:pt>
                <c:pt idx="78">
                  <c:v>3765240</c:v>
                </c:pt>
                <c:pt idx="79">
                  <c:v>3727645</c:v>
                </c:pt>
                <c:pt idx="80">
                  <c:v>3614010</c:v>
                </c:pt>
                <c:pt idx="81">
                  <c:v>3372824</c:v>
                </c:pt>
                <c:pt idx="82">
                  <c:v>3167783</c:v>
                </c:pt>
                <c:pt idx="83">
                  <c:v>2976913</c:v>
                </c:pt>
                <c:pt idx="84">
                  <c:v>3130369</c:v>
                </c:pt>
                <c:pt idx="85">
                  <c:v>3077011</c:v>
                </c:pt>
                <c:pt idx="86">
                  <c:v>2495857</c:v>
                </c:pt>
                <c:pt idx="87">
                  <c:v>2586193</c:v>
                </c:pt>
                <c:pt idx="88">
                  <c:v>2599813</c:v>
                </c:pt>
                <c:pt idx="89">
                  <c:v>2620378</c:v>
                </c:pt>
                <c:pt idx="90">
                  <c:v>2660420</c:v>
                </c:pt>
                <c:pt idx="91">
                  <c:v>2615404</c:v>
                </c:pt>
                <c:pt idx="92">
                  <c:v>2498818</c:v>
                </c:pt>
                <c:pt idx="93">
                  <c:v>2182976</c:v>
                </c:pt>
                <c:pt idx="94">
                  <c:v>2250921</c:v>
                </c:pt>
                <c:pt idx="95">
                  <c:v>2383687</c:v>
                </c:pt>
                <c:pt idx="96">
                  <c:v>2278501</c:v>
                </c:pt>
                <c:pt idx="97">
                  <c:v>2369142</c:v>
                </c:pt>
                <c:pt idx="98">
                  <c:v>2604644</c:v>
                </c:pt>
                <c:pt idx="99">
                  <c:v>2452697</c:v>
                </c:pt>
                <c:pt idx="100">
                  <c:v>2819162</c:v>
                </c:pt>
                <c:pt idx="101">
                  <c:v>2312229</c:v>
                </c:pt>
                <c:pt idx="102">
                  <c:v>1727079</c:v>
                </c:pt>
                <c:pt idx="103">
                  <c:v>1550713</c:v>
                </c:pt>
                <c:pt idx="104">
                  <c:v>1917241</c:v>
                </c:pt>
                <c:pt idx="105">
                  <c:v>1871145</c:v>
                </c:pt>
                <c:pt idx="106">
                  <c:v>1706140</c:v>
                </c:pt>
                <c:pt idx="107">
                  <c:v>6908299</c:v>
                </c:pt>
                <c:pt idx="108">
                  <c:v>6848192</c:v>
                </c:pt>
                <c:pt idx="109">
                  <c:v>7163984</c:v>
                </c:pt>
                <c:pt idx="110">
                  <c:v>7178571</c:v>
                </c:pt>
                <c:pt idx="111">
                  <c:v>7304792</c:v>
                </c:pt>
                <c:pt idx="112">
                  <c:v>7127275</c:v>
                </c:pt>
                <c:pt idx="113">
                  <c:v>7817731</c:v>
                </c:pt>
                <c:pt idx="114">
                  <c:v>8023171</c:v>
                </c:pt>
                <c:pt idx="115">
                  <c:v>8983722</c:v>
                </c:pt>
                <c:pt idx="116">
                  <c:v>8758371</c:v>
                </c:pt>
                <c:pt idx="117">
                  <c:v>8939618</c:v>
                </c:pt>
                <c:pt idx="118">
                  <c:v>8832017</c:v>
                </c:pt>
                <c:pt idx="119">
                  <c:v>8824505</c:v>
                </c:pt>
                <c:pt idx="120">
                  <c:v>8697058</c:v>
                </c:pt>
                <c:pt idx="121">
                  <c:v>8845547</c:v>
                </c:pt>
                <c:pt idx="122">
                  <c:v>9168312</c:v>
                </c:pt>
                <c:pt idx="123">
                  <c:v>8998308</c:v>
                </c:pt>
                <c:pt idx="124">
                  <c:v>9276538</c:v>
                </c:pt>
                <c:pt idx="125">
                  <c:v>9739269</c:v>
                </c:pt>
                <c:pt idx="126">
                  <c:v>11582730</c:v>
                </c:pt>
                <c:pt idx="127">
                  <c:v>10984395</c:v>
                </c:pt>
                <c:pt idx="128">
                  <c:v>10195547</c:v>
                </c:pt>
                <c:pt idx="129">
                  <c:v>10571618</c:v>
                </c:pt>
                <c:pt idx="130">
                  <c:v>11046204</c:v>
                </c:pt>
                <c:pt idx="131">
                  <c:v>10339780</c:v>
                </c:pt>
                <c:pt idx="132">
                  <c:v>11630174</c:v>
                </c:pt>
                <c:pt idx="133">
                  <c:v>13343930</c:v>
                </c:pt>
                <c:pt idx="134">
                  <c:v>13612594</c:v>
                </c:pt>
                <c:pt idx="135">
                  <c:v>13219941</c:v>
                </c:pt>
                <c:pt idx="136">
                  <c:v>13715902</c:v>
                </c:pt>
                <c:pt idx="137">
                  <c:v>14600775</c:v>
                </c:pt>
                <c:pt idx="138">
                  <c:v>15797364</c:v>
                </c:pt>
                <c:pt idx="139">
                  <c:v>20846431</c:v>
                </c:pt>
                <c:pt idx="140">
                  <c:v>24685057</c:v>
                </c:pt>
                <c:pt idx="141">
                  <c:v>29386938</c:v>
                </c:pt>
                <c:pt idx="142">
                  <c:v>30312295</c:v>
                </c:pt>
                <c:pt idx="143">
                  <c:v>28096734</c:v>
                </c:pt>
                <c:pt idx="144">
                  <c:v>30291023</c:v>
                </c:pt>
                <c:pt idx="145">
                  <c:v>31646081</c:v>
                </c:pt>
                <c:pt idx="146">
                  <c:v>40972890</c:v>
                </c:pt>
                <c:pt idx="147">
                  <c:v>41765822</c:v>
                </c:pt>
                <c:pt idx="148">
                  <c:v>43007119</c:v>
                </c:pt>
                <c:pt idx="149">
                  <c:v>44371099</c:v>
                </c:pt>
                <c:pt idx="150">
                  <c:v>48578456</c:v>
                </c:pt>
                <c:pt idx="151">
                  <c:v>45320142</c:v>
                </c:pt>
                <c:pt idx="152">
                  <c:v>48518175</c:v>
                </c:pt>
                <c:pt idx="153">
                  <c:v>50815621</c:v>
                </c:pt>
                <c:pt idx="154">
                  <c:v>56942145</c:v>
                </c:pt>
                <c:pt idx="155">
                  <c:v>63044139</c:v>
                </c:pt>
                <c:pt idx="156">
                  <c:v>71301491</c:v>
                </c:pt>
                <c:pt idx="157">
                  <c:v>73542908</c:v>
                </c:pt>
                <c:pt idx="158">
                  <c:v>78593372</c:v>
                </c:pt>
                <c:pt idx="159">
                  <c:v>87758898</c:v>
                </c:pt>
                <c:pt idx="160">
                  <c:v>89677700</c:v>
                </c:pt>
                <c:pt idx="161">
                  <c:v>103410300</c:v>
                </c:pt>
                <c:pt idx="162">
                  <c:v>95293222</c:v>
                </c:pt>
                <c:pt idx="163">
                  <c:v>88712830</c:v>
                </c:pt>
                <c:pt idx="164">
                  <c:v>98858837</c:v>
                </c:pt>
                <c:pt idx="165">
                  <c:v>103374935</c:v>
                </c:pt>
                <c:pt idx="166">
                  <c:v>99806389</c:v>
                </c:pt>
                <c:pt idx="167">
                  <c:v>88219997</c:v>
                </c:pt>
                <c:pt idx="168">
                  <c:v>71399412</c:v>
                </c:pt>
                <c:pt idx="169">
                  <c:v>74326033</c:v>
                </c:pt>
                <c:pt idx="170">
                  <c:v>75238286</c:v>
                </c:pt>
                <c:pt idx="171">
                  <c:v>78054938</c:v>
                </c:pt>
                <c:pt idx="172">
                  <c:v>85638433</c:v>
                </c:pt>
                <c:pt idx="173">
                  <c:v>77716764</c:v>
                </c:pt>
                <c:pt idx="174">
                  <c:v>75026171</c:v>
                </c:pt>
                <c:pt idx="175">
                  <c:v>75850735</c:v>
                </c:pt>
                <c:pt idx="176">
                  <c:v>80973666</c:v>
                </c:pt>
                <c:pt idx="177">
                  <c:v>79242602</c:v>
                </c:pt>
                <c:pt idx="178">
                  <c:v>78831535</c:v>
                </c:pt>
                <c:pt idx="179">
                  <c:v>82983347</c:v>
                </c:pt>
                <c:pt idx="180">
                  <c:v>89232298</c:v>
                </c:pt>
                <c:pt idx="181">
                  <c:v>83475721</c:v>
                </c:pt>
                <c:pt idx="182">
                  <c:v>77008937</c:v>
                </c:pt>
                <c:pt idx="183">
                  <c:v>78328314</c:v>
                </c:pt>
                <c:pt idx="184">
                  <c:v>72945655</c:v>
                </c:pt>
                <c:pt idx="185">
                  <c:v>68896116</c:v>
                </c:pt>
                <c:pt idx="186">
                  <c:v>71789512</c:v>
                </c:pt>
                <c:pt idx="187">
                  <c:v>61988724</c:v>
                </c:pt>
                <c:pt idx="188">
                  <c:v>57176760</c:v>
                </c:pt>
                <c:pt idx="189">
                  <c:v>65971481</c:v>
                </c:pt>
                <c:pt idx="190">
                  <c:v>65300967</c:v>
                </c:pt>
                <c:pt idx="191">
                  <c:v>70451708</c:v>
                </c:pt>
                <c:pt idx="192">
                  <c:v>82222365</c:v>
                </c:pt>
                <c:pt idx="193">
                  <c:v>79665163</c:v>
                </c:pt>
                <c:pt idx="194">
                  <c:v>77833965</c:v>
                </c:pt>
                <c:pt idx="195">
                  <c:v>82064851</c:v>
                </c:pt>
                <c:pt idx="196">
                  <c:v>82113672</c:v>
                </c:pt>
                <c:pt idx="197">
                  <c:v>90268949</c:v>
                </c:pt>
                <c:pt idx="198">
                  <c:v>96519516</c:v>
                </c:pt>
                <c:pt idx="199">
                  <c:v>98604963</c:v>
                </c:pt>
                <c:pt idx="200">
                  <c:v>102220287</c:v>
                </c:pt>
                <c:pt idx="201">
                  <c:v>97714894</c:v>
                </c:pt>
                <c:pt idx="202">
                  <c:v>99891414</c:v>
                </c:pt>
                <c:pt idx="203">
                  <c:v>93045466</c:v>
                </c:pt>
                <c:pt idx="204">
                  <c:v>88301085</c:v>
                </c:pt>
                <c:pt idx="205">
                  <c:v>85610279</c:v>
                </c:pt>
                <c:pt idx="206">
                  <c:v>90910790</c:v>
                </c:pt>
                <c:pt idx="207">
                  <c:v>89373648</c:v>
                </c:pt>
                <c:pt idx="208">
                  <c:v>92536272</c:v>
                </c:pt>
                <c:pt idx="209">
                  <c:v>98691300</c:v>
                </c:pt>
                <c:pt idx="210">
                  <c:v>99825253</c:v>
                </c:pt>
                <c:pt idx="211">
                  <c:v>98820460</c:v>
                </c:pt>
                <c:pt idx="212">
                  <c:v>103545997</c:v>
                </c:pt>
                <c:pt idx="213">
                  <c:v>103379499</c:v>
                </c:pt>
                <c:pt idx="214">
                  <c:v>102696576</c:v>
                </c:pt>
                <c:pt idx="215">
                  <c:v>104005391</c:v>
                </c:pt>
                <c:pt idx="216">
                  <c:v>100856136</c:v>
                </c:pt>
                <c:pt idx="217">
                  <c:v>96154942</c:v>
                </c:pt>
                <c:pt idx="218">
                  <c:v>89827949</c:v>
                </c:pt>
                <c:pt idx="219">
                  <c:v>83526322</c:v>
                </c:pt>
                <c:pt idx="220">
                  <c:v>85325813</c:v>
                </c:pt>
                <c:pt idx="221">
                  <c:v>82163637</c:v>
                </c:pt>
                <c:pt idx="222">
                  <c:v>85584130</c:v>
                </c:pt>
                <c:pt idx="223">
                  <c:v>83466548</c:v>
                </c:pt>
                <c:pt idx="224">
                  <c:v>81671089</c:v>
                </c:pt>
                <c:pt idx="225">
                  <c:v>76177207</c:v>
                </c:pt>
                <c:pt idx="226">
                  <c:v>77954914</c:v>
                </c:pt>
                <c:pt idx="227">
                  <c:v>77939406</c:v>
                </c:pt>
                <c:pt idx="228">
                  <c:v>72706836</c:v>
                </c:pt>
                <c:pt idx="229">
                  <c:v>69588405</c:v>
                </c:pt>
                <c:pt idx="230">
                  <c:v>74687687</c:v>
                </c:pt>
                <c:pt idx="231">
                  <c:v>75110273</c:v>
                </c:pt>
                <c:pt idx="232">
                  <c:v>76202390</c:v>
                </c:pt>
                <c:pt idx="233">
                  <c:v>74375836</c:v>
                </c:pt>
                <c:pt idx="234">
                  <c:v>74822899</c:v>
                </c:pt>
                <c:pt idx="235">
                  <c:v>72123558</c:v>
                </c:pt>
                <c:pt idx="236">
                  <c:v>72197504</c:v>
                </c:pt>
                <c:pt idx="237">
                  <c:v>67563427</c:v>
                </c:pt>
                <c:pt idx="238">
                  <c:v>64699277</c:v>
                </c:pt>
                <c:pt idx="239">
                  <c:v>64534583</c:v>
                </c:pt>
                <c:pt idx="240">
                  <c:v>60454750</c:v>
                </c:pt>
                <c:pt idx="241">
                  <c:v>67573072</c:v>
                </c:pt>
                <c:pt idx="242">
                  <c:v>66446158</c:v>
                </c:pt>
                <c:pt idx="243">
                  <c:v>65404640</c:v>
                </c:pt>
                <c:pt idx="244">
                  <c:v>68179506</c:v>
                </c:pt>
                <c:pt idx="245">
                  <c:v>72630318</c:v>
                </c:pt>
                <c:pt idx="246">
                  <c:v>69024749</c:v>
                </c:pt>
                <c:pt idx="247">
                  <c:v>70107146</c:v>
                </c:pt>
                <c:pt idx="248">
                  <c:v>68881346</c:v>
                </c:pt>
                <c:pt idx="249">
                  <c:v>71698905</c:v>
                </c:pt>
                <c:pt idx="250">
                  <c:v>74549899</c:v>
                </c:pt>
                <c:pt idx="251">
                  <c:v>75411934</c:v>
                </c:pt>
                <c:pt idx="252">
                  <c:v>79684901</c:v>
                </c:pt>
                <c:pt idx="253">
                  <c:v>85994827</c:v>
                </c:pt>
                <c:pt idx="254">
                  <c:v>101142114</c:v>
                </c:pt>
                <c:pt idx="255">
                  <c:v>102124287</c:v>
                </c:pt>
                <c:pt idx="256">
                  <c:v>104559325</c:v>
                </c:pt>
                <c:pt idx="257">
                  <c:v>109596066</c:v>
                </c:pt>
                <c:pt idx="258">
                  <c:v>106490164</c:v>
                </c:pt>
                <c:pt idx="259">
                  <c:v>106473264</c:v>
                </c:pt>
                <c:pt idx="260">
                  <c:v>113028841</c:v>
                </c:pt>
                <c:pt idx="261">
                  <c:v>123097085</c:v>
                </c:pt>
                <c:pt idx="262">
                  <c:v>133184099</c:v>
                </c:pt>
                <c:pt idx="263">
                  <c:v>130767036</c:v>
                </c:pt>
                <c:pt idx="264">
                  <c:v>134757182</c:v>
                </c:pt>
                <c:pt idx="265">
                  <c:v>142534136</c:v>
                </c:pt>
                <c:pt idx="266">
                  <c:v>152877574</c:v>
                </c:pt>
                <c:pt idx="267">
                  <c:v>140011691</c:v>
                </c:pt>
                <c:pt idx="268">
                  <c:v>149241031</c:v>
                </c:pt>
                <c:pt idx="269">
                  <c:v>152781395</c:v>
                </c:pt>
                <c:pt idx="270">
                  <c:v>163311364</c:v>
                </c:pt>
                <c:pt idx="271">
                  <c:v>163161811</c:v>
                </c:pt>
                <c:pt idx="272">
                  <c:v>156692266</c:v>
                </c:pt>
                <c:pt idx="273">
                  <c:v>157696272</c:v>
                </c:pt>
                <c:pt idx="274">
                  <c:v>162812040</c:v>
                </c:pt>
                <c:pt idx="275">
                  <c:v>178900895</c:v>
                </c:pt>
                <c:pt idx="276">
                  <c:v>180360136</c:v>
                </c:pt>
                <c:pt idx="277">
                  <c:v>186855019</c:v>
                </c:pt>
                <c:pt idx="278">
                  <c:v>180996674</c:v>
                </c:pt>
                <c:pt idx="279">
                  <c:v>174224263</c:v>
                </c:pt>
                <c:pt idx="280">
                  <c:v>176495675</c:v>
                </c:pt>
                <c:pt idx="281">
                  <c:v>176948323</c:v>
                </c:pt>
                <c:pt idx="282">
                  <c:v>172153067</c:v>
                </c:pt>
                <c:pt idx="283">
                  <c:v>163087860</c:v>
                </c:pt>
                <c:pt idx="284">
                  <c:v>165517449</c:v>
                </c:pt>
                <c:pt idx="285">
                  <c:v>177209232</c:v>
                </c:pt>
                <c:pt idx="286">
                  <c:v>176716559</c:v>
                </c:pt>
                <c:pt idx="287">
                  <c:v>171567791</c:v>
                </c:pt>
                <c:pt idx="288">
                  <c:v>172654087</c:v>
                </c:pt>
                <c:pt idx="289">
                  <c:v>165801316</c:v>
                </c:pt>
                <c:pt idx="290">
                  <c:v>172424873</c:v>
                </c:pt>
                <c:pt idx="291">
                  <c:v>174593522</c:v>
                </c:pt>
                <c:pt idx="292">
                  <c:v>178318713</c:v>
                </c:pt>
                <c:pt idx="293">
                  <c:v>172713587</c:v>
                </c:pt>
                <c:pt idx="294">
                  <c:v>159396651</c:v>
                </c:pt>
                <c:pt idx="295">
                  <c:v>141856366</c:v>
                </c:pt>
                <c:pt idx="296">
                  <c:v>149066738</c:v>
                </c:pt>
                <c:pt idx="297">
                  <c:v>145703377</c:v>
                </c:pt>
                <c:pt idx="298">
                  <c:v>146378643</c:v>
                </c:pt>
                <c:pt idx="299">
                  <c:v>143366445</c:v>
                </c:pt>
                <c:pt idx="300">
                  <c:v>134721771</c:v>
                </c:pt>
                <c:pt idx="301">
                  <c:v>155577525</c:v>
                </c:pt>
                <c:pt idx="302">
                  <c:v>153590379</c:v>
                </c:pt>
                <c:pt idx="303">
                  <c:v>160486751</c:v>
                </c:pt>
                <c:pt idx="304">
                  <c:v>161289757</c:v>
                </c:pt>
                <c:pt idx="305">
                  <c:v>165106770</c:v>
                </c:pt>
                <c:pt idx="306">
                  <c:v>172141386</c:v>
                </c:pt>
                <c:pt idx="307">
                  <c:v>165564313</c:v>
                </c:pt>
                <c:pt idx="308">
                  <c:v>170668400</c:v>
                </c:pt>
                <c:pt idx="309">
                  <c:v>170954358</c:v>
                </c:pt>
                <c:pt idx="310">
                  <c:v>170572303</c:v>
                </c:pt>
                <c:pt idx="311">
                  <c:v>168541466</c:v>
                </c:pt>
                <c:pt idx="312">
                  <c:v>164785463</c:v>
                </c:pt>
                <c:pt idx="313">
                  <c:v>147222751</c:v>
                </c:pt>
                <c:pt idx="314">
                  <c:v>154199817</c:v>
                </c:pt>
                <c:pt idx="315">
                  <c:v>145404054</c:v>
                </c:pt>
                <c:pt idx="316">
                  <c:v>143859403</c:v>
                </c:pt>
                <c:pt idx="317">
                  <c:v>154973225</c:v>
                </c:pt>
                <c:pt idx="318">
                  <c:v>146701753</c:v>
                </c:pt>
                <c:pt idx="319">
                  <c:v>149123768</c:v>
                </c:pt>
                <c:pt idx="320">
                  <c:v>148708599</c:v>
                </c:pt>
                <c:pt idx="321">
                  <c:v>154271507</c:v>
                </c:pt>
                <c:pt idx="322">
                  <c:v>159855247</c:v>
                </c:pt>
                <c:pt idx="323">
                  <c:v>160513659</c:v>
                </c:pt>
                <c:pt idx="324">
                  <c:v>155782164</c:v>
                </c:pt>
                <c:pt idx="325">
                  <c:v>140079561</c:v>
                </c:pt>
                <c:pt idx="326">
                  <c:v>142552371</c:v>
                </c:pt>
                <c:pt idx="327">
                  <c:v>156839697</c:v>
                </c:pt>
                <c:pt idx="328">
                  <c:v>156738044</c:v>
                </c:pt>
                <c:pt idx="329">
                  <c:v>148676936</c:v>
                </c:pt>
                <c:pt idx="330">
                  <c:v>152731150</c:v>
                </c:pt>
                <c:pt idx="331">
                  <c:v>151404933</c:v>
                </c:pt>
                <c:pt idx="332">
                  <c:v>181331022</c:v>
                </c:pt>
                <c:pt idx="333">
                  <c:v>189629827</c:v>
                </c:pt>
                <c:pt idx="334">
                  <c:v>192261833</c:v>
                </c:pt>
                <c:pt idx="335">
                  <c:v>206330008</c:v>
                </c:pt>
                <c:pt idx="336">
                  <c:v>201199595</c:v>
                </c:pt>
                <c:pt idx="337">
                  <c:v>201148116</c:v>
                </c:pt>
                <c:pt idx="338">
                  <c:v>199678657</c:v>
                </c:pt>
                <c:pt idx="339">
                  <c:v>200200600</c:v>
                </c:pt>
                <c:pt idx="340">
                  <c:v>206439565</c:v>
                </c:pt>
                <c:pt idx="341">
                  <c:v>207255771</c:v>
                </c:pt>
                <c:pt idx="342">
                  <c:v>187821325</c:v>
                </c:pt>
                <c:pt idx="343">
                  <c:v>174692638</c:v>
                </c:pt>
                <c:pt idx="344">
                  <c:v>183518500</c:v>
                </c:pt>
                <c:pt idx="345">
                  <c:v>178199538</c:v>
                </c:pt>
                <c:pt idx="346">
                  <c:v>180564600</c:v>
                </c:pt>
                <c:pt idx="347">
                  <c:v>184306210</c:v>
                </c:pt>
                <c:pt idx="348">
                  <c:v>191639918</c:v>
                </c:pt>
                <c:pt idx="349">
                  <c:v>205774418</c:v>
                </c:pt>
                <c:pt idx="350">
                  <c:v>213345335</c:v>
                </c:pt>
                <c:pt idx="351">
                  <c:v>207517242</c:v>
                </c:pt>
                <c:pt idx="352">
                  <c:v>202893479</c:v>
                </c:pt>
                <c:pt idx="353">
                  <c:v>195704666</c:v>
                </c:pt>
                <c:pt idx="354">
                  <c:v>201035235</c:v>
                </c:pt>
                <c:pt idx="355">
                  <c:v>200162073</c:v>
                </c:pt>
                <c:pt idx="356">
                  <c:v>198639099</c:v>
                </c:pt>
                <c:pt idx="357">
                  <c:v>209302726</c:v>
                </c:pt>
                <c:pt idx="358">
                  <c:v>205908268</c:v>
                </c:pt>
                <c:pt idx="359">
                  <c:v>203415278</c:v>
                </c:pt>
                <c:pt idx="360">
                  <c:v>206634790</c:v>
                </c:pt>
                <c:pt idx="361">
                  <c:v>206570838</c:v>
                </c:pt>
                <c:pt idx="362">
                  <c:v>206034861</c:v>
                </c:pt>
                <c:pt idx="363">
                  <c:v>196046601</c:v>
                </c:pt>
                <c:pt idx="364">
                  <c:v>192232034</c:v>
                </c:pt>
                <c:pt idx="365">
                  <c:v>187488159</c:v>
                </c:pt>
                <c:pt idx="366">
                  <c:v>183822817</c:v>
                </c:pt>
                <c:pt idx="367">
                  <c:v>186439572</c:v>
                </c:pt>
                <c:pt idx="368">
                  <c:v>182816751</c:v>
                </c:pt>
                <c:pt idx="369">
                  <c:v>184078439</c:v>
                </c:pt>
                <c:pt idx="370">
                  <c:v>182019699</c:v>
                </c:pt>
                <c:pt idx="371">
                  <c:v>169799074</c:v>
                </c:pt>
                <c:pt idx="372">
                  <c:v>169052859</c:v>
                </c:pt>
                <c:pt idx="373">
                  <c:v>175480266</c:v>
                </c:pt>
                <c:pt idx="374">
                  <c:v>163822820</c:v>
                </c:pt>
                <c:pt idx="375">
                  <c:v>164880229</c:v>
                </c:pt>
                <c:pt idx="376">
                  <c:v>166267346</c:v>
                </c:pt>
                <c:pt idx="377">
                  <c:v>156896201</c:v>
                </c:pt>
                <c:pt idx="378">
                  <c:v>155522792</c:v>
                </c:pt>
                <c:pt idx="379">
                  <c:v>158364913</c:v>
                </c:pt>
                <c:pt idx="380">
                  <c:v>162157007</c:v>
                </c:pt>
                <c:pt idx="381">
                  <c:v>181852154</c:v>
                </c:pt>
                <c:pt idx="382">
                  <c:v>166901716</c:v>
                </c:pt>
                <c:pt idx="383">
                  <c:v>169444920</c:v>
                </c:pt>
                <c:pt idx="384">
                  <c:v>157624090</c:v>
                </c:pt>
                <c:pt idx="385">
                  <c:v>164107148</c:v>
                </c:pt>
                <c:pt idx="386">
                  <c:v>157258194</c:v>
                </c:pt>
                <c:pt idx="387">
                  <c:v>162000470</c:v>
                </c:pt>
                <c:pt idx="388">
                  <c:v>168357612</c:v>
                </c:pt>
                <c:pt idx="389">
                  <c:v>167438517</c:v>
                </c:pt>
                <c:pt idx="390">
                  <c:v>165799021</c:v>
                </c:pt>
                <c:pt idx="391">
                  <c:v>174458547</c:v>
                </c:pt>
                <c:pt idx="392">
                  <c:v>179977135</c:v>
                </c:pt>
                <c:pt idx="393">
                  <c:v>175821755</c:v>
                </c:pt>
                <c:pt idx="394">
                  <c:v>172760720</c:v>
                </c:pt>
                <c:pt idx="395">
                  <c:v>171377063</c:v>
                </c:pt>
                <c:pt idx="396">
                  <c:v>181561342</c:v>
                </c:pt>
                <c:pt idx="397">
                  <c:v>180999875</c:v>
                </c:pt>
                <c:pt idx="398">
                  <c:v>175215901</c:v>
                </c:pt>
                <c:pt idx="399">
                  <c:v>172350784</c:v>
                </c:pt>
                <c:pt idx="400">
                  <c:v>140767634</c:v>
                </c:pt>
                <c:pt idx="401">
                  <c:v>137659327</c:v>
                </c:pt>
                <c:pt idx="402">
                  <c:v>139095514</c:v>
                </c:pt>
                <c:pt idx="403">
                  <c:v>138545111</c:v>
                </c:pt>
                <c:pt idx="404">
                  <c:v>145792039</c:v>
                </c:pt>
                <c:pt idx="405">
                  <c:v>153777841</c:v>
                </c:pt>
                <c:pt idx="406">
                  <c:v>153120229</c:v>
                </c:pt>
                <c:pt idx="407">
                  <c:v>156799495</c:v>
                </c:pt>
                <c:pt idx="408">
                  <c:v>180436801</c:v>
                </c:pt>
                <c:pt idx="409">
                  <c:v>179784064</c:v>
                </c:pt>
                <c:pt idx="410">
                  <c:v>191092152</c:v>
                </c:pt>
                <c:pt idx="411">
                  <c:v>189954707</c:v>
                </c:pt>
                <c:pt idx="412">
                  <c:v>174033502</c:v>
                </c:pt>
                <c:pt idx="413">
                  <c:v>184954799</c:v>
                </c:pt>
                <c:pt idx="414">
                  <c:v>186510085</c:v>
                </c:pt>
                <c:pt idx="415">
                  <c:v>199701062</c:v>
                </c:pt>
                <c:pt idx="416">
                  <c:v>218694935</c:v>
                </c:pt>
                <c:pt idx="417">
                  <c:v>213461887</c:v>
                </c:pt>
                <c:pt idx="418">
                  <c:v>216910076</c:v>
                </c:pt>
                <c:pt idx="419">
                  <c:v>203238993</c:v>
                </c:pt>
                <c:pt idx="420">
                  <c:v>200575746</c:v>
                </c:pt>
                <c:pt idx="421">
                  <c:v>197262344</c:v>
                </c:pt>
                <c:pt idx="422">
                  <c:v>209956881</c:v>
                </c:pt>
                <c:pt idx="423">
                  <c:v>203631627</c:v>
                </c:pt>
                <c:pt idx="424">
                  <c:v>212282016</c:v>
                </c:pt>
                <c:pt idx="425">
                  <c:v>213122295</c:v>
                </c:pt>
                <c:pt idx="426">
                  <c:v>211638754</c:v>
                </c:pt>
                <c:pt idx="427">
                  <c:v>207273565</c:v>
                </c:pt>
                <c:pt idx="428">
                  <c:v>203530631</c:v>
                </c:pt>
                <c:pt idx="429">
                  <c:v>206282455</c:v>
                </c:pt>
                <c:pt idx="430">
                  <c:v>212602889</c:v>
                </c:pt>
                <c:pt idx="431">
                  <c:v>209763923</c:v>
                </c:pt>
                <c:pt idx="432">
                  <c:v>212187208</c:v>
                </c:pt>
                <c:pt idx="433">
                  <c:v>216282398</c:v>
                </c:pt>
                <c:pt idx="434">
                  <c:v>214762448</c:v>
                </c:pt>
                <c:pt idx="435">
                  <c:v>212372350</c:v>
                </c:pt>
                <c:pt idx="436">
                  <c:v>184265208</c:v>
                </c:pt>
                <c:pt idx="437">
                  <c:v>191876426</c:v>
                </c:pt>
                <c:pt idx="438">
                  <c:v>195189196</c:v>
                </c:pt>
                <c:pt idx="439">
                  <c:v>191851204</c:v>
                </c:pt>
                <c:pt idx="440">
                  <c:v>208291926</c:v>
                </c:pt>
                <c:pt idx="441">
                  <c:v>207874351</c:v>
                </c:pt>
                <c:pt idx="442">
                  <c:v>205890386</c:v>
                </c:pt>
                <c:pt idx="443">
                  <c:v>201519789</c:v>
                </c:pt>
                <c:pt idx="444">
                  <c:v>202168750</c:v>
                </c:pt>
                <c:pt idx="445">
                  <c:v>204611818</c:v>
                </c:pt>
                <c:pt idx="446">
                  <c:v>204346163</c:v>
                </c:pt>
                <c:pt idx="447">
                  <c:v>203891741</c:v>
                </c:pt>
                <c:pt idx="448">
                  <c:v>211100622</c:v>
                </c:pt>
                <c:pt idx="449">
                  <c:v>211267216</c:v>
                </c:pt>
                <c:pt idx="450">
                  <c:v>210292457</c:v>
                </c:pt>
                <c:pt idx="451">
                  <c:v>213234173</c:v>
                </c:pt>
                <c:pt idx="452">
                  <c:v>213152604</c:v>
                </c:pt>
                <c:pt idx="453">
                  <c:v>214921457</c:v>
                </c:pt>
                <c:pt idx="454">
                  <c:v>208403127</c:v>
                </c:pt>
                <c:pt idx="455">
                  <c:v>209425778</c:v>
                </c:pt>
                <c:pt idx="456">
                  <c:v>211454504</c:v>
                </c:pt>
                <c:pt idx="457">
                  <c:v>213018305</c:v>
                </c:pt>
                <c:pt idx="458">
                  <c:v>215632457</c:v>
                </c:pt>
                <c:pt idx="459">
                  <c:v>214624376</c:v>
                </c:pt>
                <c:pt idx="460">
                  <c:v>226469134</c:v>
                </c:pt>
                <c:pt idx="461">
                  <c:v>225508977</c:v>
                </c:pt>
                <c:pt idx="462">
                  <c:v>241499896</c:v>
                </c:pt>
                <c:pt idx="463">
                  <c:v>240107975</c:v>
                </c:pt>
                <c:pt idx="464">
                  <c:v>235695780</c:v>
                </c:pt>
                <c:pt idx="465">
                  <c:v>234198928</c:v>
                </c:pt>
                <c:pt idx="466">
                  <c:v>237236122</c:v>
                </c:pt>
                <c:pt idx="467">
                  <c:v>237044886</c:v>
                </c:pt>
                <c:pt idx="468">
                  <c:v>236282349</c:v>
                </c:pt>
                <c:pt idx="469">
                  <c:v>232539221</c:v>
                </c:pt>
                <c:pt idx="470">
                  <c:v>210359946</c:v>
                </c:pt>
                <c:pt idx="471">
                  <c:v>219335938</c:v>
                </c:pt>
                <c:pt idx="472">
                  <c:v>218690064</c:v>
                </c:pt>
                <c:pt idx="473">
                  <c:v>219999148</c:v>
                </c:pt>
                <c:pt idx="474">
                  <c:v>223037217</c:v>
                </c:pt>
                <c:pt idx="475">
                  <c:v>198172495</c:v>
                </c:pt>
                <c:pt idx="476">
                  <c:v>185453398</c:v>
                </c:pt>
                <c:pt idx="477">
                  <c:v>197676233</c:v>
                </c:pt>
                <c:pt idx="478">
                  <c:v>185166554</c:v>
                </c:pt>
                <c:pt idx="479">
                  <c:v>182100734</c:v>
                </c:pt>
                <c:pt idx="480">
                  <c:v>169257429</c:v>
                </c:pt>
                <c:pt idx="481">
                  <c:v>178380719</c:v>
                </c:pt>
                <c:pt idx="482">
                  <c:v>170077236</c:v>
                </c:pt>
                <c:pt idx="483">
                  <c:v>178537855</c:v>
                </c:pt>
                <c:pt idx="484">
                  <c:v>198875833</c:v>
                </c:pt>
                <c:pt idx="485">
                  <c:v>190985248</c:v>
                </c:pt>
                <c:pt idx="486">
                  <c:v>184190547</c:v>
                </c:pt>
                <c:pt idx="487">
                  <c:v>193119954</c:v>
                </c:pt>
                <c:pt idx="488">
                  <c:v>190342215</c:v>
                </c:pt>
                <c:pt idx="489">
                  <c:v>179141953</c:v>
                </c:pt>
                <c:pt idx="490">
                  <c:v>182688960</c:v>
                </c:pt>
                <c:pt idx="491">
                  <c:v>170044611</c:v>
                </c:pt>
                <c:pt idx="492">
                  <c:v>148683839</c:v>
                </c:pt>
                <c:pt idx="493">
                  <c:v>161366567</c:v>
                </c:pt>
                <c:pt idx="494">
                  <c:v>159162845</c:v>
                </c:pt>
                <c:pt idx="495">
                  <c:v>166323439</c:v>
                </c:pt>
                <c:pt idx="496">
                  <c:v>160512607</c:v>
                </c:pt>
                <c:pt idx="497">
                  <c:v>156623514</c:v>
                </c:pt>
                <c:pt idx="498">
                  <c:v>160907480</c:v>
                </c:pt>
                <c:pt idx="499">
                  <c:v>153718256</c:v>
                </c:pt>
                <c:pt idx="500">
                  <c:v>149519415</c:v>
                </c:pt>
                <c:pt idx="501">
                  <c:v>150120873</c:v>
                </c:pt>
                <c:pt idx="502">
                  <c:v>152557699</c:v>
                </c:pt>
                <c:pt idx="503">
                  <c:v>169884831</c:v>
                </c:pt>
                <c:pt idx="504">
                  <c:v>182558046</c:v>
                </c:pt>
                <c:pt idx="505">
                  <c:v>182496103</c:v>
                </c:pt>
                <c:pt idx="506">
                  <c:v>211284685</c:v>
                </c:pt>
                <c:pt idx="507">
                  <c:v>201695800</c:v>
                </c:pt>
                <c:pt idx="508">
                  <c:v>223954778</c:v>
                </c:pt>
                <c:pt idx="509">
                  <c:v>251840080</c:v>
                </c:pt>
                <c:pt idx="510">
                  <c:v>270275693</c:v>
                </c:pt>
                <c:pt idx="511">
                  <c:v>253329698</c:v>
                </c:pt>
                <c:pt idx="512">
                  <c:v>257817143</c:v>
                </c:pt>
                <c:pt idx="513">
                  <c:v>229026290</c:v>
                </c:pt>
                <c:pt idx="514">
                  <c:v>273570499</c:v>
                </c:pt>
                <c:pt idx="515">
                  <c:v>272418052</c:v>
                </c:pt>
                <c:pt idx="516">
                  <c:v>279928985</c:v>
                </c:pt>
                <c:pt idx="517">
                  <c:v>265296891</c:v>
                </c:pt>
                <c:pt idx="518">
                  <c:v>283231579</c:v>
                </c:pt>
                <c:pt idx="519">
                  <c:v>309649617</c:v>
                </c:pt>
                <c:pt idx="520">
                  <c:v>296427543</c:v>
                </c:pt>
                <c:pt idx="521">
                  <c:v>307378238</c:v>
                </c:pt>
                <c:pt idx="522">
                  <c:v>304402693</c:v>
                </c:pt>
                <c:pt idx="523">
                  <c:v>307845523</c:v>
                </c:pt>
                <c:pt idx="524">
                  <c:v>294356702</c:v>
                </c:pt>
                <c:pt idx="525">
                  <c:v>291001888</c:v>
                </c:pt>
                <c:pt idx="526">
                  <c:v>291334870</c:v>
                </c:pt>
                <c:pt idx="527">
                  <c:v>248557270</c:v>
                </c:pt>
                <c:pt idx="528">
                  <c:v>246996830</c:v>
                </c:pt>
                <c:pt idx="529">
                  <c:v>244877149</c:v>
                </c:pt>
                <c:pt idx="530">
                  <c:v>229298105</c:v>
                </c:pt>
                <c:pt idx="531">
                  <c:v>258976810</c:v>
                </c:pt>
                <c:pt idx="532">
                  <c:v>242651671</c:v>
                </c:pt>
                <c:pt idx="533">
                  <c:v>247741141</c:v>
                </c:pt>
                <c:pt idx="534">
                  <c:v>248298407</c:v>
                </c:pt>
                <c:pt idx="535">
                  <c:v>242940905</c:v>
                </c:pt>
                <c:pt idx="536">
                  <c:v>251714676</c:v>
                </c:pt>
                <c:pt idx="537">
                  <c:v>243216643</c:v>
                </c:pt>
                <c:pt idx="538">
                  <c:v>240846619</c:v>
                </c:pt>
                <c:pt idx="539">
                  <c:v>244673474</c:v>
                </c:pt>
                <c:pt idx="540">
                  <c:v>242345434</c:v>
                </c:pt>
                <c:pt idx="541">
                  <c:v>245619056</c:v>
                </c:pt>
                <c:pt idx="542">
                  <c:v>242377041</c:v>
                </c:pt>
                <c:pt idx="543">
                  <c:v>244078962</c:v>
                </c:pt>
                <c:pt idx="544">
                  <c:v>235556019</c:v>
                </c:pt>
                <c:pt idx="545">
                  <c:v>224192064</c:v>
                </c:pt>
                <c:pt idx="546">
                  <c:v>222584803</c:v>
                </c:pt>
                <c:pt idx="547">
                  <c:v>232099520.17901599</c:v>
                </c:pt>
                <c:pt idx="548">
                  <c:v>228155999.46850601</c:v>
                </c:pt>
                <c:pt idx="549">
                  <c:v>228868620.13032001</c:v>
                </c:pt>
                <c:pt idx="550">
                  <c:v>238174263.86575499</c:v>
                </c:pt>
                <c:pt idx="551">
                  <c:v>229972557.881825</c:v>
                </c:pt>
                <c:pt idx="552">
                  <c:v>230572708.65313599</c:v>
                </c:pt>
                <c:pt idx="553">
                  <c:v>230684959.15670899</c:v>
                </c:pt>
                <c:pt idx="554">
                  <c:v>227792057.89072901</c:v>
                </c:pt>
                <c:pt idx="555">
                  <c:v>228424975.019153</c:v>
                </c:pt>
                <c:pt idx="556">
                  <c:v>259027396.40575403</c:v>
                </c:pt>
                <c:pt idx="557">
                  <c:v>261709608.610075</c:v>
                </c:pt>
                <c:pt idx="558">
                  <c:v>274080484.72598201</c:v>
                </c:pt>
                <c:pt idx="559">
                  <c:v>262733139.31865799</c:v>
                </c:pt>
                <c:pt idx="560">
                  <c:v>267541327.651124</c:v>
                </c:pt>
                <c:pt idx="561">
                  <c:v>267906409.540093</c:v>
                </c:pt>
                <c:pt idx="562">
                  <c:v>265049002.18393701</c:v>
                </c:pt>
                <c:pt idx="563">
                  <c:v>267936783.43250799</c:v>
                </c:pt>
                <c:pt idx="564">
                  <c:v>271492335.41469997</c:v>
                </c:pt>
                <c:pt idx="565">
                  <c:v>296170412.75614101</c:v>
                </c:pt>
                <c:pt idx="566">
                  <c:v>321673145.72656798</c:v>
                </c:pt>
                <c:pt idx="567">
                  <c:v>318050302.48540699</c:v>
                </c:pt>
                <c:pt idx="568">
                  <c:v>327952245.21420097</c:v>
                </c:pt>
                <c:pt idx="569">
                  <c:v>322999020.29754502</c:v>
                </c:pt>
                <c:pt idx="570">
                  <c:v>331308207.69622397</c:v>
                </c:pt>
                <c:pt idx="571">
                  <c:v>354071955.75049698</c:v>
                </c:pt>
                <c:pt idx="572">
                  <c:v>297873393.52487099</c:v>
                </c:pt>
                <c:pt idx="573">
                  <c:v>311807122.795959</c:v>
                </c:pt>
                <c:pt idx="574">
                  <c:v>309015442.55857801</c:v>
                </c:pt>
                <c:pt idx="575">
                  <c:v>306929974.69739997</c:v>
                </c:pt>
                <c:pt idx="576">
                  <c:v>308391703.47870898</c:v>
                </c:pt>
                <c:pt idx="577">
                  <c:v>310839723.28683603</c:v>
                </c:pt>
                <c:pt idx="578">
                  <c:v>306705967.80179697</c:v>
                </c:pt>
                <c:pt idx="579">
                  <c:v>300238994.02214903</c:v>
                </c:pt>
                <c:pt idx="580">
                  <c:v>293201099.311176</c:v>
                </c:pt>
                <c:pt idx="581">
                  <c:v>319605190.60646403</c:v>
                </c:pt>
                <c:pt idx="582">
                  <c:v>322666998.76641703</c:v>
                </c:pt>
                <c:pt idx="583">
                  <c:v>321387238.631769</c:v>
                </c:pt>
                <c:pt idx="584">
                  <c:v>315545360.00746</c:v>
                </c:pt>
                <c:pt idx="585">
                  <c:v>324808440.26481199</c:v>
                </c:pt>
                <c:pt idx="586">
                  <c:v>319878598.58101797</c:v>
                </c:pt>
                <c:pt idx="587">
                  <c:v>313594819.07243401</c:v>
                </c:pt>
                <c:pt idx="588">
                  <c:v>316182923.356502</c:v>
                </c:pt>
                <c:pt idx="589">
                  <c:v>312827018.00158501</c:v>
                </c:pt>
                <c:pt idx="590">
                  <c:v>313473220.63136601</c:v>
                </c:pt>
                <c:pt idx="591">
                  <c:v>325730175.468288</c:v>
                </c:pt>
                <c:pt idx="592">
                  <c:v>335005719.24195498</c:v>
                </c:pt>
                <c:pt idx="593">
                  <c:v>335616902.56717002</c:v>
                </c:pt>
                <c:pt idx="594">
                  <c:v>332980033.33400798</c:v>
                </c:pt>
                <c:pt idx="595">
                  <c:v>335218080.90607297</c:v>
                </c:pt>
                <c:pt idx="596">
                  <c:v>336418046.11858797</c:v>
                </c:pt>
                <c:pt idx="597">
                  <c:v>324153454.90873802</c:v>
                </c:pt>
                <c:pt idx="598">
                  <c:v>324185197.148821</c:v>
                </c:pt>
                <c:pt idx="599">
                  <c:v>326794433.78166699</c:v>
                </c:pt>
                <c:pt idx="600">
                  <c:v>322395844.97279698</c:v>
                </c:pt>
                <c:pt idx="601">
                  <c:v>317297521.91824102</c:v>
                </c:pt>
                <c:pt idx="602">
                  <c:v>318352180.20884198</c:v>
                </c:pt>
                <c:pt idx="603">
                  <c:v>331856451.05963898</c:v>
                </c:pt>
                <c:pt idx="604">
                  <c:v>327578356.11576301</c:v>
                </c:pt>
                <c:pt idx="605">
                  <c:v>340524982.34590298</c:v>
                </c:pt>
                <c:pt idx="606">
                  <c:v>338372610.87894201</c:v>
                </c:pt>
                <c:pt idx="607">
                  <c:v>336583337.74644202</c:v>
                </c:pt>
                <c:pt idx="608">
                  <c:v>336976432.54911298</c:v>
                </c:pt>
                <c:pt idx="609">
                  <c:v>389581878.410739</c:v>
                </c:pt>
                <c:pt idx="610">
                  <c:v>379312266.83793598</c:v>
                </c:pt>
                <c:pt idx="611">
                  <c:v>373874211.473517</c:v>
                </c:pt>
                <c:pt idx="612">
                  <c:v>395875260.70605701</c:v>
                </c:pt>
                <c:pt idx="613">
                  <c:v>395087741.58799398</c:v>
                </c:pt>
                <c:pt idx="614">
                  <c:v>419709713.74877298</c:v>
                </c:pt>
                <c:pt idx="615">
                  <c:v>431279738.71298897</c:v>
                </c:pt>
                <c:pt idx="616">
                  <c:v>419794410.36426401</c:v>
                </c:pt>
                <c:pt idx="617">
                  <c:v>425187382.13941401</c:v>
                </c:pt>
                <c:pt idx="618">
                  <c:v>394426781.24575299</c:v>
                </c:pt>
                <c:pt idx="619">
                  <c:v>392040307.39718199</c:v>
                </c:pt>
                <c:pt idx="620">
                  <c:v>390728481.20216101</c:v>
                </c:pt>
                <c:pt idx="621">
                  <c:v>400479473.45255297</c:v>
                </c:pt>
                <c:pt idx="622">
                  <c:v>378714759.284271</c:v>
                </c:pt>
                <c:pt idx="623">
                  <c:v>393326681.07888401</c:v>
                </c:pt>
                <c:pt idx="624">
                  <c:v>394142149.89417398</c:v>
                </c:pt>
                <c:pt idx="625">
                  <c:v>407783724.14892</c:v>
                </c:pt>
                <c:pt idx="626">
                  <c:v>406051703.77801102</c:v>
                </c:pt>
                <c:pt idx="627">
                  <c:v>398544402.90550202</c:v>
                </c:pt>
                <c:pt idx="628">
                  <c:v>389970009.29414397</c:v>
                </c:pt>
                <c:pt idx="629">
                  <c:v>392767196.29628098</c:v>
                </c:pt>
                <c:pt idx="630">
                  <c:v>389533747.83966303</c:v>
                </c:pt>
                <c:pt idx="631">
                  <c:v>378669470.93637699</c:v>
                </c:pt>
                <c:pt idx="632">
                  <c:v>350748492.86125499</c:v>
                </c:pt>
                <c:pt idx="633">
                  <c:v>357810648.43700898</c:v>
                </c:pt>
                <c:pt idx="634">
                  <c:v>359287054.65502399</c:v>
                </c:pt>
                <c:pt idx="635">
                  <c:v>356776560.76922399</c:v>
                </c:pt>
                <c:pt idx="636">
                  <c:v>350822506.91326898</c:v>
                </c:pt>
                <c:pt idx="637">
                  <c:v>369221984.452766</c:v>
                </c:pt>
                <c:pt idx="638">
                  <c:v>362058765.39238298</c:v>
                </c:pt>
                <c:pt idx="639">
                  <c:v>365285219.86888701</c:v>
                </c:pt>
                <c:pt idx="640">
                  <c:v>376775270.94409603</c:v>
                </c:pt>
                <c:pt idx="641">
                  <c:v>368333685.15285403</c:v>
                </c:pt>
                <c:pt idx="642">
                  <c:v>364288600.01939702</c:v>
                </c:pt>
                <c:pt idx="643">
                  <c:v>383420091.55009699</c:v>
                </c:pt>
                <c:pt idx="644">
                  <c:v>374214624.13555801</c:v>
                </c:pt>
                <c:pt idx="645">
                  <c:v>377414273.30783099</c:v>
                </c:pt>
                <c:pt idx="646">
                  <c:v>374306412.89125502</c:v>
                </c:pt>
                <c:pt idx="647">
                  <c:v>375885526.56603903</c:v>
                </c:pt>
                <c:pt idx="648">
                  <c:v>413854741.79382497</c:v>
                </c:pt>
                <c:pt idx="649">
                  <c:v>411261752.23411101</c:v>
                </c:pt>
                <c:pt idx="650">
                  <c:v>426429623.814852</c:v>
                </c:pt>
                <c:pt idx="651">
                  <c:v>470331470.595734</c:v>
                </c:pt>
                <c:pt idx="652">
                  <c:v>526715287.00495601</c:v>
                </c:pt>
                <c:pt idx="653">
                  <c:v>527556731.82480097</c:v>
                </c:pt>
                <c:pt idx="654">
                  <c:v>486605669.83873498</c:v>
                </c:pt>
                <c:pt idx="655">
                  <c:v>467360480.92413402</c:v>
                </c:pt>
                <c:pt idx="656">
                  <c:v>519769858.54227495</c:v>
                </c:pt>
                <c:pt idx="657">
                  <c:v>500809239.64572501</c:v>
                </c:pt>
                <c:pt idx="658">
                  <c:v>500703380.02562898</c:v>
                </c:pt>
                <c:pt idx="659">
                  <c:v>477207258.31787801</c:v>
                </c:pt>
                <c:pt idx="660">
                  <c:v>480706493.66893798</c:v>
                </c:pt>
                <c:pt idx="661">
                  <c:v>490895257.611884</c:v>
                </c:pt>
                <c:pt idx="662">
                  <c:v>492109861.22539198</c:v>
                </c:pt>
                <c:pt idx="663">
                  <c:v>523168759.04260004</c:v>
                </c:pt>
                <c:pt idx="664">
                  <c:v>519955572.05030799</c:v>
                </c:pt>
                <c:pt idx="665">
                  <c:v>500474781.09088802</c:v>
                </c:pt>
                <c:pt idx="666">
                  <c:v>494814856.46832699</c:v>
                </c:pt>
                <c:pt idx="667">
                  <c:v>468007066.112939</c:v>
                </c:pt>
                <c:pt idx="668">
                  <c:v>494015321.98270601</c:v>
                </c:pt>
                <c:pt idx="669">
                  <c:v>486953339.96426398</c:v>
                </c:pt>
                <c:pt idx="670">
                  <c:v>495504697.91611099</c:v>
                </c:pt>
                <c:pt idx="671">
                  <c:v>460720826.00556701</c:v>
                </c:pt>
                <c:pt idx="672">
                  <c:v>445962375.07069403</c:v>
                </c:pt>
                <c:pt idx="673">
                  <c:v>455519799.32273799</c:v>
                </c:pt>
                <c:pt idx="674">
                  <c:v>459805363.31976402</c:v>
                </c:pt>
                <c:pt idx="675">
                  <c:v>462952678.08188099</c:v>
                </c:pt>
                <c:pt idx="676">
                  <c:v>452891645.09455103</c:v>
                </c:pt>
                <c:pt idx="677">
                  <c:v>431412208.06128299</c:v>
                </c:pt>
                <c:pt idx="678">
                  <c:v>458702735.50402999</c:v>
                </c:pt>
                <c:pt idx="679">
                  <c:v>454581836.21913898</c:v>
                </c:pt>
                <c:pt idx="680">
                  <c:v>487157764.20087999</c:v>
                </c:pt>
                <c:pt idx="681">
                  <c:v>472295364.98960102</c:v>
                </c:pt>
                <c:pt idx="682">
                  <c:v>487295648.14613801</c:v>
                </c:pt>
                <c:pt idx="683">
                  <c:v>495203420.31194103</c:v>
                </c:pt>
                <c:pt idx="684">
                  <c:v>496084560.84660399</c:v>
                </c:pt>
                <c:pt idx="685">
                  <c:v>504567018.81774104</c:v>
                </c:pt>
                <c:pt idx="686">
                  <c:v>487689503.47124702</c:v>
                </c:pt>
                <c:pt idx="687">
                  <c:v>494970425.55544698</c:v>
                </c:pt>
                <c:pt idx="688">
                  <c:v>499054522.33577502</c:v>
                </c:pt>
                <c:pt idx="689">
                  <c:v>541885483.88677704</c:v>
                </c:pt>
                <c:pt idx="690">
                  <c:v>566737355.52981496</c:v>
                </c:pt>
                <c:pt idx="691">
                  <c:v>557409609.18435895</c:v>
                </c:pt>
                <c:pt idx="692">
                  <c:v>561510431.01976705</c:v>
                </c:pt>
                <c:pt idx="693">
                  <c:v>558305143.242046</c:v>
                </c:pt>
                <c:pt idx="694">
                  <c:v>575527374.15288496</c:v>
                </c:pt>
                <c:pt idx="695">
                  <c:v>509996424.33256495</c:v>
                </c:pt>
                <c:pt idx="696">
                  <c:v>533931366.78733897</c:v>
                </c:pt>
                <c:pt idx="697">
                  <c:v>544831244.40374804</c:v>
                </c:pt>
                <c:pt idx="698">
                  <c:v>497351543.16171801</c:v>
                </c:pt>
                <c:pt idx="699">
                  <c:v>508451120.025738</c:v>
                </c:pt>
                <c:pt idx="700">
                  <c:v>509238008.48993301</c:v>
                </c:pt>
                <c:pt idx="701">
                  <c:v>530528383.17110801</c:v>
                </c:pt>
                <c:pt idx="702">
                  <c:v>497201278.189924</c:v>
                </c:pt>
                <c:pt idx="703">
                  <c:v>503743036.20279896</c:v>
                </c:pt>
                <c:pt idx="704">
                  <c:v>504759183.86403501</c:v>
                </c:pt>
                <c:pt idx="705">
                  <c:v>532565672.49945402</c:v>
                </c:pt>
                <c:pt idx="706">
                  <c:v>545517041.55833805</c:v>
                </c:pt>
                <c:pt idx="707">
                  <c:v>537156769.188025</c:v>
                </c:pt>
                <c:pt idx="708">
                  <c:v>503953410.86145496</c:v>
                </c:pt>
                <c:pt idx="709">
                  <c:v>471557517.99501401</c:v>
                </c:pt>
                <c:pt idx="710">
                  <c:v>480833263.461725</c:v>
                </c:pt>
                <c:pt idx="711">
                  <c:v>469961388.70902801</c:v>
                </c:pt>
                <c:pt idx="712">
                  <c:v>396214225.04081398</c:v>
                </c:pt>
                <c:pt idx="713">
                  <c:v>399582865.249928</c:v>
                </c:pt>
                <c:pt idx="714">
                  <c:v>355288100.78322101</c:v>
                </c:pt>
                <c:pt idx="715">
                  <c:v>385125691.40660399</c:v>
                </c:pt>
                <c:pt idx="716">
                  <c:v>413093461.44299197</c:v>
                </c:pt>
                <c:pt idx="717">
                  <c:v>398741540.60057402</c:v>
                </c:pt>
                <c:pt idx="718">
                  <c:v>410841917.51570499</c:v>
                </c:pt>
                <c:pt idx="719">
                  <c:v>405027312.87672198</c:v>
                </c:pt>
                <c:pt idx="720">
                  <c:v>372738425.92741001</c:v>
                </c:pt>
                <c:pt idx="721">
                  <c:v>352506229.04163301</c:v>
                </c:pt>
                <c:pt idx="722">
                  <c:v>357828633.18433499</c:v>
                </c:pt>
                <c:pt idx="723">
                  <c:v>358472592.19103998</c:v>
                </c:pt>
                <c:pt idx="724">
                  <c:v>357498450.31457502</c:v>
                </c:pt>
                <c:pt idx="725">
                  <c:v>338075202.61729997</c:v>
                </c:pt>
                <c:pt idx="726">
                  <c:v>344682985.32945597</c:v>
                </c:pt>
                <c:pt idx="727">
                  <c:v>347147276.00751698</c:v>
                </c:pt>
                <c:pt idx="728">
                  <c:v>346340344.23524803</c:v>
                </c:pt>
                <c:pt idx="729">
                  <c:v>359181724.27095997</c:v>
                </c:pt>
                <c:pt idx="730">
                  <c:v>353895623.99765199</c:v>
                </c:pt>
                <c:pt idx="731">
                  <c:v>354025094.25650799</c:v>
                </c:pt>
                <c:pt idx="732">
                  <c:v>361075380.82128298</c:v>
                </c:pt>
                <c:pt idx="733">
                  <c:v>362110649.54975301</c:v>
                </c:pt>
                <c:pt idx="734">
                  <c:v>377873441.56713903</c:v>
                </c:pt>
                <c:pt idx="735">
                  <c:v>356868235.34332699</c:v>
                </c:pt>
                <c:pt idx="736">
                  <c:v>358559199.619847</c:v>
                </c:pt>
                <c:pt idx="737">
                  <c:v>352237790.87594998</c:v>
                </c:pt>
                <c:pt idx="738">
                  <c:v>363070627.910896</c:v>
                </c:pt>
                <c:pt idx="739">
                  <c:v>359805747.711757</c:v>
                </c:pt>
                <c:pt idx="740">
                  <c:v>375868412.47431803</c:v>
                </c:pt>
                <c:pt idx="741">
                  <c:v>366515586.022659</c:v>
                </c:pt>
                <c:pt idx="742">
                  <c:v>365973140.86097401</c:v>
                </c:pt>
                <c:pt idx="743">
                  <c:v>337163353.15401602</c:v>
                </c:pt>
                <c:pt idx="744">
                  <c:v>349638803.00305402</c:v>
                </c:pt>
                <c:pt idx="745">
                  <c:v>344282865.75385702</c:v>
                </c:pt>
                <c:pt idx="746">
                  <c:v>345680489.06670499</c:v>
                </c:pt>
                <c:pt idx="747">
                  <c:v>361943090.773444</c:v>
                </c:pt>
                <c:pt idx="748">
                  <c:v>376051503.00617301</c:v>
                </c:pt>
                <c:pt idx="749">
                  <c:v>366181223.56125599</c:v>
                </c:pt>
                <c:pt idx="750">
                  <c:v>354098403.42572701</c:v>
                </c:pt>
                <c:pt idx="751">
                  <c:v>359113650.711097</c:v>
                </c:pt>
                <c:pt idx="752">
                  <c:v>366469417.25405997</c:v>
                </c:pt>
                <c:pt idx="753">
                  <c:v>359177045.20808101</c:v>
                </c:pt>
                <c:pt idx="754">
                  <c:v>353114984.88884699</c:v>
                </c:pt>
                <c:pt idx="755">
                  <c:v>357578564.144445</c:v>
                </c:pt>
                <c:pt idx="756">
                  <c:v>361895578.220855</c:v>
                </c:pt>
                <c:pt idx="757">
                  <c:v>345314267.67756301</c:v>
                </c:pt>
                <c:pt idx="758">
                  <c:v>340839473.025446</c:v>
                </c:pt>
                <c:pt idx="759">
                  <c:v>340706144.94327801</c:v>
                </c:pt>
                <c:pt idx="760">
                  <c:v>347788870.60058701</c:v>
                </c:pt>
                <c:pt idx="761">
                  <c:v>344806987.10069799</c:v>
                </c:pt>
                <c:pt idx="762">
                  <c:v>358487264.98811901</c:v>
                </c:pt>
                <c:pt idx="763">
                  <c:v>361958661.05999202</c:v>
                </c:pt>
                <c:pt idx="764">
                  <c:v>361991204.99064702</c:v>
                </c:pt>
                <c:pt idx="765">
                  <c:v>358467842.52145302</c:v>
                </c:pt>
                <c:pt idx="766">
                  <c:v>347221107.15724403</c:v>
                </c:pt>
                <c:pt idx="767">
                  <c:v>363517444.90103</c:v>
                </c:pt>
                <c:pt idx="768">
                  <c:v>372687258.871984</c:v>
                </c:pt>
                <c:pt idx="769">
                  <c:v>373091271.365053</c:v>
                </c:pt>
                <c:pt idx="770">
                  <c:v>372595918.19410098</c:v>
                </c:pt>
                <c:pt idx="771">
                  <c:v>371399837.49749798</c:v>
                </c:pt>
                <c:pt idx="772">
                  <c:v>380004119.99359101</c:v>
                </c:pt>
                <c:pt idx="773">
                  <c:v>380904439.65903199</c:v>
                </c:pt>
                <c:pt idx="774">
                  <c:v>391574395.838067</c:v>
                </c:pt>
                <c:pt idx="775">
                  <c:v>408026359.44595301</c:v>
                </c:pt>
                <c:pt idx="776">
                  <c:v>425581915.92337203</c:v>
                </c:pt>
                <c:pt idx="777">
                  <c:v>444343338.44622505</c:v>
                </c:pt>
                <c:pt idx="778">
                  <c:v>452072925.50810599</c:v>
                </c:pt>
                <c:pt idx="779">
                  <c:v>470650573.01609695</c:v>
                </c:pt>
                <c:pt idx="780">
                  <c:v>462358984.03208005</c:v>
                </c:pt>
                <c:pt idx="781">
                  <c:v>457645100.31368101</c:v>
                </c:pt>
                <c:pt idx="782">
                  <c:v>453293199.825176</c:v>
                </c:pt>
                <c:pt idx="783">
                  <c:v>430087336.10305798</c:v>
                </c:pt>
                <c:pt idx="784">
                  <c:v>360872346.92625803</c:v>
                </c:pt>
                <c:pt idx="785">
                  <c:v>372252639.66768199</c:v>
                </c:pt>
                <c:pt idx="786">
                  <c:v>375376665.75743198</c:v>
                </c:pt>
                <c:pt idx="787">
                  <c:v>394143641.84053802</c:v>
                </c:pt>
                <c:pt idx="788">
                  <c:v>395987360.27576602</c:v>
                </c:pt>
                <c:pt idx="789">
                  <c:v>385889475.493945</c:v>
                </c:pt>
                <c:pt idx="790">
                  <c:v>404443456.41152102</c:v>
                </c:pt>
                <c:pt idx="791">
                  <c:v>395605769.08790398</c:v>
                </c:pt>
                <c:pt idx="792">
                  <c:v>411461023.87814701</c:v>
                </c:pt>
                <c:pt idx="793">
                  <c:v>396329452.73322898</c:v>
                </c:pt>
                <c:pt idx="794">
                  <c:v>402353423.49395001</c:v>
                </c:pt>
                <c:pt idx="795">
                  <c:v>407836917.50924999</c:v>
                </c:pt>
                <c:pt idx="796">
                  <c:v>389354386.87794799</c:v>
                </c:pt>
                <c:pt idx="797">
                  <c:v>408804532.88407201</c:v>
                </c:pt>
                <c:pt idx="798">
                  <c:v>411786740.40027899</c:v>
                </c:pt>
                <c:pt idx="799">
                  <c:v>440707844.76610303</c:v>
                </c:pt>
                <c:pt idx="800">
                  <c:v>440979796.16715205</c:v>
                </c:pt>
                <c:pt idx="801">
                  <c:v>417777766.256006</c:v>
                </c:pt>
                <c:pt idx="802">
                  <c:v>421411936.64733803</c:v>
                </c:pt>
                <c:pt idx="803">
                  <c:v>425360257.60370803</c:v>
                </c:pt>
                <c:pt idx="804">
                  <c:v>434358016.350124</c:v>
                </c:pt>
                <c:pt idx="805">
                  <c:v>418864904.54449904</c:v>
                </c:pt>
                <c:pt idx="806">
                  <c:v>411899101.47152197</c:v>
                </c:pt>
                <c:pt idx="807">
                  <c:v>423783738.55558705</c:v>
                </c:pt>
                <c:pt idx="808">
                  <c:v>413017924.90617299</c:v>
                </c:pt>
                <c:pt idx="809">
                  <c:v>416889518.20523798</c:v>
                </c:pt>
                <c:pt idx="810">
                  <c:v>424268919.38154101</c:v>
                </c:pt>
                <c:pt idx="811">
                  <c:v>423827530.42454696</c:v>
                </c:pt>
                <c:pt idx="812">
                  <c:v>420352890.05477703</c:v>
                </c:pt>
                <c:pt idx="813">
                  <c:v>422511356.42466199</c:v>
                </c:pt>
                <c:pt idx="814">
                  <c:v>424564658.92133605</c:v>
                </c:pt>
                <c:pt idx="815">
                  <c:v>473465020.84961402</c:v>
                </c:pt>
                <c:pt idx="816">
                  <c:v>466873912.97226703</c:v>
                </c:pt>
                <c:pt idx="817">
                  <c:v>481082644.53217399</c:v>
                </c:pt>
                <c:pt idx="818">
                  <c:v>476239694.06944597</c:v>
                </c:pt>
                <c:pt idx="819">
                  <c:v>500050625.50535297</c:v>
                </c:pt>
                <c:pt idx="820">
                  <c:v>482208410.08397603</c:v>
                </c:pt>
                <c:pt idx="821">
                  <c:v>477966939.98400903</c:v>
                </c:pt>
                <c:pt idx="822">
                  <c:v>482709106.89630497</c:v>
                </c:pt>
                <c:pt idx="823">
                  <c:v>484852367.02691698</c:v>
                </c:pt>
                <c:pt idx="824">
                  <c:v>482880750.43347502</c:v>
                </c:pt>
                <c:pt idx="825">
                  <c:v>500716075.83374202</c:v>
                </c:pt>
                <c:pt idx="826">
                  <c:v>514911176.53419602</c:v>
                </c:pt>
                <c:pt idx="827">
                  <c:v>530639570.75176001</c:v>
                </c:pt>
                <c:pt idx="828">
                  <c:v>522599099.94518995</c:v>
                </c:pt>
                <c:pt idx="829">
                  <c:v>521049471.13431501</c:v>
                </c:pt>
                <c:pt idx="830">
                  <c:v>528798804.16894197</c:v>
                </c:pt>
                <c:pt idx="831">
                  <c:v>529816230.37255096</c:v>
                </c:pt>
                <c:pt idx="832">
                  <c:v>527090786.05653095</c:v>
                </c:pt>
                <c:pt idx="833">
                  <c:v>537066208.53931797</c:v>
                </c:pt>
                <c:pt idx="834">
                  <c:v>544723898.09060705</c:v>
                </c:pt>
                <c:pt idx="835">
                  <c:v>536091476.26777005</c:v>
                </c:pt>
                <c:pt idx="836">
                  <c:v>527669076.09069002</c:v>
                </c:pt>
                <c:pt idx="837">
                  <c:v>538190893.67556798</c:v>
                </c:pt>
                <c:pt idx="838">
                  <c:v>556854628.51704705</c:v>
                </c:pt>
                <c:pt idx="839">
                  <c:v>545585370.11956894</c:v>
                </c:pt>
                <c:pt idx="840">
                  <c:v>553702034.03868198</c:v>
                </c:pt>
                <c:pt idx="841">
                  <c:v>562465699.85790002</c:v>
                </c:pt>
                <c:pt idx="842">
                  <c:v>530328003.93348801</c:v>
                </c:pt>
                <c:pt idx="843">
                  <c:v>525085501.10278201</c:v>
                </c:pt>
                <c:pt idx="844">
                  <c:v>536955537.78132999</c:v>
                </c:pt>
                <c:pt idx="845">
                  <c:v>516643256.00489998</c:v>
                </c:pt>
                <c:pt idx="846">
                  <c:v>549314670.583022</c:v>
                </c:pt>
                <c:pt idx="847">
                  <c:v>553872218.44021797</c:v>
                </c:pt>
                <c:pt idx="848">
                  <c:v>577448669.85342002</c:v>
                </c:pt>
                <c:pt idx="849">
                  <c:v>569178333.31585896</c:v>
                </c:pt>
                <c:pt idx="850">
                  <c:v>575632869.85053897</c:v>
                </c:pt>
                <c:pt idx="851">
                  <c:v>572981004.09669304</c:v>
                </c:pt>
                <c:pt idx="852">
                  <c:v>555128856.64568603</c:v>
                </c:pt>
                <c:pt idx="853">
                  <c:v>559702051.72978497</c:v>
                </c:pt>
                <c:pt idx="854">
                  <c:v>563692827.93194997</c:v>
                </c:pt>
                <c:pt idx="855">
                  <c:v>547779809.96450996</c:v>
                </c:pt>
                <c:pt idx="856">
                  <c:v>553202742.02014005</c:v>
                </c:pt>
                <c:pt idx="857">
                  <c:v>560190604.81371796</c:v>
                </c:pt>
                <c:pt idx="858">
                  <c:v>570725118.15633798</c:v>
                </c:pt>
                <c:pt idx="859">
                  <c:v>577158762.48380494</c:v>
                </c:pt>
                <c:pt idx="860">
                  <c:v>569783699.64436996</c:v>
                </c:pt>
                <c:pt idx="861">
                  <c:v>558619493.43877995</c:v>
                </c:pt>
                <c:pt idx="862">
                  <c:v>562724541.312047</c:v>
                </c:pt>
                <c:pt idx="863">
                  <c:v>562899672.44543004</c:v>
                </c:pt>
                <c:pt idx="864">
                  <c:v>569671846.69247794</c:v>
                </c:pt>
                <c:pt idx="865">
                  <c:v>565604607.52999103</c:v>
                </c:pt>
                <c:pt idx="866">
                  <c:v>566736531.69010794</c:v>
                </c:pt>
                <c:pt idx="867">
                  <c:v>555662609.43517399</c:v>
                </c:pt>
                <c:pt idx="868">
                  <c:v>526091983.43700397</c:v>
                </c:pt>
                <c:pt idx="869">
                  <c:v>567609725.27598405</c:v>
                </c:pt>
                <c:pt idx="870">
                  <c:v>561082739.24105203</c:v>
                </c:pt>
                <c:pt idx="871">
                  <c:v>573426511.22187603</c:v>
                </c:pt>
                <c:pt idx="872">
                  <c:v>576628657.66143596</c:v>
                </c:pt>
                <c:pt idx="873">
                  <c:v>589634936.39504802</c:v>
                </c:pt>
                <c:pt idx="874">
                  <c:v>571545444.91557801</c:v>
                </c:pt>
                <c:pt idx="875">
                  <c:v>570095303.75158501</c:v>
                </c:pt>
                <c:pt idx="876">
                  <c:v>566492779.61581004</c:v>
                </c:pt>
                <c:pt idx="877">
                  <c:v>560559254.66681898</c:v>
                </c:pt>
                <c:pt idx="878">
                  <c:v>569281841.98417699</c:v>
                </c:pt>
                <c:pt idx="879">
                  <c:v>572778292.91085696</c:v>
                </c:pt>
                <c:pt idx="880">
                  <c:v>598464663.67480004</c:v>
                </c:pt>
                <c:pt idx="881">
                  <c:v>583698008.302472</c:v>
                </c:pt>
                <c:pt idx="882">
                  <c:v>580308449.10917199</c:v>
                </c:pt>
                <c:pt idx="883">
                  <c:v>594296674.30904996</c:v>
                </c:pt>
                <c:pt idx="884">
                  <c:v>565871496.59031999</c:v>
                </c:pt>
                <c:pt idx="885">
                  <c:v>588896659.67841995</c:v>
                </c:pt>
                <c:pt idx="886">
                  <c:v>593310018.11588001</c:v>
                </c:pt>
                <c:pt idx="887">
                  <c:v>594237040.33686996</c:v>
                </c:pt>
                <c:pt idx="888">
                  <c:v>592792627.60791397</c:v>
                </c:pt>
                <c:pt idx="889">
                  <c:v>607738393.95116699</c:v>
                </c:pt>
                <c:pt idx="890">
                  <c:v>593935085.25332999</c:v>
                </c:pt>
                <c:pt idx="891">
                  <c:v>579994838.78519499</c:v>
                </c:pt>
                <c:pt idx="892">
                  <c:v>607991887.529302</c:v>
                </c:pt>
                <c:pt idx="893">
                  <c:v>587322239.064147</c:v>
                </c:pt>
                <c:pt idx="894">
                  <c:v>608345508.90285099</c:v>
                </c:pt>
                <c:pt idx="895">
                  <c:v>626307089.93072796</c:v>
                </c:pt>
                <c:pt idx="896">
                  <c:v>694228763.70079994</c:v>
                </c:pt>
                <c:pt idx="897">
                  <c:v>685126252.400334</c:v>
                </c:pt>
                <c:pt idx="898">
                  <c:v>688356858.31387603</c:v>
                </c:pt>
                <c:pt idx="899">
                  <c:v>718067846.97735405</c:v>
                </c:pt>
                <c:pt idx="900">
                  <c:v>729393696.45808494</c:v>
                </c:pt>
                <c:pt idx="901">
                  <c:v>708402256.71162903</c:v>
                </c:pt>
                <c:pt idx="902">
                  <c:v>708433837.58963597</c:v>
                </c:pt>
                <c:pt idx="903">
                  <c:v>723111176.87070704</c:v>
                </c:pt>
                <c:pt idx="904">
                  <c:v>722132007.22310996</c:v>
                </c:pt>
                <c:pt idx="905">
                  <c:v>695197230.23632896</c:v>
                </c:pt>
                <c:pt idx="906">
                  <c:v>689195027.81515896</c:v>
                </c:pt>
                <c:pt idx="907">
                  <c:v>693797198.63002002</c:v>
                </c:pt>
                <c:pt idx="908">
                  <c:v>719319182.75169098</c:v>
                </c:pt>
                <c:pt idx="909">
                  <c:v>736317089.78507495</c:v>
                </c:pt>
                <c:pt idx="910">
                  <c:v>770575483.62559295</c:v>
                </c:pt>
                <c:pt idx="911">
                  <c:v>754893140.74818003</c:v>
                </c:pt>
                <c:pt idx="912">
                  <c:v>798831930.48425603</c:v>
                </c:pt>
                <c:pt idx="913">
                  <c:v>782586819.21008897</c:v>
                </c:pt>
                <c:pt idx="914">
                  <c:v>795909395.63747394</c:v>
                </c:pt>
                <c:pt idx="915">
                  <c:v>799722358.835127</c:v>
                </c:pt>
                <c:pt idx="916">
                  <c:v>800371430.96704996</c:v>
                </c:pt>
                <c:pt idx="917">
                  <c:v>813775186.64964104</c:v>
                </c:pt>
                <c:pt idx="918">
                  <c:v>862464199.72475004</c:v>
                </c:pt>
                <c:pt idx="919">
                  <c:v>885117863.02420998</c:v>
                </c:pt>
                <c:pt idx="920">
                  <c:v>897275812.25240004</c:v>
                </c:pt>
                <c:pt idx="921">
                  <c:v>899852122.13229001</c:v>
                </c:pt>
                <c:pt idx="922">
                  <c:v>893218300.00353003</c:v>
                </c:pt>
                <c:pt idx="923">
                  <c:v>889539954.19274998</c:v>
                </c:pt>
                <c:pt idx="924">
                  <c:v>945292890.58853006</c:v>
                </c:pt>
                <c:pt idx="925">
                  <c:v>1022556145.7049</c:v>
                </c:pt>
                <c:pt idx="926">
                  <c:v>1026673887.0943799</c:v>
                </c:pt>
                <c:pt idx="927">
                  <c:v>1091008239.02843</c:v>
                </c:pt>
                <c:pt idx="928">
                  <c:v>1014218204.6984301</c:v>
                </c:pt>
                <c:pt idx="929">
                  <c:v>1005347767.7519901</c:v>
                </c:pt>
                <c:pt idx="930">
                  <c:v>1029715977.37976</c:v>
                </c:pt>
                <c:pt idx="931">
                  <c:v>1050926819.63956</c:v>
                </c:pt>
                <c:pt idx="932">
                  <c:v>899652678.46788001</c:v>
                </c:pt>
                <c:pt idx="933">
                  <c:v>892770349.99168992</c:v>
                </c:pt>
                <c:pt idx="934">
                  <c:v>919530940.44970012</c:v>
                </c:pt>
                <c:pt idx="935">
                  <c:v>911581136.58736992</c:v>
                </c:pt>
                <c:pt idx="936">
                  <c:v>943635065.57206988</c:v>
                </c:pt>
                <c:pt idx="937">
                  <c:v>920977676.75373006</c:v>
                </c:pt>
                <c:pt idx="938">
                  <c:v>865875730.01591003</c:v>
                </c:pt>
                <c:pt idx="939">
                  <c:v>799295113.251701</c:v>
                </c:pt>
                <c:pt idx="940">
                  <c:v>827130474.29885006</c:v>
                </c:pt>
                <c:pt idx="941">
                  <c:v>821983881.61868</c:v>
                </c:pt>
                <c:pt idx="942">
                  <c:v>804705810.01107895</c:v>
                </c:pt>
                <c:pt idx="943">
                  <c:v>779604151.22212601</c:v>
                </c:pt>
                <c:pt idx="944">
                  <c:v>830814987.29112995</c:v>
                </c:pt>
                <c:pt idx="945">
                  <c:v>793549040.84205401</c:v>
                </c:pt>
                <c:pt idx="946">
                  <c:v>810600819.36657798</c:v>
                </c:pt>
                <c:pt idx="947">
                  <c:v>809516748.03524494</c:v>
                </c:pt>
                <c:pt idx="948">
                  <c:v>862191574.26918006</c:v>
                </c:pt>
                <c:pt idx="949">
                  <c:v>846989097.48487997</c:v>
                </c:pt>
                <c:pt idx="950">
                  <c:v>728158238.21796703</c:v>
                </c:pt>
                <c:pt idx="951">
                  <c:v>775435942.950876</c:v>
                </c:pt>
                <c:pt idx="952">
                  <c:v>768976325.07507706</c:v>
                </c:pt>
                <c:pt idx="953">
                  <c:v>755784530.23507297</c:v>
                </c:pt>
                <c:pt idx="954">
                  <c:v>459813740.94845402</c:v>
                </c:pt>
                <c:pt idx="955">
                  <c:v>545771651.54712403</c:v>
                </c:pt>
                <c:pt idx="956">
                  <c:v>486722184.334782</c:v>
                </c:pt>
                <c:pt idx="957">
                  <c:v>484444041.67024696</c:v>
                </c:pt>
                <c:pt idx="958">
                  <c:v>442972284.80769801</c:v>
                </c:pt>
                <c:pt idx="959">
                  <c:v>451076473.08512402</c:v>
                </c:pt>
                <c:pt idx="960">
                  <c:v>460159508.39426899</c:v>
                </c:pt>
                <c:pt idx="961">
                  <c:v>509065234.16475999</c:v>
                </c:pt>
                <c:pt idx="962">
                  <c:v>500361873.65751004</c:v>
                </c:pt>
                <c:pt idx="963">
                  <c:v>529360362.80105197</c:v>
                </c:pt>
                <c:pt idx="964">
                  <c:v>470055954.04912806</c:v>
                </c:pt>
                <c:pt idx="965">
                  <c:v>506551839.47483599</c:v>
                </c:pt>
                <c:pt idx="966">
                  <c:v>522043688.04861605</c:v>
                </c:pt>
                <c:pt idx="967">
                  <c:v>516043674.82730103</c:v>
                </c:pt>
                <c:pt idx="968">
                  <c:v>533355357.68791497</c:v>
                </c:pt>
                <c:pt idx="969">
                  <c:v>513637468.22928202</c:v>
                </c:pt>
                <c:pt idx="970">
                  <c:v>514114183.48257303</c:v>
                </c:pt>
                <c:pt idx="971">
                  <c:v>500173589.60702801</c:v>
                </c:pt>
                <c:pt idx="972">
                  <c:v>498748907.75030696</c:v>
                </c:pt>
                <c:pt idx="973">
                  <c:v>537638451.54551399</c:v>
                </c:pt>
                <c:pt idx="974">
                  <c:v>549882321.04786503</c:v>
                </c:pt>
                <c:pt idx="975">
                  <c:v>568611101.62593603</c:v>
                </c:pt>
                <c:pt idx="976">
                  <c:v>569162376.21584404</c:v>
                </c:pt>
                <c:pt idx="977">
                  <c:v>580363635.13660598</c:v>
                </c:pt>
                <c:pt idx="978">
                  <c:v>577237470.23456597</c:v>
                </c:pt>
                <c:pt idx="979">
                  <c:v>646907280.33302402</c:v>
                </c:pt>
                <c:pt idx="980">
                  <c:v>613116514.55975604</c:v>
                </c:pt>
                <c:pt idx="981">
                  <c:v>628849148.10742199</c:v>
                </c:pt>
                <c:pt idx="982">
                  <c:v>617781931.44333005</c:v>
                </c:pt>
                <c:pt idx="983">
                  <c:v>584932402.29163802</c:v>
                </c:pt>
                <c:pt idx="984">
                  <c:v>590059354.54136705</c:v>
                </c:pt>
                <c:pt idx="985">
                  <c:v>594014873.19166994</c:v>
                </c:pt>
                <c:pt idx="986">
                  <c:v>586964607.08129001</c:v>
                </c:pt>
                <c:pt idx="987">
                  <c:v>598946229.09353602</c:v>
                </c:pt>
                <c:pt idx="988">
                  <c:v>579025238.95138204</c:v>
                </c:pt>
                <c:pt idx="989">
                  <c:v>635246250.61884403</c:v>
                </c:pt>
                <c:pt idx="990">
                  <c:v>632789117.38788104</c:v>
                </c:pt>
                <c:pt idx="991">
                  <c:v>679969717.32811904</c:v>
                </c:pt>
                <c:pt idx="992">
                  <c:v>668261150.03366995</c:v>
                </c:pt>
                <c:pt idx="993">
                  <c:v>647146952.49867105</c:v>
                </c:pt>
                <c:pt idx="994">
                  <c:v>653419962.81424797</c:v>
                </c:pt>
                <c:pt idx="995">
                  <c:v>691912510.45585299</c:v>
                </c:pt>
                <c:pt idx="996">
                  <c:v>683652164.20617795</c:v>
                </c:pt>
                <c:pt idx="997">
                  <c:v>694633906.91941094</c:v>
                </c:pt>
                <c:pt idx="998">
                  <c:v>709595380.13342702</c:v>
                </c:pt>
                <c:pt idx="999">
                  <c:v>713665667.61138403</c:v>
                </c:pt>
                <c:pt idx="1000">
                  <c:v>752278059.76084006</c:v>
                </c:pt>
                <c:pt idx="1001">
                  <c:v>750146998.41133904</c:v>
                </c:pt>
                <c:pt idx="1002">
                  <c:v>816231301.530496</c:v>
                </c:pt>
                <c:pt idx="1003">
                  <c:v>768629452.55670202</c:v>
                </c:pt>
                <c:pt idx="1004">
                  <c:v>782252721.84378195</c:v>
                </c:pt>
                <c:pt idx="1005">
                  <c:v>804450257.17757297</c:v>
                </c:pt>
                <c:pt idx="1006">
                  <c:v>801412986.94334698</c:v>
                </c:pt>
                <c:pt idx="1007">
                  <c:v>792758578.83548796</c:v>
                </c:pt>
                <c:pt idx="1008">
                  <c:v>797973109.19560802</c:v>
                </c:pt>
                <c:pt idx="1009">
                  <c:v>805108098.21961105</c:v>
                </c:pt>
                <c:pt idx="1010">
                  <c:v>828904196.39497101</c:v>
                </c:pt>
                <c:pt idx="1011">
                  <c:v>829959503.16274703</c:v>
                </c:pt>
                <c:pt idx="1012">
                  <c:v>827610878.54877198</c:v>
                </c:pt>
                <c:pt idx="1013">
                  <c:v>768094886.60001898</c:v>
                </c:pt>
                <c:pt idx="1014">
                  <c:v>752429322.98726499</c:v>
                </c:pt>
                <c:pt idx="1015">
                  <c:v>767309789.47157598</c:v>
                </c:pt>
                <c:pt idx="1016">
                  <c:v>779165647.78703797</c:v>
                </c:pt>
                <c:pt idx="1017">
                  <c:v>789317782.22833204</c:v>
                </c:pt>
                <c:pt idx="1018">
                  <c:v>767068782.56938398</c:v>
                </c:pt>
                <c:pt idx="1019">
                  <c:v>779816569.87335598</c:v>
                </c:pt>
                <c:pt idx="1020">
                  <c:v>794705434.50583899</c:v>
                </c:pt>
                <c:pt idx="1021">
                  <c:v>821493306.31185603</c:v>
                </c:pt>
                <c:pt idx="1022">
                  <c:v>825390228.07593203</c:v>
                </c:pt>
                <c:pt idx="1023">
                  <c:v>811634520.43481898</c:v>
                </c:pt>
                <c:pt idx="1024">
                  <c:v>793244412.00673902</c:v>
                </c:pt>
                <c:pt idx="1025">
                  <c:v>827763499.67147005</c:v>
                </c:pt>
                <c:pt idx="1026">
                  <c:v>824380010.83624494</c:v>
                </c:pt>
                <c:pt idx="1027">
                  <c:v>805111237.06623006</c:v>
                </c:pt>
                <c:pt idx="1028">
                  <c:v>810524335.27095699</c:v>
                </c:pt>
                <c:pt idx="1029">
                  <c:v>799309356.90730798</c:v>
                </c:pt>
                <c:pt idx="1030">
                  <c:v>816545493.50654805</c:v>
                </c:pt>
                <c:pt idx="1031">
                  <c:v>847048238.18008995</c:v>
                </c:pt>
                <c:pt idx="1032">
                  <c:v>852663191.82600999</c:v>
                </c:pt>
                <c:pt idx="1033">
                  <c:v>917709074.61525989</c:v>
                </c:pt>
                <c:pt idx="1034">
                  <c:v>890114793.77801001</c:v>
                </c:pt>
                <c:pt idx="1035">
                  <c:v>916595788.52841997</c:v>
                </c:pt>
                <c:pt idx="1036">
                  <c:v>904103360.46454</c:v>
                </c:pt>
                <c:pt idx="1037">
                  <c:v>931466534.72019005</c:v>
                </c:pt>
                <c:pt idx="1038">
                  <c:v>957977779.49435997</c:v>
                </c:pt>
                <c:pt idx="1039">
                  <c:v>974882471.55519009</c:v>
                </c:pt>
                <c:pt idx="1040">
                  <c:v>980569383.80963993</c:v>
                </c:pt>
                <c:pt idx="1041">
                  <c:v>971603766.65946007</c:v>
                </c:pt>
                <c:pt idx="1042">
                  <c:v>969357337.83396006</c:v>
                </c:pt>
                <c:pt idx="1043">
                  <c:v>936280026.40275002</c:v>
                </c:pt>
                <c:pt idx="1044">
                  <c:v>939036948.52308011</c:v>
                </c:pt>
                <c:pt idx="1045">
                  <c:v>936643596.2326901</c:v>
                </c:pt>
                <c:pt idx="1046">
                  <c:v>964455424.72133994</c:v>
                </c:pt>
                <c:pt idx="1047">
                  <c:v>958934748.65954995</c:v>
                </c:pt>
                <c:pt idx="1048">
                  <c:v>936951675.24359012</c:v>
                </c:pt>
                <c:pt idx="1049">
                  <c:v>924749928.4210701</c:v>
                </c:pt>
                <c:pt idx="1050">
                  <c:v>940967759.43629003</c:v>
                </c:pt>
                <c:pt idx="1051">
                  <c:v>951818412.72894001</c:v>
                </c:pt>
                <c:pt idx="1052">
                  <c:v>983599078.10055995</c:v>
                </c:pt>
                <c:pt idx="1053">
                  <c:v>986734770.47977996</c:v>
                </c:pt>
                <c:pt idx="1054">
                  <c:v>988130655.00623989</c:v>
                </c:pt>
                <c:pt idx="1055">
                  <c:v>952047210.2702899</c:v>
                </c:pt>
                <c:pt idx="1056">
                  <c:v>995369825.59179997</c:v>
                </c:pt>
                <c:pt idx="1057">
                  <c:v>1039628367.0229101</c:v>
                </c:pt>
                <c:pt idx="1058">
                  <c:v>1130675237.69698</c:v>
                </c:pt>
                <c:pt idx="1059">
                  <c:v>1177619883.5804999</c:v>
                </c:pt>
                <c:pt idx="1060">
                  <c:v>1192181752.9469099</c:v>
                </c:pt>
                <c:pt idx="1061">
                  <c:v>1186930313.5625</c:v>
                </c:pt>
                <c:pt idx="1062">
                  <c:v>1193608839.97364</c:v>
                </c:pt>
                <c:pt idx="1063">
                  <c:v>1204026846.07072</c:v>
                </c:pt>
                <c:pt idx="1064">
                  <c:v>1215207611.7464299</c:v>
                </c:pt>
                <c:pt idx="1065">
                  <c:v>1320082048.34635</c:v>
                </c:pt>
                <c:pt idx="1066">
                  <c:v>1314644219.39501</c:v>
                </c:pt>
                <c:pt idx="1067">
                  <c:v>1405484624.9822402</c:v>
                </c:pt>
                <c:pt idx="1068">
                  <c:v>1427782130.0707998</c:v>
                </c:pt>
                <c:pt idx="1069">
                  <c:v>1437171609.4535899</c:v>
                </c:pt>
                <c:pt idx="1070">
                  <c:v>1504378898.5964098</c:v>
                </c:pt>
                <c:pt idx="1071">
                  <c:v>1549072771.7431202</c:v>
                </c:pt>
                <c:pt idx="1072">
                  <c:v>1648653136.6186399</c:v>
                </c:pt>
                <c:pt idx="1073">
                  <c:v>1638894026.0889001</c:v>
                </c:pt>
                <c:pt idx="1074">
                  <c:v>1644374324.4877</c:v>
                </c:pt>
                <c:pt idx="1075">
                  <c:v>1678745836.3684602</c:v>
                </c:pt>
                <c:pt idx="1076">
                  <c:v>1661352263.0214801</c:v>
                </c:pt>
                <c:pt idx="1077">
                  <c:v>1666538009.2503099</c:v>
                </c:pt>
                <c:pt idx="1078">
                  <c:v>1698745744.24998</c:v>
                </c:pt>
                <c:pt idx="1079">
                  <c:v>1729561599.9675002</c:v>
                </c:pt>
                <c:pt idx="1080">
                  <c:v>1729923980.1162801</c:v>
                </c:pt>
                <c:pt idx="1081">
                  <c:v>1742991400.8291702</c:v>
                </c:pt>
                <c:pt idx="1082">
                  <c:v>1824540933.2220502</c:v>
                </c:pt>
                <c:pt idx="1083">
                  <c:v>1894828821.2586002</c:v>
                </c:pt>
                <c:pt idx="1084">
                  <c:v>1977459644.4002199</c:v>
                </c:pt>
                <c:pt idx="1085">
                  <c:v>2032261304.5798402</c:v>
                </c:pt>
                <c:pt idx="1086">
                  <c:v>2251968026.6683798</c:v>
                </c:pt>
                <c:pt idx="1087">
                  <c:v>2402280456.2534499</c:v>
                </c:pt>
                <c:pt idx="1088">
                  <c:v>2447260032.3491702</c:v>
                </c:pt>
                <c:pt idx="1089">
                  <c:v>2521161422.5095301</c:v>
                </c:pt>
                <c:pt idx="1090">
                  <c:v>2498293409.8194499</c:v>
                </c:pt>
                <c:pt idx="1091">
                  <c:v>2490409816.7637501</c:v>
                </c:pt>
                <c:pt idx="1092">
                  <c:v>2550112379.4832301</c:v>
                </c:pt>
                <c:pt idx="1093">
                  <c:v>2643526837.7996702</c:v>
                </c:pt>
                <c:pt idx="1094">
                  <c:v>2749867385.04916</c:v>
                </c:pt>
                <c:pt idx="1095">
                  <c:v>2856847190.8014202</c:v>
                </c:pt>
                <c:pt idx="1096">
                  <c:v>2994753577.1864901</c:v>
                </c:pt>
                <c:pt idx="1097">
                  <c:v>2944559512.8432698</c:v>
                </c:pt>
                <c:pt idx="1098">
                  <c:v>3052715372.7208996</c:v>
                </c:pt>
                <c:pt idx="1099">
                  <c:v>3095745337.8455801</c:v>
                </c:pt>
                <c:pt idx="1100">
                  <c:v>3292592480.74891</c:v>
                </c:pt>
                <c:pt idx="1101">
                  <c:v>3255222597.5358696</c:v>
                </c:pt>
                <c:pt idx="1102">
                  <c:v>3216798590.5742197</c:v>
                </c:pt>
                <c:pt idx="1103">
                  <c:v>3286172797.3321199</c:v>
                </c:pt>
                <c:pt idx="1104">
                  <c:v>3304966470.8147802</c:v>
                </c:pt>
                <c:pt idx="1105">
                  <c:v>3466273675.9994602</c:v>
                </c:pt>
                <c:pt idx="1106">
                  <c:v>3359550418.2364798</c:v>
                </c:pt>
                <c:pt idx="1107">
                  <c:v>3413118789.9667797</c:v>
                </c:pt>
                <c:pt idx="1108">
                  <c:v>3612200694.4962397</c:v>
                </c:pt>
                <c:pt idx="1109">
                  <c:v>4082442602.5348997</c:v>
                </c:pt>
                <c:pt idx="1110">
                  <c:v>4251675487.7491302</c:v>
                </c:pt>
                <c:pt idx="1111">
                  <c:v>4509143886.4162102</c:v>
                </c:pt>
                <c:pt idx="1112">
                  <c:v>4648351195.3454199</c:v>
                </c:pt>
                <c:pt idx="1113">
                  <c:v>4667003696.7669601</c:v>
                </c:pt>
                <c:pt idx="1114">
                  <c:v>4655772366.7983503</c:v>
                </c:pt>
                <c:pt idx="1115">
                  <c:v>4876018045.3461304</c:v>
                </c:pt>
                <c:pt idx="1116">
                  <c:v>4652843913.2797699</c:v>
                </c:pt>
                <c:pt idx="1117">
                  <c:v>4825602786.8790598</c:v>
                </c:pt>
                <c:pt idx="1118">
                  <c:v>4812072830.5135803</c:v>
                </c:pt>
                <c:pt idx="1119">
                  <c:v>4866843176.4539804</c:v>
                </c:pt>
                <c:pt idx="1120">
                  <c:v>4886772824.29673</c:v>
                </c:pt>
                <c:pt idx="1121">
                  <c:v>5204820030.0247498</c:v>
                </c:pt>
                <c:pt idx="1122">
                  <c:v>5125571995.7103701</c:v>
                </c:pt>
                <c:pt idx="1123">
                  <c:v>6211784086.5954399</c:v>
                </c:pt>
                <c:pt idx="1124">
                  <c:v>6450818055.4972305</c:v>
                </c:pt>
                <c:pt idx="1125">
                  <c:v>6896263332.3967705</c:v>
                </c:pt>
                <c:pt idx="1126">
                  <c:v>7373524849.2618408</c:v>
                </c:pt>
                <c:pt idx="1127">
                  <c:v>7395125126.7590294</c:v>
                </c:pt>
                <c:pt idx="1128">
                  <c:v>7292632652.8493805</c:v>
                </c:pt>
                <c:pt idx="1129">
                  <c:v>6744367045.2652206</c:v>
                </c:pt>
                <c:pt idx="1130">
                  <c:v>6913457682.4992199</c:v>
                </c:pt>
                <c:pt idx="1131">
                  <c:v>5788819218.2575798</c:v>
                </c:pt>
                <c:pt idx="1132">
                  <c:v>6247295625.2066603</c:v>
                </c:pt>
                <c:pt idx="1133">
                  <c:v>6337389627.2062702</c:v>
                </c:pt>
                <c:pt idx="1134">
                  <c:v>6120008625.74963</c:v>
                </c:pt>
                <c:pt idx="1135">
                  <c:v>6474023500.62008</c:v>
                </c:pt>
                <c:pt idx="1136">
                  <c:v>7081725759.1322308</c:v>
                </c:pt>
                <c:pt idx="1137">
                  <c:v>7262590020.9186993</c:v>
                </c:pt>
                <c:pt idx="1138">
                  <c:v>8232814778.9090004</c:v>
                </c:pt>
                <c:pt idx="1139">
                  <c:v>7172230317.8030605</c:v>
                </c:pt>
                <c:pt idx="1140">
                  <c:v>7435202729.5587101</c:v>
                </c:pt>
                <c:pt idx="1141">
                  <c:v>7144519609.0399494</c:v>
                </c:pt>
                <c:pt idx="1142">
                  <c:v>7042122042.9723797</c:v>
                </c:pt>
                <c:pt idx="1143">
                  <c:v>8317662557.5538006</c:v>
                </c:pt>
                <c:pt idx="1144">
                  <c:v>8382612405.2318001</c:v>
                </c:pt>
                <c:pt idx="1145">
                  <c:v>8477311570.8887997</c:v>
                </c:pt>
                <c:pt idx="1146">
                  <c:v>8198189994.4676991</c:v>
                </c:pt>
                <c:pt idx="1147">
                  <c:v>7913804342.1736393</c:v>
                </c:pt>
                <c:pt idx="1148">
                  <c:v>8067286878.0911999</c:v>
                </c:pt>
                <c:pt idx="1149">
                  <c:v>8548672428.7845001</c:v>
                </c:pt>
                <c:pt idx="1150">
                  <c:v>8406587939.2476006</c:v>
                </c:pt>
                <c:pt idx="1151">
                  <c:v>8599970551.5925999</c:v>
                </c:pt>
                <c:pt idx="1152">
                  <c:v>8738849986.7924995</c:v>
                </c:pt>
                <c:pt idx="1153">
                  <c:v>8735124868.1921997</c:v>
                </c:pt>
                <c:pt idx="1154">
                  <c:v>8824998474.1117992</c:v>
                </c:pt>
                <c:pt idx="1155">
                  <c:v>8866913464.1741009</c:v>
                </c:pt>
                <c:pt idx="1156">
                  <c:v>8797844962.2630005</c:v>
                </c:pt>
                <c:pt idx="1157">
                  <c:v>8729546349.7415009</c:v>
                </c:pt>
                <c:pt idx="1158">
                  <c:v>8655174581.6847992</c:v>
                </c:pt>
                <c:pt idx="1159">
                  <c:v>8753147452.4078999</c:v>
                </c:pt>
                <c:pt idx="1160">
                  <c:v>8816275318.5955009</c:v>
                </c:pt>
                <c:pt idx="1161">
                  <c:v>8815843108.3988991</c:v>
                </c:pt>
                <c:pt idx="1162">
                  <c:v>8348221735.2063999</c:v>
                </c:pt>
                <c:pt idx="1163">
                  <c:v>8247784258.7514</c:v>
                </c:pt>
                <c:pt idx="1164">
                  <c:v>8477310544.2667007</c:v>
                </c:pt>
                <c:pt idx="1165">
                  <c:v>8650942176.7355003</c:v>
                </c:pt>
                <c:pt idx="1166">
                  <c:v>8770071749.9566994</c:v>
                </c:pt>
                <c:pt idx="1167">
                  <c:v>8944430739.0104008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73-480C-A5B8-22DE1C341AD7}"/>
            </c:ext>
          </c:extLst>
        </c:ser>
        <c:ser>
          <c:idx val="1"/>
          <c:order val="1"/>
          <c:tx>
            <c:strRef>
              <c:f>tvl_pivot!$D$3</c:f>
              <c:strCache>
                <c:ptCount val="1"/>
                <c:pt idx="0">
                  <c:v>share_lend</c:v>
                </c:pt>
              </c:strCache>
            </c:strRef>
          </c:tx>
          <c:spPr>
            <a:solidFill>
              <a:srgbClr val="465359"/>
            </a:solidFill>
            <a:ln>
              <a:noFill/>
            </a:ln>
            <a:effectLst/>
          </c:spPr>
          <c:cat>
            <c:multiLvlStrRef>
              <c:f>tvl_pivot!$A$4:$B$1176</c:f>
              <c:multiLvlStrCache>
                <c:ptCount val="1168"/>
                <c:lvl>
                  <c:pt idx="0">
                    <c:v>2-Aug</c:v>
                  </c:pt>
                  <c:pt idx="1">
                    <c:v>3-Aug</c:v>
                  </c:pt>
                  <c:pt idx="2">
                    <c:v>4-Aug</c:v>
                  </c:pt>
                  <c:pt idx="3">
                    <c:v>5-Aug</c:v>
                  </c:pt>
                  <c:pt idx="4">
                    <c:v>6-Aug</c:v>
                  </c:pt>
                  <c:pt idx="5">
                    <c:v>7-Aug</c:v>
                  </c:pt>
                  <c:pt idx="6">
                    <c:v>8-Aug</c:v>
                  </c:pt>
                  <c:pt idx="7">
                    <c:v>9-Aug</c:v>
                  </c:pt>
                  <c:pt idx="8">
                    <c:v>10-Aug</c:v>
                  </c:pt>
                  <c:pt idx="9">
                    <c:v>11-Aug</c:v>
                  </c:pt>
                  <c:pt idx="10">
                    <c:v>12-Aug</c:v>
                  </c:pt>
                  <c:pt idx="11">
                    <c:v>13-Aug</c:v>
                  </c:pt>
                  <c:pt idx="12">
                    <c:v>14-Aug</c:v>
                  </c:pt>
                  <c:pt idx="13">
                    <c:v>15-Aug</c:v>
                  </c:pt>
                  <c:pt idx="14">
                    <c:v>16-Aug</c:v>
                  </c:pt>
                  <c:pt idx="15">
                    <c:v>17-Aug</c:v>
                  </c:pt>
                  <c:pt idx="16">
                    <c:v>18-Aug</c:v>
                  </c:pt>
                  <c:pt idx="17">
                    <c:v>19-Aug</c:v>
                  </c:pt>
                  <c:pt idx="18">
                    <c:v>20-Aug</c:v>
                  </c:pt>
                  <c:pt idx="19">
                    <c:v>21-Aug</c:v>
                  </c:pt>
                  <c:pt idx="20">
                    <c:v>22-Aug</c:v>
                  </c:pt>
                  <c:pt idx="21">
                    <c:v>23-Aug</c:v>
                  </c:pt>
                  <c:pt idx="22">
                    <c:v>24-Aug</c:v>
                  </c:pt>
                  <c:pt idx="23">
                    <c:v>25-Aug</c:v>
                  </c:pt>
                  <c:pt idx="24">
                    <c:v>26-Aug</c:v>
                  </c:pt>
                  <c:pt idx="25">
                    <c:v>27-Aug</c:v>
                  </c:pt>
                  <c:pt idx="26">
                    <c:v>28-Aug</c:v>
                  </c:pt>
                  <c:pt idx="27">
                    <c:v>29-Aug</c:v>
                  </c:pt>
                  <c:pt idx="28">
                    <c:v>30-Aug</c:v>
                  </c:pt>
                  <c:pt idx="29">
                    <c:v>31-Aug</c:v>
                  </c:pt>
                  <c:pt idx="30">
                    <c:v>1-Sep</c:v>
                  </c:pt>
                  <c:pt idx="31">
                    <c:v>2-Sep</c:v>
                  </c:pt>
                  <c:pt idx="32">
                    <c:v>3-Sep</c:v>
                  </c:pt>
                  <c:pt idx="33">
                    <c:v>4-Sep</c:v>
                  </c:pt>
                  <c:pt idx="34">
                    <c:v>5-Sep</c:v>
                  </c:pt>
                  <c:pt idx="35">
                    <c:v>6-Sep</c:v>
                  </c:pt>
                  <c:pt idx="36">
                    <c:v>7-Sep</c:v>
                  </c:pt>
                  <c:pt idx="37">
                    <c:v>8-Sep</c:v>
                  </c:pt>
                  <c:pt idx="38">
                    <c:v>9-Sep</c:v>
                  </c:pt>
                  <c:pt idx="39">
                    <c:v>10-Sep</c:v>
                  </c:pt>
                  <c:pt idx="40">
                    <c:v>11-Sep</c:v>
                  </c:pt>
                  <c:pt idx="41">
                    <c:v>12-Sep</c:v>
                  </c:pt>
                  <c:pt idx="42">
                    <c:v>13-Sep</c:v>
                  </c:pt>
                  <c:pt idx="43">
                    <c:v>14-Sep</c:v>
                  </c:pt>
                  <c:pt idx="44">
                    <c:v>15-Sep</c:v>
                  </c:pt>
                  <c:pt idx="45">
                    <c:v>16-Sep</c:v>
                  </c:pt>
                  <c:pt idx="46">
                    <c:v>17-Sep</c:v>
                  </c:pt>
                  <c:pt idx="47">
                    <c:v>18-Sep</c:v>
                  </c:pt>
                  <c:pt idx="48">
                    <c:v>19-Sep</c:v>
                  </c:pt>
                  <c:pt idx="49">
                    <c:v>20-Sep</c:v>
                  </c:pt>
                  <c:pt idx="50">
                    <c:v>21-Sep</c:v>
                  </c:pt>
                  <c:pt idx="51">
                    <c:v>22-Sep</c:v>
                  </c:pt>
                  <c:pt idx="52">
                    <c:v>23-Sep</c:v>
                  </c:pt>
                  <c:pt idx="53">
                    <c:v>24-Sep</c:v>
                  </c:pt>
                  <c:pt idx="54">
                    <c:v>25-Sep</c:v>
                  </c:pt>
                  <c:pt idx="55">
                    <c:v>26-Sep</c:v>
                  </c:pt>
                  <c:pt idx="56">
                    <c:v>27-Sep</c:v>
                  </c:pt>
                  <c:pt idx="57">
                    <c:v>28-Sep</c:v>
                  </c:pt>
                  <c:pt idx="58">
                    <c:v>29-Sep</c:v>
                  </c:pt>
                  <c:pt idx="59">
                    <c:v>30-Sep</c:v>
                  </c:pt>
                  <c:pt idx="60">
                    <c:v>1-Oct</c:v>
                  </c:pt>
                  <c:pt idx="61">
                    <c:v>2-Oct</c:v>
                  </c:pt>
                  <c:pt idx="62">
                    <c:v>3-Oct</c:v>
                  </c:pt>
                  <c:pt idx="63">
                    <c:v>4-Oct</c:v>
                  </c:pt>
                  <c:pt idx="64">
                    <c:v>5-Oct</c:v>
                  </c:pt>
                  <c:pt idx="65">
                    <c:v>6-Oct</c:v>
                  </c:pt>
                  <c:pt idx="66">
                    <c:v>7-Oct</c:v>
                  </c:pt>
                  <c:pt idx="67">
                    <c:v>8-Oct</c:v>
                  </c:pt>
                  <c:pt idx="68">
                    <c:v>9-Oct</c:v>
                  </c:pt>
                  <c:pt idx="69">
                    <c:v>10-Oct</c:v>
                  </c:pt>
                  <c:pt idx="70">
                    <c:v>11-Oct</c:v>
                  </c:pt>
                  <c:pt idx="71">
                    <c:v>12-Oct</c:v>
                  </c:pt>
                  <c:pt idx="72">
                    <c:v>13-Oct</c:v>
                  </c:pt>
                  <c:pt idx="73">
                    <c:v>14-Oct</c:v>
                  </c:pt>
                  <c:pt idx="74">
                    <c:v>15-Oct</c:v>
                  </c:pt>
                  <c:pt idx="75">
                    <c:v>16-Oct</c:v>
                  </c:pt>
                  <c:pt idx="76">
                    <c:v>17-Oct</c:v>
                  </c:pt>
                  <c:pt idx="77">
                    <c:v>18-Oct</c:v>
                  </c:pt>
                  <c:pt idx="78">
                    <c:v>19-Oct</c:v>
                  </c:pt>
                  <c:pt idx="79">
                    <c:v>20-Oct</c:v>
                  </c:pt>
                  <c:pt idx="80">
                    <c:v>21-Oct</c:v>
                  </c:pt>
                  <c:pt idx="81">
                    <c:v>22-Oct</c:v>
                  </c:pt>
                  <c:pt idx="82">
                    <c:v>23-Oct</c:v>
                  </c:pt>
                  <c:pt idx="83">
                    <c:v>24-Oct</c:v>
                  </c:pt>
                  <c:pt idx="84">
                    <c:v>25-Oct</c:v>
                  </c:pt>
                  <c:pt idx="85">
                    <c:v>26-Oct</c:v>
                  </c:pt>
                  <c:pt idx="86">
                    <c:v>27-Oct</c:v>
                  </c:pt>
                  <c:pt idx="87">
                    <c:v>28-Oct</c:v>
                  </c:pt>
                  <c:pt idx="88">
                    <c:v>29-Oct</c:v>
                  </c:pt>
                  <c:pt idx="89">
                    <c:v>30-Oct</c:v>
                  </c:pt>
                  <c:pt idx="90">
                    <c:v>31-Oct</c:v>
                  </c:pt>
                  <c:pt idx="91">
                    <c:v>1-Nov</c:v>
                  </c:pt>
                  <c:pt idx="92">
                    <c:v>2-Nov</c:v>
                  </c:pt>
                  <c:pt idx="93">
                    <c:v>3-Nov</c:v>
                  </c:pt>
                  <c:pt idx="94">
                    <c:v>4-Nov</c:v>
                  </c:pt>
                  <c:pt idx="95">
                    <c:v>5-Nov</c:v>
                  </c:pt>
                  <c:pt idx="96">
                    <c:v>6-Nov</c:v>
                  </c:pt>
                  <c:pt idx="97">
                    <c:v>7-Nov</c:v>
                  </c:pt>
                  <c:pt idx="98">
                    <c:v>8-Nov</c:v>
                  </c:pt>
                  <c:pt idx="99">
                    <c:v>9-Nov</c:v>
                  </c:pt>
                  <c:pt idx="100">
                    <c:v>10-Nov</c:v>
                  </c:pt>
                  <c:pt idx="101">
                    <c:v>11-Nov</c:v>
                  </c:pt>
                  <c:pt idx="102">
                    <c:v>12-Nov</c:v>
                  </c:pt>
                  <c:pt idx="103">
                    <c:v>13-Nov</c:v>
                  </c:pt>
                  <c:pt idx="104">
                    <c:v>14-Nov</c:v>
                  </c:pt>
                  <c:pt idx="105">
                    <c:v>15-Nov</c:v>
                  </c:pt>
                  <c:pt idx="106">
                    <c:v>16-Nov</c:v>
                  </c:pt>
                  <c:pt idx="107">
                    <c:v>17-Nov</c:v>
                  </c:pt>
                  <c:pt idx="108">
                    <c:v>18-Nov</c:v>
                  </c:pt>
                  <c:pt idx="109">
                    <c:v>19-Nov</c:v>
                  </c:pt>
                  <c:pt idx="110">
                    <c:v>20-Nov</c:v>
                  </c:pt>
                  <c:pt idx="111">
                    <c:v>21-Nov</c:v>
                  </c:pt>
                  <c:pt idx="112">
                    <c:v>22-Nov</c:v>
                  </c:pt>
                  <c:pt idx="113">
                    <c:v>23-Nov</c:v>
                  </c:pt>
                  <c:pt idx="114">
                    <c:v>24-Nov</c:v>
                  </c:pt>
                  <c:pt idx="115">
                    <c:v>25-Nov</c:v>
                  </c:pt>
                  <c:pt idx="116">
                    <c:v>26-Nov</c:v>
                  </c:pt>
                  <c:pt idx="117">
                    <c:v>27-Nov</c:v>
                  </c:pt>
                  <c:pt idx="118">
                    <c:v>28-Nov</c:v>
                  </c:pt>
                  <c:pt idx="119">
                    <c:v>29-Nov</c:v>
                  </c:pt>
                  <c:pt idx="120">
                    <c:v>30-Nov</c:v>
                  </c:pt>
                  <c:pt idx="121">
                    <c:v>1-Dec</c:v>
                  </c:pt>
                  <c:pt idx="122">
                    <c:v>2-Dec</c:v>
                  </c:pt>
                  <c:pt idx="123">
                    <c:v>3-Dec</c:v>
                  </c:pt>
                  <c:pt idx="124">
                    <c:v>4-Dec</c:v>
                  </c:pt>
                  <c:pt idx="125">
                    <c:v>5-Dec</c:v>
                  </c:pt>
                  <c:pt idx="126">
                    <c:v>6-Dec</c:v>
                  </c:pt>
                  <c:pt idx="127">
                    <c:v>7-Dec</c:v>
                  </c:pt>
                  <c:pt idx="128">
                    <c:v>8-Dec</c:v>
                  </c:pt>
                  <c:pt idx="129">
                    <c:v>9-Dec</c:v>
                  </c:pt>
                  <c:pt idx="130">
                    <c:v>10-Dec</c:v>
                  </c:pt>
                  <c:pt idx="131">
                    <c:v>11-Dec</c:v>
                  </c:pt>
                  <c:pt idx="132">
                    <c:v>12-Dec</c:v>
                  </c:pt>
                  <c:pt idx="133">
                    <c:v>13-Dec</c:v>
                  </c:pt>
                  <c:pt idx="134">
                    <c:v>14-Dec</c:v>
                  </c:pt>
                  <c:pt idx="135">
                    <c:v>15-Dec</c:v>
                  </c:pt>
                  <c:pt idx="136">
                    <c:v>16-Dec</c:v>
                  </c:pt>
                  <c:pt idx="137">
                    <c:v>17-Dec</c:v>
                  </c:pt>
                  <c:pt idx="138">
                    <c:v>18-Dec</c:v>
                  </c:pt>
                  <c:pt idx="139">
                    <c:v>19-Dec</c:v>
                  </c:pt>
                  <c:pt idx="140">
                    <c:v>20-Dec</c:v>
                  </c:pt>
                  <c:pt idx="141">
                    <c:v>21-Dec</c:v>
                  </c:pt>
                  <c:pt idx="142">
                    <c:v>22-Dec</c:v>
                  </c:pt>
                  <c:pt idx="143">
                    <c:v>23-Dec</c:v>
                  </c:pt>
                  <c:pt idx="144">
                    <c:v>24-Dec</c:v>
                  </c:pt>
                  <c:pt idx="145">
                    <c:v>25-Dec</c:v>
                  </c:pt>
                  <c:pt idx="146">
                    <c:v>26-Dec</c:v>
                  </c:pt>
                  <c:pt idx="147">
                    <c:v>27-Dec</c:v>
                  </c:pt>
                  <c:pt idx="148">
                    <c:v>28-Dec</c:v>
                  </c:pt>
                  <c:pt idx="149">
                    <c:v>29-Dec</c:v>
                  </c:pt>
                  <c:pt idx="150">
                    <c:v>30-Dec</c:v>
                  </c:pt>
                  <c:pt idx="151">
                    <c:v>31-Dec</c:v>
                  </c:pt>
                  <c:pt idx="152">
                    <c:v>1-Jan</c:v>
                  </c:pt>
                  <c:pt idx="153">
                    <c:v>2-Jan</c:v>
                  </c:pt>
                  <c:pt idx="154">
                    <c:v>3-Jan</c:v>
                  </c:pt>
                  <c:pt idx="155">
                    <c:v>4-Jan</c:v>
                  </c:pt>
                  <c:pt idx="156">
                    <c:v>5-Jan</c:v>
                  </c:pt>
                  <c:pt idx="157">
                    <c:v>6-Jan</c:v>
                  </c:pt>
                  <c:pt idx="158">
                    <c:v>7-Jan</c:v>
                  </c:pt>
                  <c:pt idx="159">
                    <c:v>8-Jan</c:v>
                  </c:pt>
                  <c:pt idx="160">
                    <c:v>9-Jan</c:v>
                  </c:pt>
                  <c:pt idx="161">
                    <c:v>10-Jan</c:v>
                  </c:pt>
                  <c:pt idx="162">
                    <c:v>11-Jan</c:v>
                  </c:pt>
                  <c:pt idx="163">
                    <c:v>12-Jan</c:v>
                  </c:pt>
                  <c:pt idx="164">
                    <c:v>13-Jan</c:v>
                  </c:pt>
                  <c:pt idx="165">
                    <c:v>14-Jan</c:v>
                  </c:pt>
                  <c:pt idx="166">
                    <c:v>15-Jan</c:v>
                  </c:pt>
                  <c:pt idx="167">
                    <c:v>16-Jan</c:v>
                  </c:pt>
                  <c:pt idx="168">
                    <c:v>17-Jan</c:v>
                  </c:pt>
                  <c:pt idx="169">
                    <c:v>18-Jan</c:v>
                  </c:pt>
                  <c:pt idx="170">
                    <c:v>19-Jan</c:v>
                  </c:pt>
                  <c:pt idx="171">
                    <c:v>20-Jan</c:v>
                  </c:pt>
                  <c:pt idx="172">
                    <c:v>21-Jan</c:v>
                  </c:pt>
                  <c:pt idx="173">
                    <c:v>22-Jan</c:v>
                  </c:pt>
                  <c:pt idx="174">
                    <c:v>23-Jan</c:v>
                  </c:pt>
                  <c:pt idx="175">
                    <c:v>24-Jan</c:v>
                  </c:pt>
                  <c:pt idx="176">
                    <c:v>25-Jan</c:v>
                  </c:pt>
                  <c:pt idx="177">
                    <c:v>26-Jan</c:v>
                  </c:pt>
                  <c:pt idx="178">
                    <c:v>27-Jan</c:v>
                  </c:pt>
                  <c:pt idx="179">
                    <c:v>28-Jan</c:v>
                  </c:pt>
                  <c:pt idx="180">
                    <c:v>29-Jan</c:v>
                  </c:pt>
                  <c:pt idx="181">
                    <c:v>30-Jan</c:v>
                  </c:pt>
                  <c:pt idx="182">
                    <c:v>31-Jan</c:v>
                  </c:pt>
                  <c:pt idx="183">
                    <c:v>1-Feb</c:v>
                  </c:pt>
                  <c:pt idx="184">
                    <c:v>2-Feb</c:v>
                  </c:pt>
                  <c:pt idx="185">
                    <c:v>3-Feb</c:v>
                  </c:pt>
                  <c:pt idx="186">
                    <c:v>4-Feb</c:v>
                  </c:pt>
                  <c:pt idx="187">
                    <c:v>5-Feb</c:v>
                  </c:pt>
                  <c:pt idx="188">
                    <c:v>6-Feb</c:v>
                  </c:pt>
                  <c:pt idx="189">
                    <c:v>7-Feb</c:v>
                  </c:pt>
                  <c:pt idx="190">
                    <c:v>8-Feb</c:v>
                  </c:pt>
                  <c:pt idx="191">
                    <c:v>9-Feb</c:v>
                  </c:pt>
                  <c:pt idx="192">
                    <c:v>10-Feb</c:v>
                  </c:pt>
                  <c:pt idx="193">
                    <c:v>11-Feb</c:v>
                  </c:pt>
                  <c:pt idx="194">
                    <c:v>12-Feb</c:v>
                  </c:pt>
                  <c:pt idx="195">
                    <c:v>13-Feb</c:v>
                  </c:pt>
                  <c:pt idx="196">
                    <c:v>14-Feb</c:v>
                  </c:pt>
                  <c:pt idx="197">
                    <c:v>15-Feb</c:v>
                  </c:pt>
                  <c:pt idx="198">
                    <c:v>16-Feb</c:v>
                  </c:pt>
                  <c:pt idx="199">
                    <c:v>17-Feb</c:v>
                  </c:pt>
                  <c:pt idx="200">
                    <c:v>18-Feb</c:v>
                  </c:pt>
                  <c:pt idx="201">
                    <c:v>19-Feb</c:v>
                  </c:pt>
                  <c:pt idx="202">
                    <c:v>20-Feb</c:v>
                  </c:pt>
                  <c:pt idx="203">
                    <c:v>21-Feb</c:v>
                  </c:pt>
                  <c:pt idx="204">
                    <c:v>22-Feb</c:v>
                  </c:pt>
                  <c:pt idx="205">
                    <c:v>23-Feb</c:v>
                  </c:pt>
                  <c:pt idx="206">
                    <c:v>24-Feb</c:v>
                  </c:pt>
                  <c:pt idx="207">
                    <c:v>25-Feb</c:v>
                  </c:pt>
                  <c:pt idx="208">
                    <c:v>26-Feb</c:v>
                  </c:pt>
                  <c:pt idx="209">
                    <c:v>27-Feb</c:v>
                  </c:pt>
                  <c:pt idx="210">
                    <c:v>28-Feb</c:v>
                  </c:pt>
                  <c:pt idx="211">
                    <c:v>1-Mar</c:v>
                  </c:pt>
                  <c:pt idx="212">
                    <c:v>2-Mar</c:v>
                  </c:pt>
                  <c:pt idx="213">
                    <c:v>3-Mar</c:v>
                  </c:pt>
                  <c:pt idx="214">
                    <c:v>4-Mar</c:v>
                  </c:pt>
                  <c:pt idx="215">
                    <c:v>5-Mar</c:v>
                  </c:pt>
                  <c:pt idx="216">
                    <c:v>6-Mar</c:v>
                  </c:pt>
                  <c:pt idx="217">
                    <c:v>7-Mar</c:v>
                  </c:pt>
                  <c:pt idx="218">
                    <c:v>8-Mar</c:v>
                  </c:pt>
                  <c:pt idx="219">
                    <c:v>9-Mar</c:v>
                  </c:pt>
                  <c:pt idx="220">
                    <c:v>10-Mar</c:v>
                  </c:pt>
                  <c:pt idx="221">
                    <c:v>11-Mar</c:v>
                  </c:pt>
                  <c:pt idx="222">
                    <c:v>12-Mar</c:v>
                  </c:pt>
                  <c:pt idx="223">
                    <c:v>13-Mar</c:v>
                  </c:pt>
                  <c:pt idx="224">
                    <c:v>14-Mar</c:v>
                  </c:pt>
                  <c:pt idx="225">
                    <c:v>15-Mar</c:v>
                  </c:pt>
                  <c:pt idx="226">
                    <c:v>16-Mar</c:v>
                  </c:pt>
                  <c:pt idx="227">
                    <c:v>17-Mar</c:v>
                  </c:pt>
                  <c:pt idx="228">
                    <c:v>18-Mar</c:v>
                  </c:pt>
                  <c:pt idx="229">
                    <c:v>19-Mar</c:v>
                  </c:pt>
                  <c:pt idx="230">
                    <c:v>20-Mar</c:v>
                  </c:pt>
                  <c:pt idx="231">
                    <c:v>21-Mar</c:v>
                  </c:pt>
                  <c:pt idx="232">
                    <c:v>22-Mar</c:v>
                  </c:pt>
                  <c:pt idx="233">
                    <c:v>23-Mar</c:v>
                  </c:pt>
                  <c:pt idx="234">
                    <c:v>24-Mar</c:v>
                  </c:pt>
                  <c:pt idx="235">
                    <c:v>25-Mar</c:v>
                  </c:pt>
                  <c:pt idx="236">
                    <c:v>26-Mar</c:v>
                  </c:pt>
                  <c:pt idx="237">
                    <c:v>27-Mar</c:v>
                  </c:pt>
                  <c:pt idx="238">
                    <c:v>28-Mar</c:v>
                  </c:pt>
                  <c:pt idx="239">
                    <c:v>29-Mar</c:v>
                  </c:pt>
                  <c:pt idx="240">
                    <c:v>30-Mar</c:v>
                  </c:pt>
                  <c:pt idx="241">
                    <c:v>31-Mar</c:v>
                  </c:pt>
                  <c:pt idx="242">
                    <c:v>1-Apr</c:v>
                  </c:pt>
                  <c:pt idx="243">
                    <c:v>2-Apr</c:v>
                  </c:pt>
                  <c:pt idx="244">
                    <c:v>3-Apr</c:v>
                  </c:pt>
                  <c:pt idx="245">
                    <c:v>4-Apr</c:v>
                  </c:pt>
                  <c:pt idx="246">
                    <c:v>5-Apr</c:v>
                  </c:pt>
                  <c:pt idx="247">
                    <c:v>6-Apr</c:v>
                  </c:pt>
                  <c:pt idx="248">
                    <c:v>7-Apr</c:v>
                  </c:pt>
                  <c:pt idx="249">
                    <c:v>8-Apr</c:v>
                  </c:pt>
                  <c:pt idx="250">
                    <c:v>9-Apr</c:v>
                  </c:pt>
                  <c:pt idx="251">
                    <c:v>10-Apr</c:v>
                  </c:pt>
                  <c:pt idx="252">
                    <c:v>11-Apr</c:v>
                  </c:pt>
                  <c:pt idx="253">
                    <c:v>12-Apr</c:v>
                  </c:pt>
                  <c:pt idx="254">
                    <c:v>13-Apr</c:v>
                  </c:pt>
                  <c:pt idx="255">
                    <c:v>14-Apr</c:v>
                  </c:pt>
                  <c:pt idx="256">
                    <c:v>15-Apr</c:v>
                  </c:pt>
                  <c:pt idx="257">
                    <c:v>16-Apr</c:v>
                  </c:pt>
                  <c:pt idx="258">
                    <c:v>17-Apr</c:v>
                  </c:pt>
                  <c:pt idx="259">
                    <c:v>18-Apr</c:v>
                  </c:pt>
                  <c:pt idx="260">
                    <c:v>19-Apr</c:v>
                  </c:pt>
                  <c:pt idx="261">
                    <c:v>20-Apr</c:v>
                  </c:pt>
                  <c:pt idx="262">
                    <c:v>21-Apr</c:v>
                  </c:pt>
                  <c:pt idx="263">
                    <c:v>22-Apr</c:v>
                  </c:pt>
                  <c:pt idx="264">
                    <c:v>23-Apr</c:v>
                  </c:pt>
                  <c:pt idx="265">
                    <c:v>24-Apr</c:v>
                  </c:pt>
                  <c:pt idx="266">
                    <c:v>25-Apr</c:v>
                  </c:pt>
                  <c:pt idx="267">
                    <c:v>26-Apr</c:v>
                  </c:pt>
                  <c:pt idx="268">
                    <c:v>27-Apr</c:v>
                  </c:pt>
                  <c:pt idx="269">
                    <c:v>28-Apr</c:v>
                  </c:pt>
                  <c:pt idx="270">
                    <c:v>29-Apr</c:v>
                  </c:pt>
                  <c:pt idx="271">
                    <c:v>30-Apr</c:v>
                  </c:pt>
                  <c:pt idx="272">
                    <c:v>1-May</c:v>
                  </c:pt>
                  <c:pt idx="273">
                    <c:v>2-May</c:v>
                  </c:pt>
                  <c:pt idx="274">
                    <c:v>3-May</c:v>
                  </c:pt>
                  <c:pt idx="275">
                    <c:v>4-May</c:v>
                  </c:pt>
                  <c:pt idx="276">
                    <c:v>5-May</c:v>
                  </c:pt>
                  <c:pt idx="277">
                    <c:v>6-May</c:v>
                  </c:pt>
                  <c:pt idx="278">
                    <c:v>7-May</c:v>
                  </c:pt>
                  <c:pt idx="279">
                    <c:v>8-May</c:v>
                  </c:pt>
                  <c:pt idx="280">
                    <c:v>9-May</c:v>
                  </c:pt>
                  <c:pt idx="281">
                    <c:v>10-May</c:v>
                  </c:pt>
                  <c:pt idx="282">
                    <c:v>11-May</c:v>
                  </c:pt>
                  <c:pt idx="283">
                    <c:v>12-May</c:v>
                  </c:pt>
                  <c:pt idx="284">
                    <c:v>13-May</c:v>
                  </c:pt>
                  <c:pt idx="285">
                    <c:v>14-May</c:v>
                  </c:pt>
                  <c:pt idx="286">
                    <c:v>15-May</c:v>
                  </c:pt>
                  <c:pt idx="287">
                    <c:v>16-May</c:v>
                  </c:pt>
                  <c:pt idx="288">
                    <c:v>17-May</c:v>
                  </c:pt>
                  <c:pt idx="289">
                    <c:v>18-May</c:v>
                  </c:pt>
                  <c:pt idx="290">
                    <c:v>19-May</c:v>
                  </c:pt>
                  <c:pt idx="291">
                    <c:v>20-May</c:v>
                  </c:pt>
                  <c:pt idx="292">
                    <c:v>21-May</c:v>
                  </c:pt>
                  <c:pt idx="293">
                    <c:v>22-May</c:v>
                  </c:pt>
                  <c:pt idx="294">
                    <c:v>23-May</c:v>
                  </c:pt>
                  <c:pt idx="295">
                    <c:v>24-May</c:v>
                  </c:pt>
                  <c:pt idx="296">
                    <c:v>25-May</c:v>
                  </c:pt>
                  <c:pt idx="297">
                    <c:v>26-May</c:v>
                  </c:pt>
                  <c:pt idx="298">
                    <c:v>27-May</c:v>
                  </c:pt>
                  <c:pt idx="299">
                    <c:v>28-May</c:v>
                  </c:pt>
                  <c:pt idx="300">
                    <c:v>29-May</c:v>
                  </c:pt>
                  <c:pt idx="301">
                    <c:v>30-May</c:v>
                  </c:pt>
                  <c:pt idx="302">
                    <c:v>31-May</c:v>
                  </c:pt>
                  <c:pt idx="303">
                    <c:v>1-Jun</c:v>
                  </c:pt>
                  <c:pt idx="304">
                    <c:v>2-Jun</c:v>
                  </c:pt>
                  <c:pt idx="305">
                    <c:v>3-Jun</c:v>
                  </c:pt>
                  <c:pt idx="306">
                    <c:v>4-Jun</c:v>
                  </c:pt>
                  <c:pt idx="307">
                    <c:v>5-Jun</c:v>
                  </c:pt>
                  <c:pt idx="308">
                    <c:v>6-Jun</c:v>
                  </c:pt>
                  <c:pt idx="309">
                    <c:v>7-Jun</c:v>
                  </c:pt>
                  <c:pt idx="310">
                    <c:v>8-Jun</c:v>
                  </c:pt>
                  <c:pt idx="311">
                    <c:v>9-Jun</c:v>
                  </c:pt>
                  <c:pt idx="312">
                    <c:v>10-Jun</c:v>
                  </c:pt>
                  <c:pt idx="313">
                    <c:v>11-Jun</c:v>
                  </c:pt>
                  <c:pt idx="314">
                    <c:v>12-Jun</c:v>
                  </c:pt>
                  <c:pt idx="315">
                    <c:v>13-Jun</c:v>
                  </c:pt>
                  <c:pt idx="316">
                    <c:v>14-Jun</c:v>
                  </c:pt>
                  <c:pt idx="317">
                    <c:v>15-Jun</c:v>
                  </c:pt>
                  <c:pt idx="318">
                    <c:v>16-Jun</c:v>
                  </c:pt>
                  <c:pt idx="319">
                    <c:v>17-Jun</c:v>
                  </c:pt>
                  <c:pt idx="320">
                    <c:v>18-Jun</c:v>
                  </c:pt>
                  <c:pt idx="321">
                    <c:v>19-Jun</c:v>
                  </c:pt>
                  <c:pt idx="322">
                    <c:v>20-Jun</c:v>
                  </c:pt>
                  <c:pt idx="323">
                    <c:v>21-Jun</c:v>
                  </c:pt>
                  <c:pt idx="324">
                    <c:v>22-Jun</c:v>
                  </c:pt>
                  <c:pt idx="325">
                    <c:v>23-Jun</c:v>
                  </c:pt>
                  <c:pt idx="326">
                    <c:v>24-Jun</c:v>
                  </c:pt>
                  <c:pt idx="327">
                    <c:v>25-Jun</c:v>
                  </c:pt>
                  <c:pt idx="328">
                    <c:v>26-Jun</c:v>
                  </c:pt>
                  <c:pt idx="329">
                    <c:v>27-Jun</c:v>
                  </c:pt>
                  <c:pt idx="330">
                    <c:v>28-Jun</c:v>
                  </c:pt>
                  <c:pt idx="331">
                    <c:v>29-Jun</c:v>
                  </c:pt>
                  <c:pt idx="332">
                    <c:v>30-Jun</c:v>
                  </c:pt>
                  <c:pt idx="333">
                    <c:v>1-Jul</c:v>
                  </c:pt>
                  <c:pt idx="334">
                    <c:v>2-Jul</c:v>
                  </c:pt>
                  <c:pt idx="335">
                    <c:v>3-Jul</c:v>
                  </c:pt>
                  <c:pt idx="336">
                    <c:v>4-Jul</c:v>
                  </c:pt>
                  <c:pt idx="337">
                    <c:v>5-Jul</c:v>
                  </c:pt>
                  <c:pt idx="338">
                    <c:v>6-Jul</c:v>
                  </c:pt>
                  <c:pt idx="339">
                    <c:v>7-Jul</c:v>
                  </c:pt>
                  <c:pt idx="340">
                    <c:v>8-Jul</c:v>
                  </c:pt>
                  <c:pt idx="341">
                    <c:v>9-Jul</c:v>
                  </c:pt>
                  <c:pt idx="342">
                    <c:v>10-Jul</c:v>
                  </c:pt>
                  <c:pt idx="343">
                    <c:v>11-Jul</c:v>
                  </c:pt>
                  <c:pt idx="344">
                    <c:v>12-Jul</c:v>
                  </c:pt>
                  <c:pt idx="345">
                    <c:v>13-Jul</c:v>
                  </c:pt>
                  <c:pt idx="346">
                    <c:v>14-Jul</c:v>
                  </c:pt>
                  <c:pt idx="347">
                    <c:v>15-Jul</c:v>
                  </c:pt>
                  <c:pt idx="348">
                    <c:v>16-Jul</c:v>
                  </c:pt>
                  <c:pt idx="349">
                    <c:v>17-Jul</c:v>
                  </c:pt>
                  <c:pt idx="350">
                    <c:v>18-Jul</c:v>
                  </c:pt>
                  <c:pt idx="351">
                    <c:v>19-Jul</c:v>
                  </c:pt>
                  <c:pt idx="352">
                    <c:v>20-Jul</c:v>
                  </c:pt>
                  <c:pt idx="353">
                    <c:v>21-Jul</c:v>
                  </c:pt>
                  <c:pt idx="354">
                    <c:v>22-Jul</c:v>
                  </c:pt>
                  <c:pt idx="355">
                    <c:v>23-Jul</c:v>
                  </c:pt>
                  <c:pt idx="356">
                    <c:v>24-Jul</c:v>
                  </c:pt>
                  <c:pt idx="357">
                    <c:v>25-Jul</c:v>
                  </c:pt>
                  <c:pt idx="358">
                    <c:v>26-Jul</c:v>
                  </c:pt>
                  <c:pt idx="359">
                    <c:v>27-Jul</c:v>
                  </c:pt>
                  <c:pt idx="360">
                    <c:v>28-Jul</c:v>
                  </c:pt>
                  <c:pt idx="361">
                    <c:v>29-Jul</c:v>
                  </c:pt>
                  <c:pt idx="362">
                    <c:v>30-Jul</c:v>
                  </c:pt>
                  <c:pt idx="363">
                    <c:v>31-Jul</c:v>
                  </c:pt>
                  <c:pt idx="364">
                    <c:v>1-Aug</c:v>
                  </c:pt>
                  <c:pt idx="365">
                    <c:v>2-Aug</c:v>
                  </c:pt>
                  <c:pt idx="366">
                    <c:v>3-Aug</c:v>
                  </c:pt>
                  <c:pt idx="367">
                    <c:v>4-Aug</c:v>
                  </c:pt>
                  <c:pt idx="368">
                    <c:v>5-Aug</c:v>
                  </c:pt>
                  <c:pt idx="369">
                    <c:v>6-Aug</c:v>
                  </c:pt>
                  <c:pt idx="370">
                    <c:v>7-Aug</c:v>
                  </c:pt>
                  <c:pt idx="371">
                    <c:v>8-Aug</c:v>
                  </c:pt>
                  <c:pt idx="372">
                    <c:v>9-Aug</c:v>
                  </c:pt>
                  <c:pt idx="373">
                    <c:v>10-Aug</c:v>
                  </c:pt>
                  <c:pt idx="374">
                    <c:v>11-Aug</c:v>
                  </c:pt>
                  <c:pt idx="375">
                    <c:v>12-Aug</c:v>
                  </c:pt>
                  <c:pt idx="376">
                    <c:v>13-Aug</c:v>
                  </c:pt>
                  <c:pt idx="377">
                    <c:v>14-Aug</c:v>
                  </c:pt>
                  <c:pt idx="378">
                    <c:v>15-Aug</c:v>
                  </c:pt>
                  <c:pt idx="379">
                    <c:v>16-Aug</c:v>
                  </c:pt>
                  <c:pt idx="380">
                    <c:v>17-Aug</c:v>
                  </c:pt>
                  <c:pt idx="381">
                    <c:v>18-Aug</c:v>
                  </c:pt>
                  <c:pt idx="382">
                    <c:v>19-Aug</c:v>
                  </c:pt>
                  <c:pt idx="383">
                    <c:v>20-Aug</c:v>
                  </c:pt>
                  <c:pt idx="384">
                    <c:v>21-Aug</c:v>
                  </c:pt>
                  <c:pt idx="385">
                    <c:v>22-Aug</c:v>
                  </c:pt>
                  <c:pt idx="386">
                    <c:v>23-Aug</c:v>
                  </c:pt>
                  <c:pt idx="387">
                    <c:v>24-Aug</c:v>
                  </c:pt>
                  <c:pt idx="388">
                    <c:v>25-Aug</c:v>
                  </c:pt>
                  <c:pt idx="389">
                    <c:v>26-Aug</c:v>
                  </c:pt>
                  <c:pt idx="390">
                    <c:v>27-Aug</c:v>
                  </c:pt>
                  <c:pt idx="391">
                    <c:v>28-Aug</c:v>
                  </c:pt>
                  <c:pt idx="392">
                    <c:v>29-Aug</c:v>
                  </c:pt>
                  <c:pt idx="393">
                    <c:v>30-Aug</c:v>
                  </c:pt>
                  <c:pt idx="394">
                    <c:v>31-Aug</c:v>
                  </c:pt>
                  <c:pt idx="395">
                    <c:v>1-Sep</c:v>
                  </c:pt>
                  <c:pt idx="396">
                    <c:v>2-Sep</c:v>
                  </c:pt>
                  <c:pt idx="397">
                    <c:v>3-Sep</c:v>
                  </c:pt>
                  <c:pt idx="398">
                    <c:v>4-Sep</c:v>
                  </c:pt>
                  <c:pt idx="399">
                    <c:v>5-Sep</c:v>
                  </c:pt>
                  <c:pt idx="400">
                    <c:v>6-Sep</c:v>
                  </c:pt>
                  <c:pt idx="401">
                    <c:v>7-Sep</c:v>
                  </c:pt>
                  <c:pt idx="402">
                    <c:v>8-Sep</c:v>
                  </c:pt>
                  <c:pt idx="403">
                    <c:v>9-Sep</c:v>
                  </c:pt>
                  <c:pt idx="404">
                    <c:v>10-Sep</c:v>
                  </c:pt>
                  <c:pt idx="405">
                    <c:v>11-Sep</c:v>
                  </c:pt>
                  <c:pt idx="406">
                    <c:v>12-Sep</c:v>
                  </c:pt>
                  <c:pt idx="407">
                    <c:v>13-Sep</c:v>
                  </c:pt>
                  <c:pt idx="408">
                    <c:v>14-Sep</c:v>
                  </c:pt>
                  <c:pt idx="409">
                    <c:v>15-Sep</c:v>
                  </c:pt>
                  <c:pt idx="410">
                    <c:v>16-Sep</c:v>
                  </c:pt>
                  <c:pt idx="411">
                    <c:v>17-Sep</c:v>
                  </c:pt>
                  <c:pt idx="412">
                    <c:v>18-Sep</c:v>
                  </c:pt>
                  <c:pt idx="413">
                    <c:v>19-Sep</c:v>
                  </c:pt>
                  <c:pt idx="414">
                    <c:v>20-Sep</c:v>
                  </c:pt>
                  <c:pt idx="415">
                    <c:v>21-Sep</c:v>
                  </c:pt>
                  <c:pt idx="416">
                    <c:v>22-Sep</c:v>
                  </c:pt>
                  <c:pt idx="417">
                    <c:v>23-Sep</c:v>
                  </c:pt>
                  <c:pt idx="418">
                    <c:v>24-Sep</c:v>
                  </c:pt>
                  <c:pt idx="419">
                    <c:v>25-Sep</c:v>
                  </c:pt>
                  <c:pt idx="420">
                    <c:v>26-Sep</c:v>
                  </c:pt>
                  <c:pt idx="421">
                    <c:v>27-Sep</c:v>
                  </c:pt>
                  <c:pt idx="422">
                    <c:v>28-Sep</c:v>
                  </c:pt>
                  <c:pt idx="423">
                    <c:v>29-Sep</c:v>
                  </c:pt>
                  <c:pt idx="424">
                    <c:v>30-Sep</c:v>
                  </c:pt>
                  <c:pt idx="425">
                    <c:v>1-Oct</c:v>
                  </c:pt>
                  <c:pt idx="426">
                    <c:v>2-Oct</c:v>
                  </c:pt>
                  <c:pt idx="427">
                    <c:v>3-Oct</c:v>
                  </c:pt>
                  <c:pt idx="428">
                    <c:v>4-Oct</c:v>
                  </c:pt>
                  <c:pt idx="429">
                    <c:v>5-Oct</c:v>
                  </c:pt>
                  <c:pt idx="430">
                    <c:v>6-Oct</c:v>
                  </c:pt>
                  <c:pt idx="431">
                    <c:v>7-Oct</c:v>
                  </c:pt>
                  <c:pt idx="432">
                    <c:v>8-Oct</c:v>
                  </c:pt>
                  <c:pt idx="433">
                    <c:v>9-Oct</c:v>
                  </c:pt>
                  <c:pt idx="434">
                    <c:v>10-Oct</c:v>
                  </c:pt>
                  <c:pt idx="435">
                    <c:v>11-Oct</c:v>
                  </c:pt>
                  <c:pt idx="436">
                    <c:v>12-Oct</c:v>
                  </c:pt>
                  <c:pt idx="437">
                    <c:v>13-Oct</c:v>
                  </c:pt>
                  <c:pt idx="438">
                    <c:v>14-Oct</c:v>
                  </c:pt>
                  <c:pt idx="439">
                    <c:v>15-Oct</c:v>
                  </c:pt>
                  <c:pt idx="440">
                    <c:v>16-Oct</c:v>
                  </c:pt>
                  <c:pt idx="441">
                    <c:v>17-Oct</c:v>
                  </c:pt>
                  <c:pt idx="442">
                    <c:v>18-Oct</c:v>
                  </c:pt>
                  <c:pt idx="443">
                    <c:v>19-Oct</c:v>
                  </c:pt>
                  <c:pt idx="444">
                    <c:v>20-Oct</c:v>
                  </c:pt>
                  <c:pt idx="445">
                    <c:v>21-Oct</c:v>
                  </c:pt>
                  <c:pt idx="446">
                    <c:v>22-Oct</c:v>
                  </c:pt>
                  <c:pt idx="447">
                    <c:v>23-Oct</c:v>
                  </c:pt>
                  <c:pt idx="448">
                    <c:v>24-Oct</c:v>
                  </c:pt>
                  <c:pt idx="449">
                    <c:v>25-Oct</c:v>
                  </c:pt>
                  <c:pt idx="450">
                    <c:v>26-Oct</c:v>
                  </c:pt>
                  <c:pt idx="451">
                    <c:v>27-Oct</c:v>
                  </c:pt>
                  <c:pt idx="452">
                    <c:v>28-Oct</c:v>
                  </c:pt>
                  <c:pt idx="453">
                    <c:v>29-Oct</c:v>
                  </c:pt>
                  <c:pt idx="454">
                    <c:v>30-Oct</c:v>
                  </c:pt>
                  <c:pt idx="455">
                    <c:v>31-Oct</c:v>
                  </c:pt>
                  <c:pt idx="456">
                    <c:v>1-Nov</c:v>
                  </c:pt>
                  <c:pt idx="457">
                    <c:v>2-Nov</c:v>
                  </c:pt>
                  <c:pt idx="458">
                    <c:v>3-Nov</c:v>
                  </c:pt>
                  <c:pt idx="459">
                    <c:v>4-Nov</c:v>
                  </c:pt>
                  <c:pt idx="460">
                    <c:v>5-Nov</c:v>
                  </c:pt>
                  <c:pt idx="461">
                    <c:v>6-Nov</c:v>
                  </c:pt>
                  <c:pt idx="462">
                    <c:v>7-Nov</c:v>
                  </c:pt>
                  <c:pt idx="463">
                    <c:v>8-Nov</c:v>
                  </c:pt>
                  <c:pt idx="464">
                    <c:v>9-Nov</c:v>
                  </c:pt>
                  <c:pt idx="465">
                    <c:v>10-Nov</c:v>
                  </c:pt>
                  <c:pt idx="466">
                    <c:v>11-Nov</c:v>
                  </c:pt>
                  <c:pt idx="467">
                    <c:v>12-Nov</c:v>
                  </c:pt>
                  <c:pt idx="468">
                    <c:v>13-Nov</c:v>
                  </c:pt>
                  <c:pt idx="469">
                    <c:v>14-Nov</c:v>
                  </c:pt>
                  <c:pt idx="470">
                    <c:v>15-Nov</c:v>
                  </c:pt>
                  <c:pt idx="471">
                    <c:v>16-Nov</c:v>
                  </c:pt>
                  <c:pt idx="472">
                    <c:v>17-Nov</c:v>
                  </c:pt>
                  <c:pt idx="473">
                    <c:v>18-Nov</c:v>
                  </c:pt>
                  <c:pt idx="474">
                    <c:v>19-Nov</c:v>
                  </c:pt>
                  <c:pt idx="475">
                    <c:v>20-Nov</c:v>
                  </c:pt>
                  <c:pt idx="476">
                    <c:v>21-Nov</c:v>
                  </c:pt>
                  <c:pt idx="477">
                    <c:v>22-Nov</c:v>
                  </c:pt>
                  <c:pt idx="478">
                    <c:v>23-Nov</c:v>
                  </c:pt>
                  <c:pt idx="479">
                    <c:v>24-Nov</c:v>
                  </c:pt>
                  <c:pt idx="480">
                    <c:v>25-Nov</c:v>
                  </c:pt>
                  <c:pt idx="481">
                    <c:v>26-Nov</c:v>
                  </c:pt>
                  <c:pt idx="482">
                    <c:v>27-Nov</c:v>
                  </c:pt>
                  <c:pt idx="483">
                    <c:v>28-Nov</c:v>
                  </c:pt>
                  <c:pt idx="484">
                    <c:v>29-Nov</c:v>
                  </c:pt>
                  <c:pt idx="485">
                    <c:v>30-Nov</c:v>
                  </c:pt>
                  <c:pt idx="486">
                    <c:v>1-Dec</c:v>
                  </c:pt>
                  <c:pt idx="487">
                    <c:v>2-Dec</c:v>
                  </c:pt>
                  <c:pt idx="488">
                    <c:v>3-Dec</c:v>
                  </c:pt>
                  <c:pt idx="489">
                    <c:v>4-Dec</c:v>
                  </c:pt>
                  <c:pt idx="490">
                    <c:v>5-Dec</c:v>
                  </c:pt>
                  <c:pt idx="491">
                    <c:v>6-Dec</c:v>
                  </c:pt>
                  <c:pt idx="492">
                    <c:v>7-Dec</c:v>
                  </c:pt>
                  <c:pt idx="493">
                    <c:v>8-Dec</c:v>
                  </c:pt>
                  <c:pt idx="494">
                    <c:v>9-Dec</c:v>
                  </c:pt>
                  <c:pt idx="495">
                    <c:v>10-Dec</c:v>
                  </c:pt>
                  <c:pt idx="496">
                    <c:v>11-Dec</c:v>
                  </c:pt>
                  <c:pt idx="497">
                    <c:v>12-Dec</c:v>
                  </c:pt>
                  <c:pt idx="498">
                    <c:v>13-Dec</c:v>
                  </c:pt>
                  <c:pt idx="499">
                    <c:v>14-Dec</c:v>
                  </c:pt>
                  <c:pt idx="500">
                    <c:v>15-Dec</c:v>
                  </c:pt>
                  <c:pt idx="501">
                    <c:v>16-Dec</c:v>
                  </c:pt>
                  <c:pt idx="502">
                    <c:v>17-Dec</c:v>
                  </c:pt>
                  <c:pt idx="503">
                    <c:v>18-Dec</c:v>
                  </c:pt>
                  <c:pt idx="504">
                    <c:v>19-Dec</c:v>
                  </c:pt>
                  <c:pt idx="505">
                    <c:v>20-Dec</c:v>
                  </c:pt>
                  <c:pt idx="506">
                    <c:v>21-Dec</c:v>
                  </c:pt>
                  <c:pt idx="507">
                    <c:v>22-Dec</c:v>
                  </c:pt>
                  <c:pt idx="508">
                    <c:v>23-Dec</c:v>
                  </c:pt>
                  <c:pt idx="509">
                    <c:v>24-Dec</c:v>
                  </c:pt>
                  <c:pt idx="510">
                    <c:v>25-Dec</c:v>
                  </c:pt>
                  <c:pt idx="511">
                    <c:v>26-Dec</c:v>
                  </c:pt>
                  <c:pt idx="512">
                    <c:v>27-Dec</c:v>
                  </c:pt>
                  <c:pt idx="513">
                    <c:v>28-Dec</c:v>
                  </c:pt>
                  <c:pt idx="514">
                    <c:v>29-Dec</c:v>
                  </c:pt>
                  <c:pt idx="515">
                    <c:v>30-Dec</c:v>
                  </c:pt>
                  <c:pt idx="516">
                    <c:v>31-Dec</c:v>
                  </c:pt>
                  <c:pt idx="517">
                    <c:v>1-Jan</c:v>
                  </c:pt>
                  <c:pt idx="518">
                    <c:v>2-Jan</c:v>
                  </c:pt>
                  <c:pt idx="519">
                    <c:v>3-Jan</c:v>
                  </c:pt>
                  <c:pt idx="520">
                    <c:v>4-Jan</c:v>
                  </c:pt>
                  <c:pt idx="521">
                    <c:v>5-Jan</c:v>
                  </c:pt>
                  <c:pt idx="522">
                    <c:v>6-Jan</c:v>
                  </c:pt>
                  <c:pt idx="523">
                    <c:v>7-Jan</c:v>
                  </c:pt>
                  <c:pt idx="524">
                    <c:v>8-Jan</c:v>
                  </c:pt>
                  <c:pt idx="525">
                    <c:v>9-Jan</c:v>
                  </c:pt>
                  <c:pt idx="526">
                    <c:v>10-Jan</c:v>
                  </c:pt>
                  <c:pt idx="527">
                    <c:v>11-Jan</c:v>
                  </c:pt>
                  <c:pt idx="528">
                    <c:v>12-Jan</c:v>
                  </c:pt>
                  <c:pt idx="529">
                    <c:v>13-Jan</c:v>
                  </c:pt>
                  <c:pt idx="530">
                    <c:v>14-Jan</c:v>
                  </c:pt>
                  <c:pt idx="531">
                    <c:v>15-Jan</c:v>
                  </c:pt>
                  <c:pt idx="532">
                    <c:v>16-Jan</c:v>
                  </c:pt>
                  <c:pt idx="533">
                    <c:v>17-Jan</c:v>
                  </c:pt>
                  <c:pt idx="534">
                    <c:v>18-Jan</c:v>
                  </c:pt>
                  <c:pt idx="535">
                    <c:v>19-Jan</c:v>
                  </c:pt>
                  <c:pt idx="536">
                    <c:v>20-Jan</c:v>
                  </c:pt>
                  <c:pt idx="537">
                    <c:v>21-Jan</c:v>
                  </c:pt>
                  <c:pt idx="538">
                    <c:v>22-Jan</c:v>
                  </c:pt>
                  <c:pt idx="539">
                    <c:v>23-Jan</c:v>
                  </c:pt>
                  <c:pt idx="540">
                    <c:v>24-Jan</c:v>
                  </c:pt>
                  <c:pt idx="541">
                    <c:v>25-Jan</c:v>
                  </c:pt>
                  <c:pt idx="542">
                    <c:v>26-Jan</c:v>
                  </c:pt>
                  <c:pt idx="543">
                    <c:v>27-Jan</c:v>
                  </c:pt>
                  <c:pt idx="544">
                    <c:v>28-Jan</c:v>
                  </c:pt>
                  <c:pt idx="545">
                    <c:v>29-Jan</c:v>
                  </c:pt>
                  <c:pt idx="546">
                    <c:v>30-Jan</c:v>
                  </c:pt>
                  <c:pt idx="547">
                    <c:v>31-Jan</c:v>
                  </c:pt>
                  <c:pt idx="548">
                    <c:v>1-Feb</c:v>
                  </c:pt>
                  <c:pt idx="549">
                    <c:v>2-Feb</c:v>
                  </c:pt>
                  <c:pt idx="550">
                    <c:v>3-Feb</c:v>
                  </c:pt>
                  <c:pt idx="551">
                    <c:v>4-Feb</c:v>
                  </c:pt>
                  <c:pt idx="552">
                    <c:v>5-Feb</c:v>
                  </c:pt>
                  <c:pt idx="553">
                    <c:v>6-Feb</c:v>
                  </c:pt>
                  <c:pt idx="554">
                    <c:v>7-Feb</c:v>
                  </c:pt>
                  <c:pt idx="555">
                    <c:v>8-Feb</c:v>
                  </c:pt>
                  <c:pt idx="556">
                    <c:v>9-Feb</c:v>
                  </c:pt>
                  <c:pt idx="557">
                    <c:v>10-Feb</c:v>
                  </c:pt>
                  <c:pt idx="558">
                    <c:v>11-Feb</c:v>
                  </c:pt>
                  <c:pt idx="559">
                    <c:v>12-Feb</c:v>
                  </c:pt>
                  <c:pt idx="560">
                    <c:v>13-Feb</c:v>
                  </c:pt>
                  <c:pt idx="561">
                    <c:v>14-Feb</c:v>
                  </c:pt>
                  <c:pt idx="562">
                    <c:v>15-Feb</c:v>
                  </c:pt>
                  <c:pt idx="563">
                    <c:v>16-Feb</c:v>
                  </c:pt>
                  <c:pt idx="564">
                    <c:v>17-Feb</c:v>
                  </c:pt>
                  <c:pt idx="565">
                    <c:v>18-Feb</c:v>
                  </c:pt>
                  <c:pt idx="566">
                    <c:v>19-Feb</c:v>
                  </c:pt>
                  <c:pt idx="567">
                    <c:v>20-Feb</c:v>
                  </c:pt>
                  <c:pt idx="568">
                    <c:v>21-Feb</c:v>
                  </c:pt>
                  <c:pt idx="569">
                    <c:v>22-Feb</c:v>
                  </c:pt>
                  <c:pt idx="570">
                    <c:v>23-Feb</c:v>
                  </c:pt>
                  <c:pt idx="571">
                    <c:v>24-Feb</c:v>
                  </c:pt>
                  <c:pt idx="572">
                    <c:v>25-Feb</c:v>
                  </c:pt>
                  <c:pt idx="573">
                    <c:v>26-Feb</c:v>
                  </c:pt>
                  <c:pt idx="574">
                    <c:v>27-Feb</c:v>
                  </c:pt>
                  <c:pt idx="575">
                    <c:v>28-Feb</c:v>
                  </c:pt>
                  <c:pt idx="576">
                    <c:v>1-Mar</c:v>
                  </c:pt>
                  <c:pt idx="577">
                    <c:v>2-Mar</c:v>
                  </c:pt>
                  <c:pt idx="578">
                    <c:v>3-Mar</c:v>
                  </c:pt>
                  <c:pt idx="579">
                    <c:v>4-Mar</c:v>
                  </c:pt>
                  <c:pt idx="580">
                    <c:v>5-Mar</c:v>
                  </c:pt>
                  <c:pt idx="581">
                    <c:v>6-Mar</c:v>
                  </c:pt>
                  <c:pt idx="582">
                    <c:v>7-Mar</c:v>
                  </c:pt>
                  <c:pt idx="583">
                    <c:v>8-Mar</c:v>
                  </c:pt>
                  <c:pt idx="584">
                    <c:v>9-Mar</c:v>
                  </c:pt>
                  <c:pt idx="585">
                    <c:v>10-Mar</c:v>
                  </c:pt>
                  <c:pt idx="586">
                    <c:v>11-Mar</c:v>
                  </c:pt>
                  <c:pt idx="587">
                    <c:v>12-Mar</c:v>
                  </c:pt>
                  <c:pt idx="588">
                    <c:v>13-Mar</c:v>
                  </c:pt>
                  <c:pt idx="589">
                    <c:v>14-Mar</c:v>
                  </c:pt>
                  <c:pt idx="590">
                    <c:v>15-Mar</c:v>
                  </c:pt>
                  <c:pt idx="591">
                    <c:v>16-Mar</c:v>
                  </c:pt>
                  <c:pt idx="592">
                    <c:v>17-Mar</c:v>
                  </c:pt>
                  <c:pt idx="593">
                    <c:v>18-Mar</c:v>
                  </c:pt>
                  <c:pt idx="594">
                    <c:v>19-Mar</c:v>
                  </c:pt>
                  <c:pt idx="595">
                    <c:v>20-Mar</c:v>
                  </c:pt>
                  <c:pt idx="596">
                    <c:v>21-Mar</c:v>
                  </c:pt>
                  <c:pt idx="597">
                    <c:v>22-Mar</c:v>
                  </c:pt>
                  <c:pt idx="598">
                    <c:v>23-Mar</c:v>
                  </c:pt>
                  <c:pt idx="599">
                    <c:v>24-Mar</c:v>
                  </c:pt>
                  <c:pt idx="600">
                    <c:v>25-Mar</c:v>
                  </c:pt>
                  <c:pt idx="601">
                    <c:v>26-Mar</c:v>
                  </c:pt>
                  <c:pt idx="602">
                    <c:v>27-Mar</c:v>
                  </c:pt>
                  <c:pt idx="603">
                    <c:v>28-Mar</c:v>
                  </c:pt>
                  <c:pt idx="604">
                    <c:v>29-Mar</c:v>
                  </c:pt>
                  <c:pt idx="605">
                    <c:v>30-Mar</c:v>
                  </c:pt>
                  <c:pt idx="606">
                    <c:v>31-Mar</c:v>
                  </c:pt>
                  <c:pt idx="607">
                    <c:v>1-Apr</c:v>
                  </c:pt>
                  <c:pt idx="608">
                    <c:v>2-Apr</c:v>
                  </c:pt>
                  <c:pt idx="609">
                    <c:v>3-Apr</c:v>
                  </c:pt>
                  <c:pt idx="610">
                    <c:v>4-Apr</c:v>
                  </c:pt>
                  <c:pt idx="611">
                    <c:v>5-Apr</c:v>
                  </c:pt>
                  <c:pt idx="612">
                    <c:v>6-Apr</c:v>
                  </c:pt>
                  <c:pt idx="613">
                    <c:v>7-Apr</c:v>
                  </c:pt>
                  <c:pt idx="614">
                    <c:v>8-Apr</c:v>
                  </c:pt>
                  <c:pt idx="615">
                    <c:v>9-Apr</c:v>
                  </c:pt>
                  <c:pt idx="616">
                    <c:v>10-Apr</c:v>
                  </c:pt>
                  <c:pt idx="617">
                    <c:v>11-Apr</c:v>
                  </c:pt>
                  <c:pt idx="618">
                    <c:v>12-Apr</c:v>
                  </c:pt>
                  <c:pt idx="619">
                    <c:v>13-Apr</c:v>
                  </c:pt>
                  <c:pt idx="620">
                    <c:v>14-Apr</c:v>
                  </c:pt>
                  <c:pt idx="621">
                    <c:v>15-Apr</c:v>
                  </c:pt>
                  <c:pt idx="622">
                    <c:v>16-Apr</c:v>
                  </c:pt>
                  <c:pt idx="623">
                    <c:v>17-Apr</c:v>
                  </c:pt>
                  <c:pt idx="624">
                    <c:v>18-Apr</c:v>
                  </c:pt>
                  <c:pt idx="625">
                    <c:v>19-Apr</c:v>
                  </c:pt>
                  <c:pt idx="626">
                    <c:v>20-Apr</c:v>
                  </c:pt>
                  <c:pt idx="627">
                    <c:v>21-Apr</c:v>
                  </c:pt>
                  <c:pt idx="628">
                    <c:v>22-Apr</c:v>
                  </c:pt>
                  <c:pt idx="629">
                    <c:v>23-Apr</c:v>
                  </c:pt>
                  <c:pt idx="630">
                    <c:v>24-Apr</c:v>
                  </c:pt>
                  <c:pt idx="631">
                    <c:v>25-Apr</c:v>
                  </c:pt>
                  <c:pt idx="632">
                    <c:v>26-Apr</c:v>
                  </c:pt>
                  <c:pt idx="633">
                    <c:v>27-Apr</c:v>
                  </c:pt>
                  <c:pt idx="634">
                    <c:v>28-Apr</c:v>
                  </c:pt>
                  <c:pt idx="635">
                    <c:v>29-Apr</c:v>
                  </c:pt>
                  <c:pt idx="636">
                    <c:v>30-Apr</c:v>
                  </c:pt>
                  <c:pt idx="637">
                    <c:v>1-May</c:v>
                  </c:pt>
                  <c:pt idx="638">
                    <c:v>2-May</c:v>
                  </c:pt>
                  <c:pt idx="639">
                    <c:v>3-May</c:v>
                  </c:pt>
                  <c:pt idx="640">
                    <c:v>4-May</c:v>
                  </c:pt>
                  <c:pt idx="641">
                    <c:v>5-May</c:v>
                  </c:pt>
                  <c:pt idx="642">
                    <c:v>6-May</c:v>
                  </c:pt>
                  <c:pt idx="643">
                    <c:v>7-May</c:v>
                  </c:pt>
                  <c:pt idx="644">
                    <c:v>8-May</c:v>
                  </c:pt>
                  <c:pt idx="645">
                    <c:v>9-May</c:v>
                  </c:pt>
                  <c:pt idx="646">
                    <c:v>10-May</c:v>
                  </c:pt>
                  <c:pt idx="647">
                    <c:v>11-May</c:v>
                  </c:pt>
                  <c:pt idx="648">
                    <c:v>12-May</c:v>
                  </c:pt>
                  <c:pt idx="649">
                    <c:v>13-May</c:v>
                  </c:pt>
                  <c:pt idx="650">
                    <c:v>14-May</c:v>
                  </c:pt>
                  <c:pt idx="651">
                    <c:v>15-May</c:v>
                  </c:pt>
                  <c:pt idx="652">
                    <c:v>16-May</c:v>
                  </c:pt>
                  <c:pt idx="653">
                    <c:v>17-May</c:v>
                  </c:pt>
                  <c:pt idx="654">
                    <c:v>18-May</c:v>
                  </c:pt>
                  <c:pt idx="655">
                    <c:v>19-May</c:v>
                  </c:pt>
                  <c:pt idx="656">
                    <c:v>20-May</c:v>
                  </c:pt>
                  <c:pt idx="657">
                    <c:v>21-May</c:v>
                  </c:pt>
                  <c:pt idx="658">
                    <c:v>22-May</c:v>
                  </c:pt>
                  <c:pt idx="659">
                    <c:v>23-May</c:v>
                  </c:pt>
                  <c:pt idx="660">
                    <c:v>24-May</c:v>
                  </c:pt>
                  <c:pt idx="661">
                    <c:v>25-May</c:v>
                  </c:pt>
                  <c:pt idx="662">
                    <c:v>26-May</c:v>
                  </c:pt>
                  <c:pt idx="663">
                    <c:v>27-May</c:v>
                  </c:pt>
                  <c:pt idx="664">
                    <c:v>28-May</c:v>
                  </c:pt>
                  <c:pt idx="665">
                    <c:v>29-May</c:v>
                  </c:pt>
                  <c:pt idx="666">
                    <c:v>30-May</c:v>
                  </c:pt>
                  <c:pt idx="667">
                    <c:v>31-May</c:v>
                  </c:pt>
                  <c:pt idx="668">
                    <c:v>1-Jun</c:v>
                  </c:pt>
                  <c:pt idx="669">
                    <c:v>2-Jun</c:v>
                  </c:pt>
                  <c:pt idx="670">
                    <c:v>3-Jun</c:v>
                  </c:pt>
                  <c:pt idx="671">
                    <c:v>4-Jun</c:v>
                  </c:pt>
                  <c:pt idx="672">
                    <c:v>5-Jun</c:v>
                  </c:pt>
                  <c:pt idx="673">
                    <c:v>6-Jun</c:v>
                  </c:pt>
                  <c:pt idx="674">
                    <c:v>7-Jun</c:v>
                  </c:pt>
                  <c:pt idx="675">
                    <c:v>8-Jun</c:v>
                  </c:pt>
                  <c:pt idx="676">
                    <c:v>9-Jun</c:v>
                  </c:pt>
                  <c:pt idx="677">
                    <c:v>10-Jun</c:v>
                  </c:pt>
                  <c:pt idx="678">
                    <c:v>11-Jun</c:v>
                  </c:pt>
                  <c:pt idx="679">
                    <c:v>12-Jun</c:v>
                  </c:pt>
                  <c:pt idx="680">
                    <c:v>13-Jun</c:v>
                  </c:pt>
                  <c:pt idx="681">
                    <c:v>14-Jun</c:v>
                  </c:pt>
                  <c:pt idx="682">
                    <c:v>15-Jun</c:v>
                  </c:pt>
                  <c:pt idx="683">
                    <c:v>16-Jun</c:v>
                  </c:pt>
                  <c:pt idx="684">
                    <c:v>17-Jun</c:v>
                  </c:pt>
                  <c:pt idx="685">
                    <c:v>18-Jun</c:v>
                  </c:pt>
                  <c:pt idx="686">
                    <c:v>19-Jun</c:v>
                  </c:pt>
                  <c:pt idx="687">
                    <c:v>20-Jun</c:v>
                  </c:pt>
                  <c:pt idx="688">
                    <c:v>21-Jun</c:v>
                  </c:pt>
                  <c:pt idx="689">
                    <c:v>22-Jun</c:v>
                  </c:pt>
                  <c:pt idx="690">
                    <c:v>23-Jun</c:v>
                  </c:pt>
                  <c:pt idx="691">
                    <c:v>24-Jun</c:v>
                  </c:pt>
                  <c:pt idx="692">
                    <c:v>25-Jun</c:v>
                  </c:pt>
                  <c:pt idx="693">
                    <c:v>26-Jun</c:v>
                  </c:pt>
                  <c:pt idx="694">
                    <c:v>27-Jun</c:v>
                  </c:pt>
                  <c:pt idx="695">
                    <c:v>28-Jun</c:v>
                  </c:pt>
                  <c:pt idx="696">
                    <c:v>29-Jun</c:v>
                  </c:pt>
                  <c:pt idx="697">
                    <c:v>30-Jun</c:v>
                  </c:pt>
                  <c:pt idx="698">
                    <c:v>1-Jul</c:v>
                  </c:pt>
                  <c:pt idx="699">
                    <c:v>2-Jul</c:v>
                  </c:pt>
                  <c:pt idx="700">
                    <c:v>3-Jul</c:v>
                  </c:pt>
                  <c:pt idx="701">
                    <c:v>4-Jul</c:v>
                  </c:pt>
                  <c:pt idx="702">
                    <c:v>5-Jul</c:v>
                  </c:pt>
                  <c:pt idx="703">
                    <c:v>6-Jul</c:v>
                  </c:pt>
                  <c:pt idx="704">
                    <c:v>7-Jul</c:v>
                  </c:pt>
                  <c:pt idx="705">
                    <c:v>8-Jul</c:v>
                  </c:pt>
                  <c:pt idx="706">
                    <c:v>9-Jul</c:v>
                  </c:pt>
                  <c:pt idx="707">
                    <c:v>10-Jul</c:v>
                  </c:pt>
                  <c:pt idx="708">
                    <c:v>11-Jul</c:v>
                  </c:pt>
                  <c:pt idx="709">
                    <c:v>12-Jul</c:v>
                  </c:pt>
                  <c:pt idx="710">
                    <c:v>13-Jul</c:v>
                  </c:pt>
                  <c:pt idx="711">
                    <c:v>14-Jul</c:v>
                  </c:pt>
                  <c:pt idx="712">
                    <c:v>15-Jul</c:v>
                  </c:pt>
                  <c:pt idx="713">
                    <c:v>16-Jul</c:v>
                  </c:pt>
                  <c:pt idx="714">
                    <c:v>17-Jul</c:v>
                  </c:pt>
                  <c:pt idx="715">
                    <c:v>18-Jul</c:v>
                  </c:pt>
                  <c:pt idx="716">
                    <c:v>19-Jul</c:v>
                  </c:pt>
                  <c:pt idx="717">
                    <c:v>20-Jul</c:v>
                  </c:pt>
                  <c:pt idx="718">
                    <c:v>21-Jul</c:v>
                  </c:pt>
                  <c:pt idx="719">
                    <c:v>22-Jul</c:v>
                  </c:pt>
                  <c:pt idx="720">
                    <c:v>23-Jul</c:v>
                  </c:pt>
                  <c:pt idx="721">
                    <c:v>24-Jul</c:v>
                  </c:pt>
                  <c:pt idx="722">
                    <c:v>25-Jul</c:v>
                  </c:pt>
                  <c:pt idx="723">
                    <c:v>26-Jul</c:v>
                  </c:pt>
                  <c:pt idx="724">
                    <c:v>27-Jul</c:v>
                  </c:pt>
                  <c:pt idx="725">
                    <c:v>28-Jul</c:v>
                  </c:pt>
                  <c:pt idx="726">
                    <c:v>29-Jul</c:v>
                  </c:pt>
                  <c:pt idx="727">
                    <c:v>30-Jul</c:v>
                  </c:pt>
                  <c:pt idx="728">
                    <c:v>31-Jul</c:v>
                  </c:pt>
                  <c:pt idx="729">
                    <c:v>1-Aug</c:v>
                  </c:pt>
                  <c:pt idx="730">
                    <c:v>2-Aug</c:v>
                  </c:pt>
                  <c:pt idx="731">
                    <c:v>3-Aug</c:v>
                  </c:pt>
                  <c:pt idx="732">
                    <c:v>4-Aug</c:v>
                  </c:pt>
                  <c:pt idx="733">
                    <c:v>5-Aug</c:v>
                  </c:pt>
                  <c:pt idx="734">
                    <c:v>6-Aug</c:v>
                  </c:pt>
                  <c:pt idx="735">
                    <c:v>7-Aug</c:v>
                  </c:pt>
                  <c:pt idx="736">
                    <c:v>8-Aug</c:v>
                  </c:pt>
                  <c:pt idx="737">
                    <c:v>9-Aug</c:v>
                  </c:pt>
                  <c:pt idx="738">
                    <c:v>10-Aug</c:v>
                  </c:pt>
                  <c:pt idx="739">
                    <c:v>11-Aug</c:v>
                  </c:pt>
                  <c:pt idx="740">
                    <c:v>12-Aug</c:v>
                  </c:pt>
                  <c:pt idx="741">
                    <c:v>13-Aug</c:v>
                  </c:pt>
                  <c:pt idx="742">
                    <c:v>14-Aug</c:v>
                  </c:pt>
                  <c:pt idx="743">
                    <c:v>15-Aug</c:v>
                  </c:pt>
                  <c:pt idx="744">
                    <c:v>16-Aug</c:v>
                  </c:pt>
                  <c:pt idx="745">
                    <c:v>17-Aug</c:v>
                  </c:pt>
                  <c:pt idx="746">
                    <c:v>18-Aug</c:v>
                  </c:pt>
                  <c:pt idx="747">
                    <c:v>19-Aug</c:v>
                  </c:pt>
                  <c:pt idx="748">
                    <c:v>20-Aug</c:v>
                  </c:pt>
                  <c:pt idx="749">
                    <c:v>21-Aug</c:v>
                  </c:pt>
                  <c:pt idx="750">
                    <c:v>22-Aug</c:v>
                  </c:pt>
                  <c:pt idx="751">
                    <c:v>23-Aug</c:v>
                  </c:pt>
                  <c:pt idx="752">
                    <c:v>24-Aug</c:v>
                  </c:pt>
                  <c:pt idx="753">
                    <c:v>25-Aug</c:v>
                  </c:pt>
                  <c:pt idx="754">
                    <c:v>26-Aug</c:v>
                  </c:pt>
                  <c:pt idx="755">
                    <c:v>27-Aug</c:v>
                  </c:pt>
                  <c:pt idx="756">
                    <c:v>28-Aug</c:v>
                  </c:pt>
                  <c:pt idx="757">
                    <c:v>29-Aug</c:v>
                  </c:pt>
                  <c:pt idx="758">
                    <c:v>30-Aug</c:v>
                  </c:pt>
                  <c:pt idx="759">
                    <c:v>31-Aug</c:v>
                  </c:pt>
                  <c:pt idx="760">
                    <c:v>1-Sep</c:v>
                  </c:pt>
                  <c:pt idx="761">
                    <c:v>2-Sep</c:v>
                  </c:pt>
                  <c:pt idx="762">
                    <c:v>3-Sep</c:v>
                  </c:pt>
                  <c:pt idx="763">
                    <c:v>4-Sep</c:v>
                  </c:pt>
                  <c:pt idx="764">
                    <c:v>5-Sep</c:v>
                  </c:pt>
                  <c:pt idx="765">
                    <c:v>6-Sep</c:v>
                  </c:pt>
                  <c:pt idx="766">
                    <c:v>7-Sep</c:v>
                  </c:pt>
                  <c:pt idx="767">
                    <c:v>8-Sep</c:v>
                  </c:pt>
                  <c:pt idx="768">
                    <c:v>9-Sep</c:v>
                  </c:pt>
                  <c:pt idx="769">
                    <c:v>10-Sep</c:v>
                  </c:pt>
                  <c:pt idx="770">
                    <c:v>11-Sep</c:v>
                  </c:pt>
                  <c:pt idx="771">
                    <c:v>12-Sep</c:v>
                  </c:pt>
                  <c:pt idx="772">
                    <c:v>13-Sep</c:v>
                  </c:pt>
                  <c:pt idx="773">
                    <c:v>14-Sep</c:v>
                  </c:pt>
                  <c:pt idx="774">
                    <c:v>15-Sep</c:v>
                  </c:pt>
                  <c:pt idx="775">
                    <c:v>16-Sep</c:v>
                  </c:pt>
                  <c:pt idx="776">
                    <c:v>17-Sep</c:v>
                  </c:pt>
                  <c:pt idx="777">
                    <c:v>18-Sep</c:v>
                  </c:pt>
                  <c:pt idx="778">
                    <c:v>19-Sep</c:v>
                  </c:pt>
                  <c:pt idx="779">
                    <c:v>20-Sep</c:v>
                  </c:pt>
                  <c:pt idx="780">
                    <c:v>21-Sep</c:v>
                  </c:pt>
                  <c:pt idx="781">
                    <c:v>22-Sep</c:v>
                  </c:pt>
                  <c:pt idx="782">
                    <c:v>23-Sep</c:v>
                  </c:pt>
                  <c:pt idx="783">
                    <c:v>24-Sep</c:v>
                  </c:pt>
                  <c:pt idx="784">
                    <c:v>25-Sep</c:v>
                  </c:pt>
                  <c:pt idx="785">
                    <c:v>26-Sep</c:v>
                  </c:pt>
                  <c:pt idx="786">
                    <c:v>27-Sep</c:v>
                  </c:pt>
                  <c:pt idx="787">
                    <c:v>28-Sep</c:v>
                  </c:pt>
                  <c:pt idx="788">
                    <c:v>29-Sep</c:v>
                  </c:pt>
                  <c:pt idx="789">
                    <c:v>30-Sep</c:v>
                  </c:pt>
                  <c:pt idx="790">
                    <c:v>1-Oct</c:v>
                  </c:pt>
                  <c:pt idx="791">
                    <c:v>2-Oct</c:v>
                  </c:pt>
                  <c:pt idx="792">
                    <c:v>3-Oct</c:v>
                  </c:pt>
                  <c:pt idx="793">
                    <c:v>4-Oct</c:v>
                  </c:pt>
                  <c:pt idx="794">
                    <c:v>5-Oct</c:v>
                  </c:pt>
                  <c:pt idx="795">
                    <c:v>6-Oct</c:v>
                  </c:pt>
                  <c:pt idx="796">
                    <c:v>7-Oct</c:v>
                  </c:pt>
                  <c:pt idx="797">
                    <c:v>8-Oct</c:v>
                  </c:pt>
                  <c:pt idx="798">
                    <c:v>9-Oct</c:v>
                  </c:pt>
                  <c:pt idx="799">
                    <c:v>10-Oct</c:v>
                  </c:pt>
                  <c:pt idx="800">
                    <c:v>11-Oct</c:v>
                  </c:pt>
                  <c:pt idx="801">
                    <c:v>12-Oct</c:v>
                  </c:pt>
                  <c:pt idx="802">
                    <c:v>13-Oct</c:v>
                  </c:pt>
                  <c:pt idx="803">
                    <c:v>14-Oct</c:v>
                  </c:pt>
                  <c:pt idx="804">
                    <c:v>15-Oct</c:v>
                  </c:pt>
                  <c:pt idx="805">
                    <c:v>16-Oct</c:v>
                  </c:pt>
                  <c:pt idx="806">
                    <c:v>17-Oct</c:v>
                  </c:pt>
                  <c:pt idx="807">
                    <c:v>18-Oct</c:v>
                  </c:pt>
                  <c:pt idx="808">
                    <c:v>19-Oct</c:v>
                  </c:pt>
                  <c:pt idx="809">
                    <c:v>20-Oct</c:v>
                  </c:pt>
                  <c:pt idx="810">
                    <c:v>21-Oct</c:v>
                  </c:pt>
                  <c:pt idx="811">
                    <c:v>22-Oct</c:v>
                  </c:pt>
                  <c:pt idx="812">
                    <c:v>23-Oct</c:v>
                  </c:pt>
                  <c:pt idx="813">
                    <c:v>24-Oct</c:v>
                  </c:pt>
                  <c:pt idx="814">
                    <c:v>25-Oct</c:v>
                  </c:pt>
                  <c:pt idx="815">
                    <c:v>26-Oct</c:v>
                  </c:pt>
                  <c:pt idx="816">
                    <c:v>27-Oct</c:v>
                  </c:pt>
                  <c:pt idx="817">
                    <c:v>28-Oct</c:v>
                  </c:pt>
                  <c:pt idx="818">
                    <c:v>29-Oct</c:v>
                  </c:pt>
                  <c:pt idx="819">
                    <c:v>30-Oct</c:v>
                  </c:pt>
                  <c:pt idx="820">
                    <c:v>31-Oct</c:v>
                  </c:pt>
                  <c:pt idx="821">
                    <c:v>1-Nov</c:v>
                  </c:pt>
                  <c:pt idx="822">
                    <c:v>2-Nov</c:v>
                  </c:pt>
                  <c:pt idx="823">
                    <c:v>3-Nov</c:v>
                  </c:pt>
                  <c:pt idx="824">
                    <c:v>4-Nov</c:v>
                  </c:pt>
                  <c:pt idx="825">
                    <c:v>5-Nov</c:v>
                  </c:pt>
                  <c:pt idx="826">
                    <c:v>6-Nov</c:v>
                  </c:pt>
                  <c:pt idx="827">
                    <c:v>7-Nov</c:v>
                  </c:pt>
                  <c:pt idx="828">
                    <c:v>8-Nov</c:v>
                  </c:pt>
                  <c:pt idx="829">
                    <c:v>9-Nov</c:v>
                  </c:pt>
                  <c:pt idx="830">
                    <c:v>10-Nov</c:v>
                  </c:pt>
                  <c:pt idx="831">
                    <c:v>11-Nov</c:v>
                  </c:pt>
                  <c:pt idx="832">
                    <c:v>12-Nov</c:v>
                  </c:pt>
                  <c:pt idx="833">
                    <c:v>13-Nov</c:v>
                  </c:pt>
                  <c:pt idx="834">
                    <c:v>14-Nov</c:v>
                  </c:pt>
                  <c:pt idx="835">
                    <c:v>15-Nov</c:v>
                  </c:pt>
                  <c:pt idx="836">
                    <c:v>16-Nov</c:v>
                  </c:pt>
                  <c:pt idx="837">
                    <c:v>17-Nov</c:v>
                  </c:pt>
                  <c:pt idx="838">
                    <c:v>18-Nov</c:v>
                  </c:pt>
                  <c:pt idx="839">
                    <c:v>19-Nov</c:v>
                  </c:pt>
                  <c:pt idx="840">
                    <c:v>20-Nov</c:v>
                  </c:pt>
                  <c:pt idx="841">
                    <c:v>21-Nov</c:v>
                  </c:pt>
                  <c:pt idx="842">
                    <c:v>22-Nov</c:v>
                  </c:pt>
                  <c:pt idx="843">
                    <c:v>23-Nov</c:v>
                  </c:pt>
                  <c:pt idx="844">
                    <c:v>24-Nov</c:v>
                  </c:pt>
                  <c:pt idx="845">
                    <c:v>25-Nov</c:v>
                  </c:pt>
                  <c:pt idx="846">
                    <c:v>26-Nov</c:v>
                  </c:pt>
                  <c:pt idx="847">
                    <c:v>27-Nov</c:v>
                  </c:pt>
                  <c:pt idx="848">
                    <c:v>28-Nov</c:v>
                  </c:pt>
                  <c:pt idx="849">
                    <c:v>29-Nov</c:v>
                  </c:pt>
                  <c:pt idx="850">
                    <c:v>30-Nov</c:v>
                  </c:pt>
                  <c:pt idx="851">
                    <c:v>1-Dec</c:v>
                  </c:pt>
                  <c:pt idx="852">
                    <c:v>2-Dec</c:v>
                  </c:pt>
                  <c:pt idx="853">
                    <c:v>3-Dec</c:v>
                  </c:pt>
                  <c:pt idx="854">
                    <c:v>4-Dec</c:v>
                  </c:pt>
                  <c:pt idx="855">
                    <c:v>5-Dec</c:v>
                  </c:pt>
                  <c:pt idx="856">
                    <c:v>6-Dec</c:v>
                  </c:pt>
                  <c:pt idx="857">
                    <c:v>7-Dec</c:v>
                  </c:pt>
                  <c:pt idx="858">
                    <c:v>8-Dec</c:v>
                  </c:pt>
                  <c:pt idx="859">
                    <c:v>9-Dec</c:v>
                  </c:pt>
                  <c:pt idx="860">
                    <c:v>10-Dec</c:v>
                  </c:pt>
                  <c:pt idx="861">
                    <c:v>11-Dec</c:v>
                  </c:pt>
                  <c:pt idx="862">
                    <c:v>12-Dec</c:v>
                  </c:pt>
                  <c:pt idx="863">
                    <c:v>13-Dec</c:v>
                  </c:pt>
                  <c:pt idx="864">
                    <c:v>14-Dec</c:v>
                  </c:pt>
                  <c:pt idx="865">
                    <c:v>15-Dec</c:v>
                  </c:pt>
                  <c:pt idx="866">
                    <c:v>16-Dec</c:v>
                  </c:pt>
                  <c:pt idx="867">
                    <c:v>17-Dec</c:v>
                  </c:pt>
                  <c:pt idx="868">
                    <c:v>18-Dec</c:v>
                  </c:pt>
                  <c:pt idx="869">
                    <c:v>19-Dec</c:v>
                  </c:pt>
                  <c:pt idx="870">
                    <c:v>20-Dec</c:v>
                  </c:pt>
                  <c:pt idx="871">
                    <c:v>21-Dec</c:v>
                  </c:pt>
                  <c:pt idx="872">
                    <c:v>22-Dec</c:v>
                  </c:pt>
                  <c:pt idx="873">
                    <c:v>23-Dec</c:v>
                  </c:pt>
                  <c:pt idx="874">
                    <c:v>24-Dec</c:v>
                  </c:pt>
                  <c:pt idx="875">
                    <c:v>25-Dec</c:v>
                  </c:pt>
                  <c:pt idx="876">
                    <c:v>26-Dec</c:v>
                  </c:pt>
                  <c:pt idx="877">
                    <c:v>27-Dec</c:v>
                  </c:pt>
                  <c:pt idx="878">
                    <c:v>28-Dec</c:v>
                  </c:pt>
                  <c:pt idx="879">
                    <c:v>29-Dec</c:v>
                  </c:pt>
                  <c:pt idx="880">
                    <c:v>30-Dec</c:v>
                  </c:pt>
                  <c:pt idx="881">
                    <c:v>31-Dec</c:v>
                  </c:pt>
                  <c:pt idx="882">
                    <c:v>1-Jan</c:v>
                  </c:pt>
                  <c:pt idx="883">
                    <c:v>2-Jan</c:v>
                  </c:pt>
                  <c:pt idx="884">
                    <c:v>3-Jan</c:v>
                  </c:pt>
                  <c:pt idx="885">
                    <c:v>4-Jan</c:v>
                  </c:pt>
                  <c:pt idx="886">
                    <c:v>5-Jan</c:v>
                  </c:pt>
                  <c:pt idx="887">
                    <c:v>6-Jan</c:v>
                  </c:pt>
                  <c:pt idx="888">
                    <c:v>7-Jan</c:v>
                  </c:pt>
                  <c:pt idx="889">
                    <c:v>8-Jan</c:v>
                  </c:pt>
                  <c:pt idx="890">
                    <c:v>9-Jan</c:v>
                  </c:pt>
                  <c:pt idx="891">
                    <c:v>10-Jan</c:v>
                  </c:pt>
                  <c:pt idx="892">
                    <c:v>11-Jan</c:v>
                  </c:pt>
                  <c:pt idx="893">
                    <c:v>12-Jan</c:v>
                  </c:pt>
                  <c:pt idx="894">
                    <c:v>13-Jan</c:v>
                  </c:pt>
                  <c:pt idx="895">
                    <c:v>14-Jan</c:v>
                  </c:pt>
                  <c:pt idx="896">
                    <c:v>15-Jan</c:v>
                  </c:pt>
                  <c:pt idx="897">
                    <c:v>16-Jan</c:v>
                  </c:pt>
                  <c:pt idx="898">
                    <c:v>17-Jan</c:v>
                  </c:pt>
                  <c:pt idx="899">
                    <c:v>18-Jan</c:v>
                  </c:pt>
                  <c:pt idx="900">
                    <c:v>19-Jan</c:v>
                  </c:pt>
                  <c:pt idx="901">
                    <c:v>20-Jan</c:v>
                  </c:pt>
                  <c:pt idx="902">
                    <c:v>21-Jan</c:v>
                  </c:pt>
                  <c:pt idx="903">
                    <c:v>22-Jan</c:v>
                  </c:pt>
                  <c:pt idx="904">
                    <c:v>23-Jan</c:v>
                  </c:pt>
                  <c:pt idx="905">
                    <c:v>24-Jan</c:v>
                  </c:pt>
                  <c:pt idx="906">
                    <c:v>25-Jan</c:v>
                  </c:pt>
                  <c:pt idx="907">
                    <c:v>26-Jan</c:v>
                  </c:pt>
                  <c:pt idx="908">
                    <c:v>27-Jan</c:v>
                  </c:pt>
                  <c:pt idx="909">
                    <c:v>28-Jan</c:v>
                  </c:pt>
                  <c:pt idx="910">
                    <c:v>29-Jan</c:v>
                  </c:pt>
                  <c:pt idx="911">
                    <c:v>30-Jan</c:v>
                  </c:pt>
                  <c:pt idx="912">
                    <c:v>31-Jan</c:v>
                  </c:pt>
                  <c:pt idx="913">
                    <c:v>1-Feb</c:v>
                  </c:pt>
                  <c:pt idx="914">
                    <c:v>2-Feb</c:v>
                  </c:pt>
                  <c:pt idx="915">
                    <c:v>3-Feb</c:v>
                  </c:pt>
                  <c:pt idx="916">
                    <c:v>4-Feb</c:v>
                  </c:pt>
                  <c:pt idx="917">
                    <c:v>5-Feb</c:v>
                  </c:pt>
                  <c:pt idx="918">
                    <c:v>6-Feb</c:v>
                  </c:pt>
                  <c:pt idx="919">
                    <c:v>7-Feb</c:v>
                  </c:pt>
                  <c:pt idx="920">
                    <c:v>8-Feb</c:v>
                  </c:pt>
                  <c:pt idx="921">
                    <c:v>9-Feb</c:v>
                  </c:pt>
                  <c:pt idx="922">
                    <c:v>10-Feb</c:v>
                  </c:pt>
                  <c:pt idx="923">
                    <c:v>11-Feb</c:v>
                  </c:pt>
                  <c:pt idx="924">
                    <c:v>12-Feb</c:v>
                  </c:pt>
                  <c:pt idx="925">
                    <c:v>13-Feb</c:v>
                  </c:pt>
                  <c:pt idx="926">
                    <c:v>14-Feb</c:v>
                  </c:pt>
                  <c:pt idx="927">
                    <c:v>15-Feb</c:v>
                  </c:pt>
                  <c:pt idx="928">
                    <c:v>16-Feb</c:v>
                  </c:pt>
                  <c:pt idx="929">
                    <c:v>17-Feb</c:v>
                  </c:pt>
                  <c:pt idx="930">
                    <c:v>18-Feb</c:v>
                  </c:pt>
                  <c:pt idx="931">
                    <c:v>19-Feb</c:v>
                  </c:pt>
                  <c:pt idx="932">
                    <c:v>20-Feb</c:v>
                  </c:pt>
                  <c:pt idx="933">
                    <c:v>21-Feb</c:v>
                  </c:pt>
                  <c:pt idx="934">
                    <c:v>22-Feb</c:v>
                  </c:pt>
                  <c:pt idx="935">
                    <c:v>23-Feb</c:v>
                  </c:pt>
                  <c:pt idx="936">
                    <c:v>24-Feb</c:v>
                  </c:pt>
                  <c:pt idx="937">
                    <c:v>25-Feb</c:v>
                  </c:pt>
                  <c:pt idx="938">
                    <c:v>26-Feb</c:v>
                  </c:pt>
                  <c:pt idx="939">
                    <c:v>27-Feb</c:v>
                  </c:pt>
                  <c:pt idx="940">
                    <c:v>28-Feb</c:v>
                  </c:pt>
                  <c:pt idx="941">
                    <c:v>29-Feb</c:v>
                  </c:pt>
                  <c:pt idx="942">
                    <c:v>1-Mar</c:v>
                  </c:pt>
                  <c:pt idx="943">
                    <c:v>2-Mar</c:v>
                  </c:pt>
                  <c:pt idx="944">
                    <c:v>3-Mar</c:v>
                  </c:pt>
                  <c:pt idx="945">
                    <c:v>4-Mar</c:v>
                  </c:pt>
                  <c:pt idx="946">
                    <c:v>5-Mar</c:v>
                  </c:pt>
                  <c:pt idx="947">
                    <c:v>6-Mar</c:v>
                  </c:pt>
                  <c:pt idx="948">
                    <c:v>7-Mar</c:v>
                  </c:pt>
                  <c:pt idx="949">
                    <c:v>8-Mar</c:v>
                  </c:pt>
                  <c:pt idx="950">
                    <c:v>9-Mar</c:v>
                  </c:pt>
                  <c:pt idx="951">
                    <c:v>10-Mar</c:v>
                  </c:pt>
                  <c:pt idx="952">
                    <c:v>11-Mar</c:v>
                  </c:pt>
                  <c:pt idx="953">
                    <c:v>12-Mar</c:v>
                  </c:pt>
                  <c:pt idx="954">
                    <c:v>13-Mar</c:v>
                  </c:pt>
                  <c:pt idx="955">
                    <c:v>14-Mar</c:v>
                  </c:pt>
                  <c:pt idx="956">
                    <c:v>15-Mar</c:v>
                  </c:pt>
                  <c:pt idx="957">
                    <c:v>16-Mar</c:v>
                  </c:pt>
                  <c:pt idx="958">
                    <c:v>17-Mar</c:v>
                  </c:pt>
                  <c:pt idx="959">
                    <c:v>18-Mar</c:v>
                  </c:pt>
                  <c:pt idx="960">
                    <c:v>19-Mar</c:v>
                  </c:pt>
                  <c:pt idx="961">
                    <c:v>20-Mar</c:v>
                  </c:pt>
                  <c:pt idx="962">
                    <c:v>21-Mar</c:v>
                  </c:pt>
                  <c:pt idx="963">
                    <c:v>22-Mar</c:v>
                  </c:pt>
                  <c:pt idx="964">
                    <c:v>23-Mar</c:v>
                  </c:pt>
                  <c:pt idx="965">
                    <c:v>24-Mar</c:v>
                  </c:pt>
                  <c:pt idx="966">
                    <c:v>25-Mar</c:v>
                  </c:pt>
                  <c:pt idx="967">
                    <c:v>26-Mar</c:v>
                  </c:pt>
                  <c:pt idx="968">
                    <c:v>27-Mar</c:v>
                  </c:pt>
                  <c:pt idx="969">
                    <c:v>28-Mar</c:v>
                  </c:pt>
                  <c:pt idx="970">
                    <c:v>29-Mar</c:v>
                  </c:pt>
                  <c:pt idx="971">
                    <c:v>30-Mar</c:v>
                  </c:pt>
                  <c:pt idx="972">
                    <c:v>31-Mar</c:v>
                  </c:pt>
                  <c:pt idx="973">
                    <c:v>1-Apr</c:v>
                  </c:pt>
                  <c:pt idx="974">
                    <c:v>2-Apr</c:v>
                  </c:pt>
                  <c:pt idx="975">
                    <c:v>3-Apr</c:v>
                  </c:pt>
                  <c:pt idx="976">
                    <c:v>4-Apr</c:v>
                  </c:pt>
                  <c:pt idx="977">
                    <c:v>5-Apr</c:v>
                  </c:pt>
                  <c:pt idx="978">
                    <c:v>6-Apr</c:v>
                  </c:pt>
                  <c:pt idx="979">
                    <c:v>7-Apr</c:v>
                  </c:pt>
                  <c:pt idx="980">
                    <c:v>8-Apr</c:v>
                  </c:pt>
                  <c:pt idx="981">
                    <c:v>9-Apr</c:v>
                  </c:pt>
                  <c:pt idx="982">
                    <c:v>10-Apr</c:v>
                  </c:pt>
                  <c:pt idx="983">
                    <c:v>11-Apr</c:v>
                  </c:pt>
                  <c:pt idx="984">
                    <c:v>12-Apr</c:v>
                  </c:pt>
                  <c:pt idx="985">
                    <c:v>13-Apr</c:v>
                  </c:pt>
                  <c:pt idx="986">
                    <c:v>14-Apr</c:v>
                  </c:pt>
                  <c:pt idx="987">
                    <c:v>15-Apr</c:v>
                  </c:pt>
                  <c:pt idx="988">
                    <c:v>16-Apr</c:v>
                  </c:pt>
                  <c:pt idx="989">
                    <c:v>17-Apr</c:v>
                  </c:pt>
                  <c:pt idx="990">
                    <c:v>18-Apr</c:v>
                  </c:pt>
                  <c:pt idx="991">
                    <c:v>19-Apr</c:v>
                  </c:pt>
                  <c:pt idx="992">
                    <c:v>20-Apr</c:v>
                  </c:pt>
                  <c:pt idx="993">
                    <c:v>21-Apr</c:v>
                  </c:pt>
                  <c:pt idx="994">
                    <c:v>22-Apr</c:v>
                  </c:pt>
                  <c:pt idx="995">
                    <c:v>23-Apr</c:v>
                  </c:pt>
                  <c:pt idx="996">
                    <c:v>24-Apr</c:v>
                  </c:pt>
                  <c:pt idx="997">
                    <c:v>25-Apr</c:v>
                  </c:pt>
                  <c:pt idx="998">
                    <c:v>26-Apr</c:v>
                  </c:pt>
                  <c:pt idx="999">
                    <c:v>27-Apr</c:v>
                  </c:pt>
                  <c:pt idx="1000">
                    <c:v>28-Apr</c:v>
                  </c:pt>
                  <c:pt idx="1001">
                    <c:v>29-Apr</c:v>
                  </c:pt>
                  <c:pt idx="1002">
                    <c:v>30-Apr</c:v>
                  </c:pt>
                  <c:pt idx="1003">
                    <c:v>1-May</c:v>
                  </c:pt>
                  <c:pt idx="1004">
                    <c:v>2-May</c:v>
                  </c:pt>
                  <c:pt idx="1005">
                    <c:v>3-May</c:v>
                  </c:pt>
                  <c:pt idx="1006">
                    <c:v>4-May</c:v>
                  </c:pt>
                  <c:pt idx="1007">
                    <c:v>5-May</c:v>
                  </c:pt>
                  <c:pt idx="1008">
                    <c:v>6-May</c:v>
                  </c:pt>
                  <c:pt idx="1009">
                    <c:v>7-May</c:v>
                  </c:pt>
                  <c:pt idx="1010">
                    <c:v>8-May</c:v>
                  </c:pt>
                  <c:pt idx="1011">
                    <c:v>9-May</c:v>
                  </c:pt>
                  <c:pt idx="1012">
                    <c:v>10-May</c:v>
                  </c:pt>
                  <c:pt idx="1013">
                    <c:v>11-May</c:v>
                  </c:pt>
                  <c:pt idx="1014">
                    <c:v>12-May</c:v>
                  </c:pt>
                  <c:pt idx="1015">
                    <c:v>13-May</c:v>
                  </c:pt>
                  <c:pt idx="1016">
                    <c:v>14-May</c:v>
                  </c:pt>
                  <c:pt idx="1017">
                    <c:v>15-May</c:v>
                  </c:pt>
                  <c:pt idx="1018">
                    <c:v>16-May</c:v>
                  </c:pt>
                  <c:pt idx="1019">
                    <c:v>17-May</c:v>
                  </c:pt>
                  <c:pt idx="1020">
                    <c:v>18-May</c:v>
                  </c:pt>
                  <c:pt idx="1021">
                    <c:v>19-May</c:v>
                  </c:pt>
                  <c:pt idx="1022">
                    <c:v>20-May</c:v>
                  </c:pt>
                  <c:pt idx="1023">
                    <c:v>21-May</c:v>
                  </c:pt>
                  <c:pt idx="1024">
                    <c:v>22-May</c:v>
                  </c:pt>
                  <c:pt idx="1025">
                    <c:v>23-May</c:v>
                  </c:pt>
                  <c:pt idx="1026">
                    <c:v>24-May</c:v>
                  </c:pt>
                  <c:pt idx="1027">
                    <c:v>25-May</c:v>
                  </c:pt>
                  <c:pt idx="1028">
                    <c:v>26-May</c:v>
                  </c:pt>
                  <c:pt idx="1029">
                    <c:v>27-May</c:v>
                  </c:pt>
                  <c:pt idx="1030">
                    <c:v>28-May</c:v>
                  </c:pt>
                  <c:pt idx="1031">
                    <c:v>29-May</c:v>
                  </c:pt>
                  <c:pt idx="1032">
                    <c:v>30-May</c:v>
                  </c:pt>
                  <c:pt idx="1033">
                    <c:v>31-May</c:v>
                  </c:pt>
                  <c:pt idx="1034">
                    <c:v>1-Jun</c:v>
                  </c:pt>
                  <c:pt idx="1035">
                    <c:v>2-Jun</c:v>
                  </c:pt>
                  <c:pt idx="1036">
                    <c:v>3-Jun</c:v>
                  </c:pt>
                  <c:pt idx="1037">
                    <c:v>4-Jun</c:v>
                  </c:pt>
                  <c:pt idx="1038">
                    <c:v>5-Jun</c:v>
                  </c:pt>
                  <c:pt idx="1039">
                    <c:v>6-Jun</c:v>
                  </c:pt>
                  <c:pt idx="1040">
                    <c:v>7-Jun</c:v>
                  </c:pt>
                  <c:pt idx="1041">
                    <c:v>8-Jun</c:v>
                  </c:pt>
                  <c:pt idx="1042">
                    <c:v>9-Jun</c:v>
                  </c:pt>
                  <c:pt idx="1043">
                    <c:v>10-Jun</c:v>
                  </c:pt>
                  <c:pt idx="1044">
                    <c:v>11-Jun</c:v>
                  </c:pt>
                  <c:pt idx="1045">
                    <c:v>12-Jun</c:v>
                  </c:pt>
                  <c:pt idx="1046">
                    <c:v>13-Jun</c:v>
                  </c:pt>
                  <c:pt idx="1047">
                    <c:v>14-Jun</c:v>
                  </c:pt>
                  <c:pt idx="1048">
                    <c:v>15-Jun</c:v>
                  </c:pt>
                  <c:pt idx="1049">
                    <c:v>16-Jun</c:v>
                  </c:pt>
                  <c:pt idx="1050">
                    <c:v>17-Jun</c:v>
                  </c:pt>
                  <c:pt idx="1051">
                    <c:v>18-Jun</c:v>
                  </c:pt>
                  <c:pt idx="1052">
                    <c:v>19-Jun</c:v>
                  </c:pt>
                  <c:pt idx="1053">
                    <c:v>20-Jun</c:v>
                  </c:pt>
                  <c:pt idx="1054">
                    <c:v>21-Jun</c:v>
                  </c:pt>
                  <c:pt idx="1055">
                    <c:v>22-Jun</c:v>
                  </c:pt>
                  <c:pt idx="1056">
                    <c:v>23-Jun</c:v>
                  </c:pt>
                  <c:pt idx="1057">
                    <c:v>24-Jun</c:v>
                  </c:pt>
                  <c:pt idx="1058">
                    <c:v>25-Jun</c:v>
                  </c:pt>
                  <c:pt idx="1059">
                    <c:v>26-Jun</c:v>
                  </c:pt>
                  <c:pt idx="1060">
                    <c:v>27-Jun</c:v>
                  </c:pt>
                  <c:pt idx="1061">
                    <c:v>28-Jun</c:v>
                  </c:pt>
                  <c:pt idx="1062">
                    <c:v>29-Jun</c:v>
                  </c:pt>
                  <c:pt idx="1063">
                    <c:v>30-Jun</c:v>
                  </c:pt>
                  <c:pt idx="1064">
                    <c:v>1-Jul</c:v>
                  </c:pt>
                  <c:pt idx="1065">
                    <c:v>2-Jul</c:v>
                  </c:pt>
                  <c:pt idx="1066">
                    <c:v>3-Jul</c:v>
                  </c:pt>
                  <c:pt idx="1067">
                    <c:v>4-Jul</c:v>
                  </c:pt>
                  <c:pt idx="1068">
                    <c:v>5-Jul</c:v>
                  </c:pt>
                  <c:pt idx="1069">
                    <c:v>6-Jul</c:v>
                  </c:pt>
                  <c:pt idx="1070">
                    <c:v>7-Jul</c:v>
                  </c:pt>
                  <c:pt idx="1071">
                    <c:v>8-Jul</c:v>
                  </c:pt>
                  <c:pt idx="1072">
                    <c:v>9-Jul</c:v>
                  </c:pt>
                  <c:pt idx="1073">
                    <c:v>10-Jul</c:v>
                  </c:pt>
                  <c:pt idx="1074">
                    <c:v>11-Jul</c:v>
                  </c:pt>
                  <c:pt idx="1075">
                    <c:v>12-Jul</c:v>
                  </c:pt>
                  <c:pt idx="1076">
                    <c:v>13-Jul</c:v>
                  </c:pt>
                  <c:pt idx="1077">
                    <c:v>14-Jul</c:v>
                  </c:pt>
                  <c:pt idx="1078">
                    <c:v>15-Jul</c:v>
                  </c:pt>
                  <c:pt idx="1079">
                    <c:v>16-Jul</c:v>
                  </c:pt>
                  <c:pt idx="1080">
                    <c:v>17-Jul</c:v>
                  </c:pt>
                  <c:pt idx="1081">
                    <c:v>18-Jul</c:v>
                  </c:pt>
                  <c:pt idx="1082">
                    <c:v>19-Jul</c:v>
                  </c:pt>
                  <c:pt idx="1083">
                    <c:v>20-Jul</c:v>
                  </c:pt>
                  <c:pt idx="1084">
                    <c:v>21-Jul</c:v>
                  </c:pt>
                  <c:pt idx="1085">
                    <c:v>22-Jul</c:v>
                  </c:pt>
                  <c:pt idx="1086">
                    <c:v>23-Jul</c:v>
                  </c:pt>
                  <c:pt idx="1087">
                    <c:v>24-Jul</c:v>
                  </c:pt>
                  <c:pt idx="1088">
                    <c:v>25-Jul</c:v>
                  </c:pt>
                  <c:pt idx="1089">
                    <c:v>26-Jul</c:v>
                  </c:pt>
                  <c:pt idx="1090">
                    <c:v>27-Jul</c:v>
                  </c:pt>
                  <c:pt idx="1091">
                    <c:v>28-Jul</c:v>
                  </c:pt>
                  <c:pt idx="1092">
                    <c:v>29-Jul</c:v>
                  </c:pt>
                  <c:pt idx="1093">
                    <c:v>30-Jul</c:v>
                  </c:pt>
                  <c:pt idx="1094">
                    <c:v>31-Jul</c:v>
                  </c:pt>
                  <c:pt idx="1095">
                    <c:v>1-Aug</c:v>
                  </c:pt>
                  <c:pt idx="1096">
                    <c:v>2-Aug</c:v>
                  </c:pt>
                  <c:pt idx="1097">
                    <c:v>3-Aug</c:v>
                  </c:pt>
                  <c:pt idx="1098">
                    <c:v>4-Aug</c:v>
                  </c:pt>
                  <c:pt idx="1099">
                    <c:v>5-Aug</c:v>
                  </c:pt>
                  <c:pt idx="1100">
                    <c:v>6-Aug</c:v>
                  </c:pt>
                  <c:pt idx="1101">
                    <c:v>7-Aug</c:v>
                  </c:pt>
                  <c:pt idx="1102">
                    <c:v>8-Aug</c:v>
                  </c:pt>
                  <c:pt idx="1103">
                    <c:v>9-Aug</c:v>
                  </c:pt>
                  <c:pt idx="1104">
                    <c:v>10-Aug</c:v>
                  </c:pt>
                  <c:pt idx="1105">
                    <c:v>11-Aug</c:v>
                  </c:pt>
                  <c:pt idx="1106">
                    <c:v>12-Aug</c:v>
                  </c:pt>
                  <c:pt idx="1107">
                    <c:v>13-Aug</c:v>
                  </c:pt>
                  <c:pt idx="1108">
                    <c:v>14-Aug</c:v>
                  </c:pt>
                  <c:pt idx="1109">
                    <c:v>15-Aug</c:v>
                  </c:pt>
                  <c:pt idx="1110">
                    <c:v>16-Aug</c:v>
                  </c:pt>
                  <c:pt idx="1111">
                    <c:v>17-Aug</c:v>
                  </c:pt>
                  <c:pt idx="1112">
                    <c:v>18-Aug</c:v>
                  </c:pt>
                  <c:pt idx="1113">
                    <c:v>19-Aug</c:v>
                  </c:pt>
                  <c:pt idx="1114">
                    <c:v>20-Aug</c:v>
                  </c:pt>
                  <c:pt idx="1115">
                    <c:v>21-Aug</c:v>
                  </c:pt>
                  <c:pt idx="1116">
                    <c:v>22-Aug</c:v>
                  </c:pt>
                  <c:pt idx="1117">
                    <c:v>23-Aug</c:v>
                  </c:pt>
                  <c:pt idx="1118">
                    <c:v>24-Aug</c:v>
                  </c:pt>
                  <c:pt idx="1119">
                    <c:v>25-Aug</c:v>
                  </c:pt>
                  <c:pt idx="1120">
                    <c:v>26-Aug</c:v>
                  </c:pt>
                  <c:pt idx="1121">
                    <c:v>27-Aug</c:v>
                  </c:pt>
                  <c:pt idx="1122">
                    <c:v>28-Aug</c:v>
                  </c:pt>
                  <c:pt idx="1123">
                    <c:v>29-Aug</c:v>
                  </c:pt>
                  <c:pt idx="1124">
                    <c:v>30-Aug</c:v>
                  </c:pt>
                  <c:pt idx="1125">
                    <c:v>31-Aug</c:v>
                  </c:pt>
                  <c:pt idx="1126">
                    <c:v>1-Sep</c:v>
                  </c:pt>
                  <c:pt idx="1127">
                    <c:v>2-Sep</c:v>
                  </c:pt>
                  <c:pt idx="1128">
                    <c:v>3-Sep</c:v>
                  </c:pt>
                  <c:pt idx="1129">
                    <c:v>4-Sep</c:v>
                  </c:pt>
                  <c:pt idx="1130">
                    <c:v>5-Sep</c:v>
                  </c:pt>
                  <c:pt idx="1131">
                    <c:v>6-Sep</c:v>
                  </c:pt>
                  <c:pt idx="1132">
                    <c:v>7-Sep</c:v>
                  </c:pt>
                  <c:pt idx="1133">
                    <c:v>8-Sep</c:v>
                  </c:pt>
                  <c:pt idx="1134">
                    <c:v>9-Sep</c:v>
                  </c:pt>
                  <c:pt idx="1135">
                    <c:v>10-Sep</c:v>
                  </c:pt>
                  <c:pt idx="1136">
                    <c:v>11-Sep</c:v>
                  </c:pt>
                  <c:pt idx="1137">
                    <c:v>12-Sep</c:v>
                  </c:pt>
                  <c:pt idx="1138">
                    <c:v>13-Sep</c:v>
                  </c:pt>
                  <c:pt idx="1139">
                    <c:v>14-Sep</c:v>
                  </c:pt>
                  <c:pt idx="1140">
                    <c:v>15-Sep</c:v>
                  </c:pt>
                  <c:pt idx="1141">
                    <c:v>16-Sep</c:v>
                  </c:pt>
                  <c:pt idx="1142">
                    <c:v>17-Sep</c:v>
                  </c:pt>
                  <c:pt idx="1143">
                    <c:v>18-Sep</c:v>
                  </c:pt>
                  <c:pt idx="1144">
                    <c:v>19-Sep</c:v>
                  </c:pt>
                  <c:pt idx="1145">
                    <c:v>20-Sep</c:v>
                  </c:pt>
                  <c:pt idx="1146">
                    <c:v>21-Sep</c:v>
                  </c:pt>
                  <c:pt idx="1147">
                    <c:v>22-Sep</c:v>
                  </c:pt>
                  <c:pt idx="1148">
                    <c:v>23-Sep</c:v>
                  </c:pt>
                  <c:pt idx="1149">
                    <c:v>24-Sep</c:v>
                  </c:pt>
                  <c:pt idx="1150">
                    <c:v>25-Sep</c:v>
                  </c:pt>
                  <c:pt idx="1151">
                    <c:v>26-Sep</c:v>
                  </c:pt>
                  <c:pt idx="1152">
                    <c:v>27-Sep</c:v>
                  </c:pt>
                  <c:pt idx="1153">
                    <c:v>28-Sep</c:v>
                  </c:pt>
                  <c:pt idx="1154">
                    <c:v>29-Sep</c:v>
                  </c:pt>
                  <c:pt idx="1155">
                    <c:v>30-Sep</c:v>
                  </c:pt>
                  <c:pt idx="1156">
                    <c:v>1-Oct</c:v>
                  </c:pt>
                  <c:pt idx="1157">
                    <c:v>2-Oct</c:v>
                  </c:pt>
                  <c:pt idx="1158">
                    <c:v>3-Oct</c:v>
                  </c:pt>
                  <c:pt idx="1159">
                    <c:v>4-Oct</c:v>
                  </c:pt>
                  <c:pt idx="1160">
                    <c:v>5-Oct</c:v>
                  </c:pt>
                  <c:pt idx="1161">
                    <c:v>6-Oct</c:v>
                  </c:pt>
                  <c:pt idx="1162">
                    <c:v>7-Oct</c:v>
                  </c:pt>
                  <c:pt idx="1163">
                    <c:v>8-Oct</c:v>
                  </c:pt>
                  <c:pt idx="1164">
                    <c:v>9-Oct</c:v>
                  </c:pt>
                  <c:pt idx="1165">
                    <c:v>10-Oct</c:v>
                  </c:pt>
                  <c:pt idx="1166">
                    <c:v>11-Oct</c:v>
                  </c:pt>
                  <c:pt idx="1167">
                    <c:v>12-Oct</c:v>
                  </c:pt>
                </c:lvl>
                <c:lvl>
                  <c:pt idx="0">
                    <c:v>2017</c:v>
                  </c:pt>
                  <c:pt idx="152">
                    <c:v>2018</c:v>
                  </c:pt>
                  <c:pt idx="517">
                    <c:v>2019</c:v>
                  </c:pt>
                  <c:pt idx="882">
                    <c:v>2020</c:v>
                  </c:pt>
                </c:lvl>
              </c:multiLvlStrCache>
            </c:multiLvlStrRef>
          </c:cat>
          <c:val>
            <c:numRef>
              <c:f>tvl_pivot!$D$4:$D$1176</c:f>
              <c:numCache>
                <c:formatCode>General</c:formatCode>
                <c:ptCount val="1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319620</c:v>
                </c:pt>
                <c:pt idx="891">
                  <c:v>429423</c:v>
                </c:pt>
                <c:pt idx="892">
                  <c:v>812149</c:v>
                </c:pt>
                <c:pt idx="893">
                  <c:v>993936</c:v>
                </c:pt>
                <c:pt idx="894">
                  <c:v>1145212</c:v>
                </c:pt>
                <c:pt idx="895">
                  <c:v>2013974</c:v>
                </c:pt>
                <c:pt idx="896">
                  <c:v>2037786</c:v>
                </c:pt>
                <c:pt idx="897">
                  <c:v>2217877</c:v>
                </c:pt>
                <c:pt idx="898">
                  <c:v>2397260</c:v>
                </c:pt>
                <c:pt idx="899">
                  <c:v>2518152</c:v>
                </c:pt>
                <c:pt idx="900">
                  <c:v>2648338</c:v>
                </c:pt>
                <c:pt idx="901">
                  <c:v>2956981</c:v>
                </c:pt>
                <c:pt idx="902">
                  <c:v>3006996</c:v>
                </c:pt>
                <c:pt idx="903">
                  <c:v>3772805</c:v>
                </c:pt>
                <c:pt idx="904">
                  <c:v>4020737</c:v>
                </c:pt>
                <c:pt idx="905">
                  <c:v>3949684</c:v>
                </c:pt>
                <c:pt idx="906">
                  <c:v>4158881</c:v>
                </c:pt>
                <c:pt idx="907">
                  <c:v>4136532</c:v>
                </c:pt>
                <c:pt idx="908">
                  <c:v>4481439</c:v>
                </c:pt>
                <c:pt idx="909">
                  <c:v>4707850</c:v>
                </c:pt>
                <c:pt idx="910">
                  <c:v>5033854</c:v>
                </c:pt>
                <c:pt idx="911">
                  <c:v>4978321</c:v>
                </c:pt>
                <c:pt idx="912">
                  <c:v>5308317</c:v>
                </c:pt>
                <c:pt idx="913">
                  <c:v>5501333</c:v>
                </c:pt>
                <c:pt idx="914">
                  <c:v>5840371</c:v>
                </c:pt>
                <c:pt idx="915">
                  <c:v>6232633</c:v>
                </c:pt>
                <c:pt idx="916">
                  <c:v>6654286</c:v>
                </c:pt>
                <c:pt idx="917">
                  <c:v>7038091</c:v>
                </c:pt>
                <c:pt idx="918">
                  <c:v>7741429</c:v>
                </c:pt>
                <c:pt idx="919">
                  <c:v>8190244</c:v>
                </c:pt>
                <c:pt idx="920">
                  <c:v>9296669</c:v>
                </c:pt>
                <c:pt idx="921">
                  <c:v>9278590</c:v>
                </c:pt>
                <c:pt idx="922">
                  <c:v>10128531</c:v>
                </c:pt>
                <c:pt idx="923">
                  <c:v>10146617</c:v>
                </c:pt>
                <c:pt idx="924">
                  <c:v>10978955</c:v>
                </c:pt>
                <c:pt idx="925">
                  <c:v>11430328</c:v>
                </c:pt>
                <c:pt idx="926">
                  <c:v>12009511</c:v>
                </c:pt>
                <c:pt idx="927">
                  <c:v>14313984</c:v>
                </c:pt>
                <c:pt idx="928">
                  <c:v>13851130</c:v>
                </c:pt>
                <c:pt idx="929">
                  <c:v>14275359</c:v>
                </c:pt>
                <c:pt idx="930">
                  <c:v>14566604</c:v>
                </c:pt>
                <c:pt idx="931">
                  <c:v>15371513</c:v>
                </c:pt>
                <c:pt idx="932">
                  <c:v>14582324</c:v>
                </c:pt>
                <c:pt idx="933">
                  <c:v>15248290</c:v>
                </c:pt>
                <c:pt idx="934">
                  <c:v>15728012</c:v>
                </c:pt>
                <c:pt idx="935">
                  <c:v>15595441</c:v>
                </c:pt>
                <c:pt idx="936">
                  <c:v>16180780</c:v>
                </c:pt>
                <c:pt idx="937">
                  <c:v>16508845</c:v>
                </c:pt>
                <c:pt idx="938">
                  <c:v>15588551</c:v>
                </c:pt>
                <c:pt idx="939">
                  <c:v>18634128</c:v>
                </c:pt>
                <c:pt idx="940">
                  <c:v>19497219</c:v>
                </c:pt>
                <c:pt idx="941">
                  <c:v>20342783</c:v>
                </c:pt>
                <c:pt idx="942">
                  <c:v>20320134</c:v>
                </c:pt>
                <c:pt idx="943">
                  <c:v>20519363</c:v>
                </c:pt>
                <c:pt idx="944">
                  <c:v>21029088</c:v>
                </c:pt>
                <c:pt idx="945">
                  <c:v>21933848</c:v>
                </c:pt>
                <c:pt idx="946">
                  <c:v>21863168</c:v>
                </c:pt>
                <c:pt idx="947">
                  <c:v>22989841</c:v>
                </c:pt>
                <c:pt idx="948">
                  <c:v>23768670</c:v>
                </c:pt>
                <c:pt idx="949">
                  <c:v>22463695</c:v>
                </c:pt>
                <c:pt idx="950">
                  <c:v>26274281</c:v>
                </c:pt>
                <c:pt idx="951">
                  <c:v>27237089</c:v>
                </c:pt>
                <c:pt idx="952">
                  <c:v>27430745</c:v>
                </c:pt>
                <c:pt idx="953">
                  <c:v>27578054</c:v>
                </c:pt>
                <c:pt idx="954">
                  <c:v>19735871</c:v>
                </c:pt>
                <c:pt idx="955">
                  <c:v>24915277</c:v>
                </c:pt>
                <c:pt idx="956">
                  <c:v>24011171</c:v>
                </c:pt>
                <c:pt idx="957">
                  <c:v>25527899</c:v>
                </c:pt>
                <c:pt idx="958">
                  <c:v>23949023</c:v>
                </c:pt>
                <c:pt idx="959">
                  <c:v>23467351</c:v>
                </c:pt>
                <c:pt idx="960">
                  <c:v>25017574</c:v>
                </c:pt>
                <c:pt idx="961">
                  <c:v>27252807</c:v>
                </c:pt>
                <c:pt idx="962">
                  <c:v>28542811</c:v>
                </c:pt>
                <c:pt idx="963">
                  <c:v>30862493</c:v>
                </c:pt>
                <c:pt idx="964">
                  <c:v>26725152</c:v>
                </c:pt>
                <c:pt idx="965">
                  <c:v>29076831</c:v>
                </c:pt>
                <c:pt idx="966">
                  <c:v>29282748</c:v>
                </c:pt>
                <c:pt idx="967">
                  <c:v>28612093</c:v>
                </c:pt>
                <c:pt idx="968">
                  <c:v>30143309</c:v>
                </c:pt>
                <c:pt idx="969">
                  <c:v>29297432</c:v>
                </c:pt>
                <c:pt idx="970">
                  <c:v>29312843</c:v>
                </c:pt>
                <c:pt idx="971">
                  <c:v>27635738</c:v>
                </c:pt>
                <c:pt idx="972">
                  <c:v>28744641</c:v>
                </c:pt>
                <c:pt idx="973">
                  <c:v>29616651</c:v>
                </c:pt>
                <c:pt idx="974">
                  <c:v>29778170</c:v>
                </c:pt>
                <c:pt idx="975">
                  <c:v>30176346</c:v>
                </c:pt>
                <c:pt idx="976">
                  <c:v>30432402</c:v>
                </c:pt>
                <c:pt idx="977">
                  <c:v>30947985</c:v>
                </c:pt>
                <c:pt idx="978">
                  <c:v>30636560</c:v>
                </c:pt>
                <c:pt idx="979">
                  <c:v>33238367</c:v>
                </c:pt>
                <c:pt idx="980">
                  <c:v>34566606</c:v>
                </c:pt>
                <c:pt idx="981">
                  <c:v>36940062</c:v>
                </c:pt>
                <c:pt idx="982">
                  <c:v>38652854</c:v>
                </c:pt>
                <c:pt idx="983">
                  <c:v>36900068</c:v>
                </c:pt>
                <c:pt idx="984">
                  <c:v>37548102</c:v>
                </c:pt>
                <c:pt idx="985">
                  <c:v>38042043</c:v>
                </c:pt>
                <c:pt idx="986">
                  <c:v>37458777</c:v>
                </c:pt>
                <c:pt idx="987">
                  <c:v>37913044</c:v>
                </c:pt>
                <c:pt idx="988">
                  <c:v>36288894</c:v>
                </c:pt>
                <c:pt idx="989">
                  <c:v>40248213</c:v>
                </c:pt>
                <c:pt idx="990">
                  <c:v>40239950</c:v>
                </c:pt>
                <c:pt idx="991">
                  <c:v>42483349</c:v>
                </c:pt>
                <c:pt idx="992">
                  <c:v>47258282</c:v>
                </c:pt>
                <c:pt idx="993">
                  <c:v>44943841</c:v>
                </c:pt>
                <c:pt idx="994">
                  <c:v>39074475</c:v>
                </c:pt>
                <c:pt idx="995">
                  <c:v>39693636</c:v>
                </c:pt>
                <c:pt idx="996">
                  <c:v>37359239</c:v>
                </c:pt>
                <c:pt idx="997">
                  <c:v>38306559</c:v>
                </c:pt>
                <c:pt idx="998">
                  <c:v>39026224</c:v>
                </c:pt>
                <c:pt idx="999">
                  <c:v>39348865</c:v>
                </c:pt>
                <c:pt idx="1000">
                  <c:v>39034171</c:v>
                </c:pt>
                <c:pt idx="1001">
                  <c:v>42450124</c:v>
                </c:pt>
                <c:pt idx="1002">
                  <c:v>44432028</c:v>
                </c:pt>
                <c:pt idx="1003">
                  <c:v>42354290</c:v>
                </c:pt>
                <c:pt idx="1004">
                  <c:v>43934807</c:v>
                </c:pt>
                <c:pt idx="1005">
                  <c:v>43130333</c:v>
                </c:pt>
                <c:pt idx="1006">
                  <c:v>41840009</c:v>
                </c:pt>
                <c:pt idx="1007">
                  <c:v>43177879</c:v>
                </c:pt>
                <c:pt idx="1008">
                  <c:v>42933336</c:v>
                </c:pt>
                <c:pt idx="1009">
                  <c:v>45120595</c:v>
                </c:pt>
                <c:pt idx="1010">
                  <c:v>47555632</c:v>
                </c:pt>
                <c:pt idx="1011">
                  <c:v>51694170</c:v>
                </c:pt>
                <c:pt idx="1012">
                  <c:v>52805927</c:v>
                </c:pt>
                <c:pt idx="1013">
                  <c:v>50741156</c:v>
                </c:pt>
                <c:pt idx="1014">
                  <c:v>50246139</c:v>
                </c:pt>
                <c:pt idx="1015">
                  <c:v>48932445</c:v>
                </c:pt>
                <c:pt idx="1016">
                  <c:v>50794116</c:v>
                </c:pt>
                <c:pt idx="1017">
                  <c:v>52756822</c:v>
                </c:pt>
                <c:pt idx="1018">
                  <c:v>52526928</c:v>
                </c:pt>
                <c:pt idx="1019">
                  <c:v>53240396</c:v>
                </c:pt>
                <c:pt idx="1020">
                  <c:v>53071448</c:v>
                </c:pt>
                <c:pt idx="1021">
                  <c:v>53532448</c:v>
                </c:pt>
                <c:pt idx="1022">
                  <c:v>55969507</c:v>
                </c:pt>
                <c:pt idx="1023">
                  <c:v>57777881</c:v>
                </c:pt>
                <c:pt idx="1024">
                  <c:v>54962599</c:v>
                </c:pt>
                <c:pt idx="1025">
                  <c:v>58061579</c:v>
                </c:pt>
                <c:pt idx="1026">
                  <c:v>56517226</c:v>
                </c:pt>
                <c:pt idx="1027">
                  <c:v>56336114</c:v>
                </c:pt>
                <c:pt idx="1028">
                  <c:v>56648200</c:v>
                </c:pt>
                <c:pt idx="1029">
                  <c:v>55794099</c:v>
                </c:pt>
                <c:pt idx="1030">
                  <c:v>56253931</c:v>
                </c:pt>
                <c:pt idx="1031">
                  <c:v>57186687</c:v>
                </c:pt>
                <c:pt idx="1032">
                  <c:v>59091478</c:v>
                </c:pt>
                <c:pt idx="1033">
                  <c:v>64524244</c:v>
                </c:pt>
                <c:pt idx="1034">
                  <c:v>64085170</c:v>
                </c:pt>
                <c:pt idx="1035">
                  <c:v>66476570</c:v>
                </c:pt>
                <c:pt idx="1036">
                  <c:v>65575076</c:v>
                </c:pt>
                <c:pt idx="1037">
                  <c:v>67908135</c:v>
                </c:pt>
                <c:pt idx="1038">
                  <c:v>67296663</c:v>
                </c:pt>
                <c:pt idx="1039">
                  <c:v>68586545</c:v>
                </c:pt>
                <c:pt idx="1040">
                  <c:v>70001629</c:v>
                </c:pt>
                <c:pt idx="1041">
                  <c:v>72963931</c:v>
                </c:pt>
                <c:pt idx="1042">
                  <c:v>73787327</c:v>
                </c:pt>
                <c:pt idx="1043">
                  <c:v>81195845</c:v>
                </c:pt>
                <c:pt idx="1044">
                  <c:v>88062576</c:v>
                </c:pt>
                <c:pt idx="1045">
                  <c:v>81071169</c:v>
                </c:pt>
                <c:pt idx="1046">
                  <c:v>87884632</c:v>
                </c:pt>
                <c:pt idx="1047">
                  <c:v>87101741</c:v>
                </c:pt>
                <c:pt idx="1048">
                  <c:v>81338839</c:v>
                </c:pt>
                <c:pt idx="1049">
                  <c:v>81365358</c:v>
                </c:pt>
                <c:pt idx="1050">
                  <c:v>85256368</c:v>
                </c:pt>
                <c:pt idx="1051">
                  <c:v>85198325</c:v>
                </c:pt>
                <c:pt idx="1052">
                  <c:v>96797742</c:v>
                </c:pt>
                <c:pt idx="1053">
                  <c:v>98631331</c:v>
                </c:pt>
                <c:pt idx="1054">
                  <c:v>108618009</c:v>
                </c:pt>
                <c:pt idx="1055">
                  <c:v>129647463</c:v>
                </c:pt>
                <c:pt idx="1056">
                  <c:v>123178414</c:v>
                </c:pt>
                <c:pt idx="1057">
                  <c:v>126468956</c:v>
                </c:pt>
                <c:pt idx="1058">
                  <c:v>123911383</c:v>
                </c:pt>
                <c:pt idx="1059">
                  <c:v>116430088</c:v>
                </c:pt>
                <c:pt idx="1060">
                  <c:v>110938750</c:v>
                </c:pt>
                <c:pt idx="1061">
                  <c:v>112053287</c:v>
                </c:pt>
                <c:pt idx="1062">
                  <c:v>115184596</c:v>
                </c:pt>
                <c:pt idx="1063">
                  <c:v>158724559</c:v>
                </c:pt>
                <c:pt idx="1064">
                  <c:v>115015469</c:v>
                </c:pt>
                <c:pt idx="1065">
                  <c:v>121156966</c:v>
                </c:pt>
                <c:pt idx="1066">
                  <c:v>119715830</c:v>
                </c:pt>
                <c:pt idx="1067">
                  <c:v>124500655</c:v>
                </c:pt>
                <c:pt idx="1068">
                  <c:v>129201242</c:v>
                </c:pt>
                <c:pt idx="1069">
                  <c:v>126491025</c:v>
                </c:pt>
                <c:pt idx="1070">
                  <c:v>146805050</c:v>
                </c:pt>
                <c:pt idx="1071">
                  <c:v>154307451</c:v>
                </c:pt>
                <c:pt idx="1072">
                  <c:v>158433322</c:v>
                </c:pt>
                <c:pt idx="1073">
                  <c:v>153636496</c:v>
                </c:pt>
                <c:pt idx="1074">
                  <c:v>161301915</c:v>
                </c:pt>
                <c:pt idx="1075">
                  <c:v>178242725</c:v>
                </c:pt>
                <c:pt idx="1076">
                  <c:v>191894091</c:v>
                </c:pt>
                <c:pt idx="1077">
                  <c:v>183518244</c:v>
                </c:pt>
                <c:pt idx="1078">
                  <c:v>206287271</c:v>
                </c:pt>
                <c:pt idx="1079">
                  <c:v>217043057</c:v>
                </c:pt>
                <c:pt idx="1080">
                  <c:v>227358205</c:v>
                </c:pt>
                <c:pt idx="1081">
                  <c:v>234886357</c:v>
                </c:pt>
                <c:pt idx="1082">
                  <c:v>247835840</c:v>
                </c:pt>
                <c:pt idx="1083">
                  <c:v>359688284</c:v>
                </c:pt>
                <c:pt idx="1084">
                  <c:v>428285452</c:v>
                </c:pt>
                <c:pt idx="1085">
                  <c:v>483341145</c:v>
                </c:pt>
                <c:pt idx="1086">
                  <c:v>519869544</c:v>
                </c:pt>
                <c:pt idx="1087">
                  <c:v>582086293</c:v>
                </c:pt>
                <c:pt idx="1088">
                  <c:v>557774994</c:v>
                </c:pt>
                <c:pt idx="1089">
                  <c:v>608994196</c:v>
                </c:pt>
                <c:pt idx="1090">
                  <c:v>468353814</c:v>
                </c:pt>
                <c:pt idx="1091">
                  <c:v>373483979</c:v>
                </c:pt>
                <c:pt idx="1092">
                  <c:v>388463195</c:v>
                </c:pt>
                <c:pt idx="1093">
                  <c:v>419934730</c:v>
                </c:pt>
                <c:pt idx="1094">
                  <c:v>461063179</c:v>
                </c:pt>
                <c:pt idx="1095">
                  <c:v>491379310</c:v>
                </c:pt>
                <c:pt idx="1096">
                  <c:v>493909415</c:v>
                </c:pt>
                <c:pt idx="1097">
                  <c:v>532812563</c:v>
                </c:pt>
                <c:pt idx="1098">
                  <c:v>481790719</c:v>
                </c:pt>
                <c:pt idx="1099">
                  <c:v>485981223</c:v>
                </c:pt>
                <c:pt idx="1100">
                  <c:v>481558886</c:v>
                </c:pt>
                <c:pt idx="1101">
                  <c:v>514119455</c:v>
                </c:pt>
                <c:pt idx="1102">
                  <c:v>523658486</c:v>
                </c:pt>
                <c:pt idx="1103">
                  <c:v>565325669</c:v>
                </c:pt>
                <c:pt idx="1104">
                  <c:v>586631413</c:v>
                </c:pt>
                <c:pt idx="1105">
                  <c:v>545139060</c:v>
                </c:pt>
                <c:pt idx="1106">
                  <c:v>539574410</c:v>
                </c:pt>
                <c:pt idx="1107">
                  <c:v>543319762</c:v>
                </c:pt>
                <c:pt idx="1108">
                  <c:v>529581014</c:v>
                </c:pt>
                <c:pt idx="1109">
                  <c:v>957475175</c:v>
                </c:pt>
                <c:pt idx="1110">
                  <c:v>1026677947</c:v>
                </c:pt>
                <c:pt idx="1111">
                  <c:v>1079622064</c:v>
                </c:pt>
                <c:pt idx="1112">
                  <c:v>1134211703</c:v>
                </c:pt>
                <c:pt idx="1113">
                  <c:v>1125388225</c:v>
                </c:pt>
                <c:pt idx="1114">
                  <c:v>1206117122</c:v>
                </c:pt>
                <c:pt idx="1115">
                  <c:v>1286055831</c:v>
                </c:pt>
                <c:pt idx="1116">
                  <c:v>1285466878</c:v>
                </c:pt>
                <c:pt idx="1117">
                  <c:v>1368386578</c:v>
                </c:pt>
                <c:pt idx="1118">
                  <c:v>1334790891</c:v>
                </c:pt>
                <c:pt idx="1119">
                  <c:v>1392333042</c:v>
                </c:pt>
                <c:pt idx="1120">
                  <c:v>1434993397</c:v>
                </c:pt>
                <c:pt idx="1121">
                  <c:v>1486505706</c:v>
                </c:pt>
                <c:pt idx="1122">
                  <c:v>1457799992</c:v>
                </c:pt>
                <c:pt idx="1123">
                  <c:v>1550517295</c:v>
                </c:pt>
                <c:pt idx="1124">
                  <c:v>1662898429</c:v>
                </c:pt>
                <c:pt idx="1125">
                  <c:v>1696875150</c:v>
                </c:pt>
                <c:pt idx="1126">
                  <c:v>1519125624</c:v>
                </c:pt>
                <c:pt idx="1127">
                  <c:v>1559508420</c:v>
                </c:pt>
                <c:pt idx="1128">
                  <c:v>1513924291</c:v>
                </c:pt>
                <c:pt idx="1129">
                  <c:v>1383542678</c:v>
                </c:pt>
                <c:pt idx="1130">
                  <c:v>1475397119</c:v>
                </c:pt>
                <c:pt idx="1131">
                  <c:v>1327067253</c:v>
                </c:pt>
                <c:pt idx="1132">
                  <c:v>1385446939</c:v>
                </c:pt>
                <c:pt idx="1133">
                  <c:v>1369199400</c:v>
                </c:pt>
                <c:pt idx="1134">
                  <c:v>1323011673</c:v>
                </c:pt>
                <c:pt idx="1135">
                  <c:v>1442875157</c:v>
                </c:pt>
                <c:pt idx="1136">
                  <c:v>1548282764</c:v>
                </c:pt>
                <c:pt idx="1137">
                  <c:v>1500333900</c:v>
                </c:pt>
                <c:pt idx="1138">
                  <c:v>1565986769</c:v>
                </c:pt>
                <c:pt idx="1139">
                  <c:v>1510254588</c:v>
                </c:pt>
                <c:pt idx="1140">
                  <c:v>1482079845</c:v>
                </c:pt>
                <c:pt idx="1141">
                  <c:v>1384861314</c:v>
                </c:pt>
                <c:pt idx="1142">
                  <c:v>1402956414</c:v>
                </c:pt>
                <c:pt idx="1143">
                  <c:v>1361422302</c:v>
                </c:pt>
                <c:pt idx="1144">
                  <c:v>1298468856</c:v>
                </c:pt>
                <c:pt idx="1145">
                  <c:v>1318210717</c:v>
                </c:pt>
                <c:pt idx="1146">
                  <c:v>1278142091</c:v>
                </c:pt>
                <c:pt idx="1147">
                  <c:v>1170789993</c:v>
                </c:pt>
                <c:pt idx="1148">
                  <c:v>1231111316</c:v>
                </c:pt>
                <c:pt idx="1149">
                  <c:v>1307247283</c:v>
                </c:pt>
                <c:pt idx="1150">
                  <c:v>1397907995</c:v>
                </c:pt>
                <c:pt idx="1151">
                  <c:v>1458600625</c:v>
                </c:pt>
                <c:pt idx="1152">
                  <c:v>1540145961</c:v>
                </c:pt>
                <c:pt idx="1153">
                  <c:v>1515724745</c:v>
                </c:pt>
                <c:pt idx="1154">
                  <c:v>1579718863</c:v>
                </c:pt>
                <c:pt idx="1155">
                  <c:v>1536551874</c:v>
                </c:pt>
                <c:pt idx="1156">
                  <c:v>1490140500</c:v>
                </c:pt>
                <c:pt idx="1157">
                  <c:v>1470909143</c:v>
                </c:pt>
                <c:pt idx="1158">
                  <c:v>1381842657</c:v>
                </c:pt>
                <c:pt idx="1159">
                  <c:v>1332167761</c:v>
                </c:pt>
                <c:pt idx="1160">
                  <c:v>1330563185</c:v>
                </c:pt>
                <c:pt idx="1161">
                  <c:v>1189858765</c:v>
                </c:pt>
                <c:pt idx="1162">
                  <c:v>1208441685</c:v>
                </c:pt>
                <c:pt idx="1163">
                  <c:v>1154267076</c:v>
                </c:pt>
                <c:pt idx="1164">
                  <c:v>1184257299</c:v>
                </c:pt>
                <c:pt idx="1165">
                  <c:v>1181711359</c:v>
                </c:pt>
                <c:pt idx="1166">
                  <c:v>1137047574</c:v>
                </c:pt>
                <c:pt idx="1167">
                  <c:v>1132386846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73-480C-A5B8-22DE1C341AD7}"/>
            </c:ext>
          </c:extLst>
        </c:ser>
        <c:ser>
          <c:idx val="2"/>
          <c:order val="2"/>
          <c:tx>
            <c:strRef>
              <c:f>tvl_pivot!$E$3</c:f>
              <c:strCache>
                <c:ptCount val="1"/>
                <c:pt idx="0">
                  <c:v>share_comp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multiLvlStrRef>
              <c:f>tvl_pivot!$A$4:$B$1176</c:f>
              <c:multiLvlStrCache>
                <c:ptCount val="1168"/>
                <c:lvl>
                  <c:pt idx="0">
                    <c:v>2-Aug</c:v>
                  </c:pt>
                  <c:pt idx="1">
                    <c:v>3-Aug</c:v>
                  </c:pt>
                  <c:pt idx="2">
                    <c:v>4-Aug</c:v>
                  </c:pt>
                  <c:pt idx="3">
                    <c:v>5-Aug</c:v>
                  </c:pt>
                  <c:pt idx="4">
                    <c:v>6-Aug</c:v>
                  </c:pt>
                  <c:pt idx="5">
                    <c:v>7-Aug</c:v>
                  </c:pt>
                  <c:pt idx="6">
                    <c:v>8-Aug</c:v>
                  </c:pt>
                  <c:pt idx="7">
                    <c:v>9-Aug</c:v>
                  </c:pt>
                  <c:pt idx="8">
                    <c:v>10-Aug</c:v>
                  </c:pt>
                  <c:pt idx="9">
                    <c:v>11-Aug</c:v>
                  </c:pt>
                  <c:pt idx="10">
                    <c:v>12-Aug</c:v>
                  </c:pt>
                  <c:pt idx="11">
                    <c:v>13-Aug</c:v>
                  </c:pt>
                  <c:pt idx="12">
                    <c:v>14-Aug</c:v>
                  </c:pt>
                  <c:pt idx="13">
                    <c:v>15-Aug</c:v>
                  </c:pt>
                  <c:pt idx="14">
                    <c:v>16-Aug</c:v>
                  </c:pt>
                  <c:pt idx="15">
                    <c:v>17-Aug</c:v>
                  </c:pt>
                  <c:pt idx="16">
                    <c:v>18-Aug</c:v>
                  </c:pt>
                  <c:pt idx="17">
                    <c:v>19-Aug</c:v>
                  </c:pt>
                  <c:pt idx="18">
                    <c:v>20-Aug</c:v>
                  </c:pt>
                  <c:pt idx="19">
                    <c:v>21-Aug</c:v>
                  </c:pt>
                  <c:pt idx="20">
                    <c:v>22-Aug</c:v>
                  </c:pt>
                  <c:pt idx="21">
                    <c:v>23-Aug</c:v>
                  </c:pt>
                  <c:pt idx="22">
                    <c:v>24-Aug</c:v>
                  </c:pt>
                  <c:pt idx="23">
                    <c:v>25-Aug</c:v>
                  </c:pt>
                  <c:pt idx="24">
                    <c:v>26-Aug</c:v>
                  </c:pt>
                  <c:pt idx="25">
                    <c:v>27-Aug</c:v>
                  </c:pt>
                  <c:pt idx="26">
                    <c:v>28-Aug</c:v>
                  </c:pt>
                  <c:pt idx="27">
                    <c:v>29-Aug</c:v>
                  </c:pt>
                  <c:pt idx="28">
                    <c:v>30-Aug</c:v>
                  </c:pt>
                  <c:pt idx="29">
                    <c:v>31-Aug</c:v>
                  </c:pt>
                  <c:pt idx="30">
                    <c:v>1-Sep</c:v>
                  </c:pt>
                  <c:pt idx="31">
                    <c:v>2-Sep</c:v>
                  </c:pt>
                  <c:pt idx="32">
                    <c:v>3-Sep</c:v>
                  </c:pt>
                  <c:pt idx="33">
                    <c:v>4-Sep</c:v>
                  </c:pt>
                  <c:pt idx="34">
                    <c:v>5-Sep</c:v>
                  </c:pt>
                  <c:pt idx="35">
                    <c:v>6-Sep</c:v>
                  </c:pt>
                  <c:pt idx="36">
                    <c:v>7-Sep</c:v>
                  </c:pt>
                  <c:pt idx="37">
                    <c:v>8-Sep</c:v>
                  </c:pt>
                  <c:pt idx="38">
                    <c:v>9-Sep</c:v>
                  </c:pt>
                  <c:pt idx="39">
                    <c:v>10-Sep</c:v>
                  </c:pt>
                  <c:pt idx="40">
                    <c:v>11-Sep</c:v>
                  </c:pt>
                  <c:pt idx="41">
                    <c:v>12-Sep</c:v>
                  </c:pt>
                  <c:pt idx="42">
                    <c:v>13-Sep</c:v>
                  </c:pt>
                  <c:pt idx="43">
                    <c:v>14-Sep</c:v>
                  </c:pt>
                  <c:pt idx="44">
                    <c:v>15-Sep</c:v>
                  </c:pt>
                  <c:pt idx="45">
                    <c:v>16-Sep</c:v>
                  </c:pt>
                  <c:pt idx="46">
                    <c:v>17-Sep</c:v>
                  </c:pt>
                  <c:pt idx="47">
                    <c:v>18-Sep</c:v>
                  </c:pt>
                  <c:pt idx="48">
                    <c:v>19-Sep</c:v>
                  </c:pt>
                  <c:pt idx="49">
                    <c:v>20-Sep</c:v>
                  </c:pt>
                  <c:pt idx="50">
                    <c:v>21-Sep</c:v>
                  </c:pt>
                  <c:pt idx="51">
                    <c:v>22-Sep</c:v>
                  </c:pt>
                  <c:pt idx="52">
                    <c:v>23-Sep</c:v>
                  </c:pt>
                  <c:pt idx="53">
                    <c:v>24-Sep</c:v>
                  </c:pt>
                  <c:pt idx="54">
                    <c:v>25-Sep</c:v>
                  </c:pt>
                  <c:pt idx="55">
                    <c:v>26-Sep</c:v>
                  </c:pt>
                  <c:pt idx="56">
                    <c:v>27-Sep</c:v>
                  </c:pt>
                  <c:pt idx="57">
                    <c:v>28-Sep</c:v>
                  </c:pt>
                  <c:pt idx="58">
                    <c:v>29-Sep</c:v>
                  </c:pt>
                  <c:pt idx="59">
                    <c:v>30-Sep</c:v>
                  </c:pt>
                  <c:pt idx="60">
                    <c:v>1-Oct</c:v>
                  </c:pt>
                  <c:pt idx="61">
                    <c:v>2-Oct</c:v>
                  </c:pt>
                  <c:pt idx="62">
                    <c:v>3-Oct</c:v>
                  </c:pt>
                  <c:pt idx="63">
                    <c:v>4-Oct</c:v>
                  </c:pt>
                  <c:pt idx="64">
                    <c:v>5-Oct</c:v>
                  </c:pt>
                  <c:pt idx="65">
                    <c:v>6-Oct</c:v>
                  </c:pt>
                  <c:pt idx="66">
                    <c:v>7-Oct</c:v>
                  </c:pt>
                  <c:pt idx="67">
                    <c:v>8-Oct</c:v>
                  </c:pt>
                  <c:pt idx="68">
                    <c:v>9-Oct</c:v>
                  </c:pt>
                  <c:pt idx="69">
                    <c:v>10-Oct</c:v>
                  </c:pt>
                  <c:pt idx="70">
                    <c:v>11-Oct</c:v>
                  </c:pt>
                  <c:pt idx="71">
                    <c:v>12-Oct</c:v>
                  </c:pt>
                  <c:pt idx="72">
                    <c:v>13-Oct</c:v>
                  </c:pt>
                  <c:pt idx="73">
                    <c:v>14-Oct</c:v>
                  </c:pt>
                  <c:pt idx="74">
                    <c:v>15-Oct</c:v>
                  </c:pt>
                  <c:pt idx="75">
                    <c:v>16-Oct</c:v>
                  </c:pt>
                  <c:pt idx="76">
                    <c:v>17-Oct</c:v>
                  </c:pt>
                  <c:pt idx="77">
                    <c:v>18-Oct</c:v>
                  </c:pt>
                  <c:pt idx="78">
                    <c:v>19-Oct</c:v>
                  </c:pt>
                  <c:pt idx="79">
                    <c:v>20-Oct</c:v>
                  </c:pt>
                  <c:pt idx="80">
                    <c:v>21-Oct</c:v>
                  </c:pt>
                  <c:pt idx="81">
                    <c:v>22-Oct</c:v>
                  </c:pt>
                  <c:pt idx="82">
                    <c:v>23-Oct</c:v>
                  </c:pt>
                  <c:pt idx="83">
                    <c:v>24-Oct</c:v>
                  </c:pt>
                  <c:pt idx="84">
                    <c:v>25-Oct</c:v>
                  </c:pt>
                  <c:pt idx="85">
                    <c:v>26-Oct</c:v>
                  </c:pt>
                  <c:pt idx="86">
                    <c:v>27-Oct</c:v>
                  </c:pt>
                  <c:pt idx="87">
                    <c:v>28-Oct</c:v>
                  </c:pt>
                  <c:pt idx="88">
                    <c:v>29-Oct</c:v>
                  </c:pt>
                  <c:pt idx="89">
                    <c:v>30-Oct</c:v>
                  </c:pt>
                  <c:pt idx="90">
                    <c:v>31-Oct</c:v>
                  </c:pt>
                  <c:pt idx="91">
                    <c:v>1-Nov</c:v>
                  </c:pt>
                  <c:pt idx="92">
                    <c:v>2-Nov</c:v>
                  </c:pt>
                  <c:pt idx="93">
                    <c:v>3-Nov</c:v>
                  </c:pt>
                  <c:pt idx="94">
                    <c:v>4-Nov</c:v>
                  </c:pt>
                  <c:pt idx="95">
                    <c:v>5-Nov</c:v>
                  </c:pt>
                  <c:pt idx="96">
                    <c:v>6-Nov</c:v>
                  </c:pt>
                  <c:pt idx="97">
                    <c:v>7-Nov</c:v>
                  </c:pt>
                  <c:pt idx="98">
                    <c:v>8-Nov</c:v>
                  </c:pt>
                  <c:pt idx="99">
                    <c:v>9-Nov</c:v>
                  </c:pt>
                  <c:pt idx="100">
                    <c:v>10-Nov</c:v>
                  </c:pt>
                  <c:pt idx="101">
                    <c:v>11-Nov</c:v>
                  </c:pt>
                  <c:pt idx="102">
                    <c:v>12-Nov</c:v>
                  </c:pt>
                  <c:pt idx="103">
                    <c:v>13-Nov</c:v>
                  </c:pt>
                  <c:pt idx="104">
                    <c:v>14-Nov</c:v>
                  </c:pt>
                  <c:pt idx="105">
                    <c:v>15-Nov</c:v>
                  </c:pt>
                  <c:pt idx="106">
                    <c:v>16-Nov</c:v>
                  </c:pt>
                  <c:pt idx="107">
                    <c:v>17-Nov</c:v>
                  </c:pt>
                  <c:pt idx="108">
                    <c:v>18-Nov</c:v>
                  </c:pt>
                  <c:pt idx="109">
                    <c:v>19-Nov</c:v>
                  </c:pt>
                  <c:pt idx="110">
                    <c:v>20-Nov</c:v>
                  </c:pt>
                  <c:pt idx="111">
                    <c:v>21-Nov</c:v>
                  </c:pt>
                  <c:pt idx="112">
                    <c:v>22-Nov</c:v>
                  </c:pt>
                  <c:pt idx="113">
                    <c:v>23-Nov</c:v>
                  </c:pt>
                  <c:pt idx="114">
                    <c:v>24-Nov</c:v>
                  </c:pt>
                  <c:pt idx="115">
                    <c:v>25-Nov</c:v>
                  </c:pt>
                  <c:pt idx="116">
                    <c:v>26-Nov</c:v>
                  </c:pt>
                  <c:pt idx="117">
                    <c:v>27-Nov</c:v>
                  </c:pt>
                  <c:pt idx="118">
                    <c:v>28-Nov</c:v>
                  </c:pt>
                  <c:pt idx="119">
                    <c:v>29-Nov</c:v>
                  </c:pt>
                  <c:pt idx="120">
                    <c:v>30-Nov</c:v>
                  </c:pt>
                  <c:pt idx="121">
                    <c:v>1-Dec</c:v>
                  </c:pt>
                  <c:pt idx="122">
                    <c:v>2-Dec</c:v>
                  </c:pt>
                  <c:pt idx="123">
                    <c:v>3-Dec</c:v>
                  </c:pt>
                  <c:pt idx="124">
                    <c:v>4-Dec</c:v>
                  </c:pt>
                  <c:pt idx="125">
                    <c:v>5-Dec</c:v>
                  </c:pt>
                  <c:pt idx="126">
                    <c:v>6-Dec</c:v>
                  </c:pt>
                  <c:pt idx="127">
                    <c:v>7-Dec</c:v>
                  </c:pt>
                  <c:pt idx="128">
                    <c:v>8-Dec</c:v>
                  </c:pt>
                  <c:pt idx="129">
                    <c:v>9-Dec</c:v>
                  </c:pt>
                  <c:pt idx="130">
                    <c:v>10-Dec</c:v>
                  </c:pt>
                  <c:pt idx="131">
                    <c:v>11-Dec</c:v>
                  </c:pt>
                  <c:pt idx="132">
                    <c:v>12-Dec</c:v>
                  </c:pt>
                  <c:pt idx="133">
                    <c:v>13-Dec</c:v>
                  </c:pt>
                  <c:pt idx="134">
                    <c:v>14-Dec</c:v>
                  </c:pt>
                  <c:pt idx="135">
                    <c:v>15-Dec</c:v>
                  </c:pt>
                  <c:pt idx="136">
                    <c:v>16-Dec</c:v>
                  </c:pt>
                  <c:pt idx="137">
                    <c:v>17-Dec</c:v>
                  </c:pt>
                  <c:pt idx="138">
                    <c:v>18-Dec</c:v>
                  </c:pt>
                  <c:pt idx="139">
                    <c:v>19-Dec</c:v>
                  </c:pt>
                  <c:pt idx="140">
                    <c:v>20-Dec</c:v>
                  </c:pt>
                  <c:pt idx="141">
                    <c:v>21-Dec</c:v>
                  </c:pt>
                  <c:pt idx="142">
                    <c:v>22-Dec</c:v>
                  </c:pt>
                  <c:pt idx="143">
                    <c:v>23-Dec</c:v>
                  </c:pt>
                  <c:pt idx="144">
                    <c:v>24-Dec</c:v>
                  </c:pt>
                  <c:pt idx="145">
                    <c:v>25-Dec</c:v>
                  </c:pt>
                  <c:pt idx="146">
                    <c:v>26-Dec</c:v>
                  </c:pt>
                  <c:pt idx="147">
                    <c:v>27-Dec</c:v>
                  </c:pt>
                  <c:pt idx="148">
                    <c:v>28-Dec</c:v>
                  </c:pt>
                  <c:pt idx="149">
                    <c:v>29-Dec</c:v>
                  </c:pt>
                  <c:pt idx="150">
                    <c:v>30-Dec</c:v>
                  </c:pt>
                  <c:pt idx="151">
                    <c:v>31-Dec</c:v>
                  </c:pt>
                  <c:pt idx="152">
                    <c:v>1-Jan</c:v>
                  </c:pt>
                  <c:pt idx="153">
                    <c:v>2-Jan</c:v>
                  </c:pt>
                  <c:pt idx="154">
                    <c:v>3-Jan</c:v>
                  </c:pt>
                  <c:pt idx="155">
                    <c:v>4-Jan</c:v>
                  </c:pt>
                  <c:pt idx="156">
                    <c:v>5-Jan</c:v>
                  </c:pt>
                  <c:pt idx="157">
                    <c:v>6-Jan</c:v>
                  </c:pt>
                  <c:pt idx="158">
                    <c:v>7-Jan</c:v>
                  </c:pt>
                  <c:pt idx="159">
                    <c:v>8-Jan</c:v>
                  </c:pt>
                  <c:pt idx="160">
                    <c:v>9-Jan</c:v>
                  </c:pt>
                  <c:pt idx="161">
                    <c:v>10-Jan</c:v>
                  </c:pt>
                  <c:pt idx="162">
                    <c:v>11-Jan</c:v>
                  </c:pt>
                  <c:pt idx="163">
                    <c:v>12-Jan</c:v>
                  </c:pt>
                  <c:pt idx="164">
                    <c:v>13-Jan</c:v>
                  </c:pt>
                  <c:pt idx="165">
                    <c:v>14-Jan</c:v>
                  </c:pt>
                  <c:pt idx="166">
                    <c:v>15-Jan</c:v>
                  </c:pt>
                  <c:pt idx="167">
                    <c:v>16-Jan</c:v>
                  </c:pt>
                  <c:pt idx="168">
                    <c:v>17-Jan</c:v>
                  </c:pt>
                  <c:pt idx="169">
                    <c:v>18-Jan</c:v>
                  </c:pt>
                  <c:pt idx="170">
                    <c:v>19-Jan</c:v>
                  </c:pt>
                  <c:pt idx="171">
                    <c:v>20-Jan</c:v>
                  </c:pt>
                  <c:pt idx="172">
                    <c:v>21-Jan</c:v>
                  </c:pt>
                  <c:pt idx="173">
                    <c:v>22-Jan</c:v>
                  </c:pt>
                  <c:pt idx="174">
                    <c:v>23-Jan</c:v>
                  </c:pt>
                  <c:pt idx="175">
                    <c:v>24-Jan</c:v>
                  </c:pt>
                  <c:pt idx="176">
                    <c:v>25-Jan</c:v>
                  </c:pt>
                  <c:pt idx="177">
                    <c:v>26-Jan</c:v>
                  </c:pt>
                  <c:pt idx="178">
                    <c:v>27-Jan</c:v>
                  </c:pt>
                  <c:pt idx="179">
                    <c:v>28-Jan</c:v>
                  </c:pt>
                  <c:pt idx="180">
                    <c:v>29-Jan</c:v>
                  </c:pt>
                  <c:pt idx="181">
                    <c:v>30-Jan</c:v>
                  </c:pt>
                  <c:pt idx="182">
                    <c:v>31-Jan</c:v>
                  </c:pt>
                  <c:pt idx="183">
                    <c:v>1-Feb</c:v>
                  </c:pt>
                  <c:pt idx="184">
                    <c:v>2-Feb</c:v>
                  </c:pt>
                  <c:pt idx="185">
                    <c:v>3-Feb</c:v>
                  </c:pt>
                  <c:pt idx="186">
                    <c:v>4-Feb</c:v>
                  </c:pt>
                  <c:pt idx="187">
                    <c:v>5-Feb</c:v>
                  </c:pt>
                  <c:pt idx="188">
                    <c:v>6-Feb</c:v>
                  </c:pt>
                  <c:pt idx="189">
                    <c:v>7-Feb</c:v>
                  </c:pt>
                  <c:pt idx="190">
                    <c:v>8-Feb</c:v>
                  </c:pt>
                  <c:pt idx="191">
                    <c:v>9-Feb</c:v>
                  </c:pt>
                  <c:pt idx="192">
                    <c:v>10-Feb</c:v>
                  </c:pt>
                  <c:pt idx="193">
                    <c:v>11-Feb</c:v>
                  </c:pt>
                  <c:pt idx="194">
                    <c:v>12-Feb</c:v>
                  </c:pt>
                  <c:pt idx="195">
                    <c:v>13-Feb</c:v>
                  </c:pt>
                  <c:pt idx="196">
                    <c:v>14-Feb</c:v>
                  </c:pt>
                  <c:pt idx="197">
                    <c:v>15-Feb</c:v>
                  </c:pt>
                  <c:pt idx="198">
                    <c:v>16-Feb</c:v>
                  </c:pt>
                  <c:pt idx="199">
                    <c:v>17-Feb</c:v>
                  </c:pt>
                  <c:pt idx="200">
                    <c:v>18-Feb</c:v>
                  </c:pt>
                  <c:pt idx="201">
                    <c:v>19-Feb</c:v>
                  </c:pt>
                  <c:pt idx="202">
                    <c:v>20-Feb</c:v>
                  </c:pt>
                  <c:pt idx="203">
                    <c:v>21-Feb</c:v>
                  </c:pt>
                  <c:pt idx="204">
                    <c:v>22-Feb</c:v>
                  </c:pt>
                  <c:pt idx="205">
                    <c:v>23-Feb</c:v>
                  </c:pt>
                  <c:pt idx="206">
                    <c:v>24-Feb</c:v>
                  </c:pt>
                  <c:pt idx="207">
                    <c:v>25-Feb</c:v>
                  </c:pt>
                  <c:pt idx="208">
                    <c:v>26-Feb</c:v>
                  </c:pt>
                  <c:pt idx="209">
                    <c:v>27-Feb</c:v>
                  </c:pt>
                  <c:pt idx="210">
                    <c:v>28-Feb</c:v>
                  </c:pt>
                  <c:pt idx="211">
                    <c:v>1-Mar</c:v>
                  </c:pt>
                  <c:pt idx="212">
                    <c:v>2-Mar</c:v>
                  </c:pt>
                  <c:pt idx="213">
                    <c:v>3-Mar</c:v>
                  </c:pt>
                  <c:pt idx="214">
                    <c:v>4-Mar</c:v>
                  </c:pt>
                  <c:pt idx="215">
                    <c:v>5-Mar</c:v>
                  </c:pt>
                  <c:pt idx="216">
                    <c:v>6-Mar</c:v>
                  </c:pt>
                  <c:pt idx="217">
                    <c:v>7-Mar</c:v>
                  </c:pt>
                  <c:pt idx="218">
                    <c:v>8-Mar</c:v>
                  </c:pt>
                  <c:pt idx="219">
                    <c:v>9-Mar</c:v>
                  </c:pt>
                  <c:pt idx="220">
                    <c:v>10-Mar</c:v>
                  </c:pt>
                  <c:pt idx="221">
                    <c:v>11-Mar</c:v>
                  </c:pt>
                  <c:pt idx="222">
                    <c:v>12-Mar</c:v>
                  </c:pt>
                  <c:pt idx="223">
                    <c:v>13-Mar</c:v>
                  </c:pt>
                  <c:pt idx="224">
                    <c:v>14-Mar</c:v>
                  </c:pt>
                  <c:pt idx="225">
                    <c:v>15-Mar</c:v>
                  </c:pt>
                  <c:pt idx="226">
                    <c:v>16-Mar</c:v>
                  </c:pt>
                  <c:pt idx="227">
                    <c:v>17-Mar</c:v>
                  </c:pt>
                  <c:pt idx="228">
                    <c:v>18-Mar</c:v>
                  </c:pt>
                  <c:pt idx="229">
                    <c:v>19-Mar</c:v>
                  </c:pt>
                  <c:pt idx="230">
                    <c:v>20-Mar</c:v>
                  </c:pt>
                  <c:pt idx="231">
                    <c:v>21-Mar</c:v>
                  </c:pt>
                  <c:pt idx="232">
                    <c:v>22-Mar</c:v>
                  </c:pt>
                  <c:pt idx="233">
                    <c:v>23-Mar</c:v>
                  </c:pt>
                  <c:pt idx="234">
                    <c:v>24-Mar</c:v>
                  </c:pt>
                  <c:pt idx="235">
                    <c:v>25-Mar</c:v>
                  </c:pt>
                  <c:pt idx="236">
                    <c:v>26-Mar</c:v>
                  </c:pt>
                  <c:pt idx="237">
                    <c:v>27-Mar</c:v>
                  </c:pt>
                  <c:pt idx="238">
                    <c:v>28-Mar</c:v>
                  </c:pt>
                  <c:pt idx="239">
                    <c:v>29-Mar</c:v>
                  </c:pt>
                  <c:pt idx="240">
                    <c:v>30-Mar</c:v>
                  </c:pt>
                  <c:pt idx="241">
                    <c:v>31-Mar</c:v>
                  </c:pt>
                  <c:pt idx="242">
                    <c:v>1-Apr</c:v>
                  </c:pt>
                  <c:pt idx="243">
                    <c:v>2-Apr</c:v>
                  </c:pt>
                  <c:pt idx="244">
                    <c:v>3-Apr</c:v>
                  </c:pt>
                  <c:pt idx="245">
                    <c:v>4-Apr</c:v>
                  </c:pt>
                  <c:pt idx="246">
                    <c:v>5-Apr</c:v>
                  </c:pt>
                  <c:pt idx="247">
                    <c:v>6-Apr</c:v>
                  </c:pt>
                  <c:pt idx="248">
                    <c:v>7-Apr</c:v>
                  </c:pt>
                  <c:pt idx="249">
                    <c:v>8-Apr</c:v>
                  </c:pt>
                  <c:pt idx="250">
                    <c:v>9-Apr</c:v>
                  </c:pt>
                  <c:pt idx="251">
                    <c:v>10-Apr</c:v>
                  </c:pt>
                  <c:pt idx="252">
                    <c:v>11-Apr</c:v>
                  </c:pt>
                  <c:pt idx="253">
                    <c:v>12-Apr</c:v>
                  </c:pt>
                  <c:pt idx="254">
                    <c:v>13-Apr</c:v>
                  </c:pt>
                  <c:pt idx="255">
                    <c:v>14-Apr</c:v>
                  </c:pt>
                  <c:pt idx="256">
                    <c:v>15-Apr</c:v>
                  </c:pt>
                  <c:pt idx="257">
                    <c:v>16-Apr</c:v>
                  </c:pt>
                  <c:pt idx="258">
                    <c:v>17-Apr</c:v>
                  </c:pt>
                  <c:pt idx="259">
                    <c:v>18-Apr</c:v>
                  </c:pt>
                  <c:pt idx="260">
                    <c:v>19-Apr</c:v>
                  </c:pt>
                  <c:pt idx="261">
                    <c:v>20-Apr</c:v>
                  </c:pt>
                  <c:pt idx="262">
                    <c:v>21-Apr</c:v>
                  </c:pt>
                  <c:pt idx="263">
                    <c:v>22-Apr</c:v>
                  </c:pt>
                  <c:pt idx="264">
                    <c:v>23-Apr</c:v>
                  </c:pt>
                  <c:pt idx="265">
                    <c:v>24-Apr</c:v>
                  </c:pt>
                  <c:pt idx="266">
                    <c:v>25-Apr</c:v>
                  </c:pt>
                  <c:pt idx="267">
                    <c:v>26-Apr</c:v>
                  </c:pt>
                  <c:pt idx="268">
                    <c:v>27-Apr</c:v>
                  </c:pt>
                  <c:pt idx="269">
                    <c:v>28-Apr</c:v>
                  </c:pt>
                  <c:pt idx="270">
                    <c:v>29-Apr</c:v>
                  </c:pt>
                  <c:pt idx="271">
                    <c:v>30-Apr</c:v>
                  </c:pt>
                  <c:pt idx="272">
                    <c:v>1-May</c:v>
                  </c:pt>
                  <c:pt idx="273">
                    <c:v>2-May</c:v>
                  </c:pt>
                  <c:pt idx="274">
                    <c:v>3-May</c:v>
                  </c:pt>
                  <c:pt idx="275">
                    <c:v>4-May</c:v>
                  </c:pt>
                  <c:pt idx="276">
                    <c:v>5-May</c:v>
                  </c:pt>
                  <c:pt idx="277">
                    <c:v>6-May</c:v>
                  </c:pt>
                  <c:pt idx="278">
                    <c:v>7-May</c:v>
                  </c:pt>
                  <c:pt idx="279">
                    <c:v>8-May</c:v>
                  </c:pt>
                  <c:pt idx="280">
                    <c:v>9-May</c:v>
                  </c:pt>
                  <c:pt idx="281">
                    <c:v>10-May</c:v>
                  </c:pt>
                  <c:pt idx="282">
                    <c:v>11-May</c:v>
                  </c:pt>
                  <c:pt idx="283">
                    <c:v>12-May</c:v>
                  </c:pt>
                  <c:pt idx="284">
                    <c:v>13-May</c:v>
                  </c:pt>
                  <c:pt idx="285">
                    <c:v>14-May</c:v>
                  </c:pt>
                  <c:pt idx="286">
                    <c:v>15-May</c:v>
                  </c:pt>
                  <c:pt idx="287">
                    <c:v>16-May</c:v>
                  </c:pt>
                  <c:pt idx="288">
                    <c:v>17-May</c:v>
                  </c:pt>
                  <c:pt idx="289">
                    <c:v>18-May</c:v>
                  </c:pt>
                  <c:pt idx="290">
                    <c:v>19-May</c:v>
                  </c:pt>
                  <c:pt idx="291">
                    <c:v>20-May</c:v>
                  </c:pt>
                  <c:pt idx="292">
                    <c:v>21-May</c:v>
                  </c:pt>
                  <c:pt idx="293">
                    <c:v>22-May</c:v>
                  </c:pt>
                  <c:pt idx="294">
                    <c:v>23-May</c:v>
                  </c:pt>
                  <c:pt idx="295">
                    <c:v>24-May</c:v>
                  </c:pt>
                  <c:pt idx="296">
                    <c:v>25-May</c:v>
                  </c:pt>
                  <c:pt idx="297">
                    <c:v>26-May</c:v>
                  </c:pt>
                  <c:pt idx="298">
                    <c:v>27-May</c:v>
                  </c:pt>
                  <c:pt idx="299">
                    <c:v>28-May</c:v>
                  </c:pt>
                  <c:pt idx="300">
                    <c:v>29-May</c:v>
                  </c:pt>
                  <c:pt idx="301">
                    <c:v>30-May</c:v>
                  </c:pt>
                  <c:pt idx="302">
                    <c:v>31-May</c:v>
                  </c:pt>
                  <c:pt idx="303">
                    <c:v>1-Jun</c:v>
                  </c:pt>
                  <c:pt idx="304">
                    <c:v>2-Jun</c:v>
                  </c:pt>
                  <c:pt idx="305">
                    <c:v>3-Jun</c:v>
                  </c:pt>
                  <c:pt idx="306">
                    <c:v>4-Jun</c:v>
                  </c:pt>
                  <c:pt idx="307">
                    <c:v>5-Jun</c:v>
                  </c:pt>
                  <c:pt idx="308">
                    <c:v>6-Jun</c:v>
                  </c:pt>
                  <c:pt idx="309">
                    <c:v>7-Jun</c:v>
                  </c:pt>
                  <c:pt idx="310">
                    <c:v>8-Jun</c:v>
                  </c:pt>
                  <c:pt idx="311">
                    <c:v>9-Jun</c:v>
                  </c:pt>
                  <c:pt idx="312">
                    <c:v>10-Jun</c:v>
                  </c:pt>
                  <c:pt idx="313">
                    <c:v>11-Jun</c:v>
                  </c:pt>
                  <c:pt idx="314">
                    <c:v>12-Jun</c:v>
                  </c:pt>
                  <c:pt idx="315">
                    <c:v>13-Jun</c:v>
                  </c:pt>
                  <c:pt idx="316">
                    <c:v>14-Jun</c:v>
                  </c:pt>
                  <c:pt idx="317">
                    <c:v>15-Jun</c:v>
                  </c:pt>
                  <c:pt idx="318">
                    <c:v>16-Jun</c:v>
                  </c:pt>
                  <c:pt idx="319">
                    <c:v>17-Jun</c:v>
                  </c:pt>
                  <c:pt idx="320">
                    <c:v>18-Jun</c:v>
                  </c:pt>
                  <c:pt idx="321">
                    <c:v>19-Jun</c:v>
                  </c:pt>
                  <c:pt idx="322">
                    <c:v>20-Jun</c:v>
                  </c:pt>
                  <c:pt idx="323">
                    <c:v>21-Jun</c:v>
                  </c:pt>
                  <c:pt idx="324">
                    <c:v>22-Jun</c:v>
                  </c:pt>
                  <c:pt idx="325">
                    <c:v>23-Jun</c:v>
                  </c:pt>
                  <c:pt idx="326">
                    <c:v>24-Jun</c:v>
                  </c:pt>
                  <c:pt idx="327">
                    <c:v>25-Jun</c:v>
                  </c:pt>
                  <c:pt idx="328">
                    <c:v>26-Jun</c:v>
                  </c:pt>
                  <c:pt idx="329">
                    <c:v>27-Jun</c:v>
                  </c:pt>
                  <c:pt idx="330">
                    <c:v>28-Jun</c:v>
                  </c:pt>
                  <c:pt idx="331">
                    <c:v>29-Jun</c:v>
                  </c:pt>
                  <c:pt idx="332">
                    <c:v>30-Jun</c:v>
                  </c:pt>
                  <c:pt idx="333">
                    <c:v>1-Jul</c:v>
                  </c:pt>
                  <c:pt idx="334">
                    <c:v>2-Jul</c:v>
                  </c:pt>
                  <c:pt idx="335">
                    <c:v>3-Jul</c:v>
                  </c:pt>
                  <c:pt idx="336">
                    <c:v>4-Jul</c:v>
                  </c:pt>
                  <c:pt idx="337">
                    <c:v>5-Jul</c:v>
                  </c:pt>
                  <c:pt idx="338">
                    <c:v>6-Jul</c:v>
                  </c:pt>
                  <c:pt idx="339">
                    <c:v>7-Jul</c:v>
                  </c:pt>
                  <c:pt idx="340">
                    <c:v>8-Jul</c:v>
                  </c:pt>
                  <c:pt idx="341">
                    <c:v>9-Jul</c:v>
                  </c:pt>
                  <c:pt idx="342">
                    <c:v>10-Jul</c:v>
                  </c:pt>
                  <c:pt idx="343">
                    <c:v>11-Jul</c:v>
                  </c:pt>
                  <c:pt idx="344">
                    <c:v>12-Jul</c:v>
                  </c:pt>
                  <c:pt idx="345">
                    <c:v>13-Jul</c:v>
                  </c:pt>
                  <c:pt idx="346">
                    <c:v>14-Jul</c:v>
                  </c:pt>
                  <c:pt idx="347">
                    <c:v>15-Jul</c:v>
                  </c:pt>
                  <c:pt idx="348">
                    <c:v>16-Jul</c:v>
                  </c:pt>
                  <c:pt idx="349">
                    <c:v>17-Jul</c:v>
                  </c:pt>
                  <c:pt idx="350">
                    <c:v>18-Jul</c:v>
                  </c:pt>
                  <c:pt idx="351">
                    <c:v>19-Jul</c:v>
                  </c:pt>
                  <c:pt idx="352">
                    <c:v>20-Jul</c:v>
                  </c:pt>
                  <c:pt idx="353">
                    <c:v>21-Jul</c:v>
                  </c:pt>
                  <c:pt idx="354">
                    <c:v>22-Jul</c:v>
                  </c:pt>
                  <c:pt idx="355">
                    <c:v>23-Jul</c:v>
                  </c:pt>
                  <c:pt idx="356">
                    <c:v>24-Jul</c:v>
                  </c:pt>
                  <c:pt idx="357">
                    <c:v>25-Jul</c:v>
                  </c:pt>
                  <c:pt idx="358">
                    <c:v>26-Jul</c:v>
                  </c:pt>
                  <c:pt idx="359">
                    <c:v>27-Jul</c:v>
                  </c:pt>
                  <c:pt idx="360">
                    <c:v>28-Jul</c:v>
                  </c:pt>
                  <c:pt idx="361">
                    <c:v>29-Jul</c:v>
                  </c:pt>
                  <c:pt idx="362">
                    <c:v>30-Jul</c:v>
                  </c:pt>
                  <c:pt idx="363">
                    <c:v>31-Jul</c:v>
                  </c:pt>
                  <c:pt idx="364">
                    <c:v>1-Aug</c:v>
                  </c:pt>
                  <c:pt idx="365">
                    <c:v>2-Aug</c:v>
                  </c:pt>
                  <c:pt idx="366">
                    <c:v>3-Aug</c:v>
                  </c:pt>
                  <c:pt idx="367">
                    <c:v>4-Aug</c:v>
                  </c:pt>
                  <c:pt idx="368">
                    <c:v>5-Aug</c:v>
                  </c:pt>
                  <c:pt idx="369">
                    <c:v>6-Aug</c:v>
                  </c:pt>
                  <c:pt idx="370">
                    <c:v>7-Aug</c:v>
                  </c:pt>
                  <c:pt idx="371">
                    <c:v>8-Aug</c:v>
                  </c:pt>
                  <c:pt idx="372">
                    <c:v>9-Aug</c:v>
                  </c:pt>
                  <c:pt idx="373">
                    <c:v>10-Aug</c:v>
                  </c:pt>
                  <c:pt idx="374">
                    <c:v>11-Aug</c:v>
                  </c:pt>
                  <c:pt idx="375">
                    <c:v>12-Aug</c:v>
                  </c:pt>
                  <c:pt idx="376">
                    <c:v>13-Aug</c:v>
                  </c:pt>
                  <c:pt idx="377">
                    <c:v>14-Aug</c:v>
                  </c:pt>
                  <c:pt idx="378">
                    <c:v>15-Aug</c:v>
                  </c:pt>
                  <c:pt idx="379">
                    <c:v>16-Aug</c:v>
                  </c:pt>
                  <c:pt idx="380">
                    <c:v>17-Aug</c:v>
                  </c:pt>
                  <c:pt idx="381">
                    <c:v>18-Aug</c:v>
                  </c:pt>
                  <c:pt idx="382">
                    <c:v>19-Aug</c:v>
                  </c:pt>
                  <c:pt idx="383">
                    <c:v>20-Aug</c:v>
                  </c:pt>
                  <c:pt idx="384">
                    <c:v>21-Aug</c:v>
                  </c:pt>
                  <c:pt idx="385">
                    <c:v>22-Aug</c:v>
                  </c:pt>
                  <c:pt idx="386">
                    <c:v>23-Aug</c:v>
                  </c:pt>
                  <c:pt idx="387">
                    <c:v>24-Aug</c:v>
                  </c:pt>
                  <c:pt idx="388">
                    <c:v>25-Aug</c:v>
                  </c:pt>
                  <c:pt idx="389">
                    <c:v>26-Aug</c:v>
                  </c:pt>
                  <c:pt idx="390">
                    <c:v>27-Aug</c:v>
                  </c:pt>
                  <c:pt idx="391">
                    <c:v>28-Aug</c:v>
                  </c:pt>
                  <c:pt idx="392">
                    <c:v>29-Aug</c:v>
                  </c:pt>
                  <c:pt idx="393">
                    <c:v>30-Aug</c:v>
                  </c:pt>
                  <c:pt idx="394">
                    <c:v>31-Aug</c:v>
                  </c:pt>
                  <c:pt idx="395">
                    <c:v>1-Sep</c:v>
                  </c:pt>
                  <c:pt idx="396">
                    <c:v>2-Sep</c:v>
                  </c:pt>
                  <c:pt idx="397">
                    <c:v>3-Sep</c:v>
                  </c:pt>
                  <c:pt idx="398">
                    <c:v>4-Sep</c:v>
                  </c:pt>
                  <c:pt idx="399">
                    <c:v>5-Sep</c:v>
                  </c:pt>
                  <c:pt idx="400">
                    <c:v>6-Sep</c:v>
                  </c:pt>
                  <c:pt idx="401">
                    <c:v>7-Sep</c:v>
                  </c:pt>
                  <c:pt idx="402">
                    <c:v>8-Sep</c:v>
                  </c:pt>
                  <c:pt idx="403">
                    <c:v>9-Sep</c:v>
                  </c:pt>
                  <c:pt idx="404">
                    <c:v>10-Sep</c:v>
                  </c:pt>
                  <c:pt idx="405">
                    <c:v>11-Sep</c:v>
                  </c:pt>
                  <c:pt idx="406">
                    <c:v>12-Sep</c:v>
                  </c:pt>
                  <c:pt idx="407">
                    <c:v>13-Sep</c:v>
                  </c:pt>
                  <c:pt idx="408">
                    <c:v>14-Sep</c:v>
                  </c:pt>
                  <c:pt idx="409">
                    <c:v>15-Sep</c:v>
                  </c:pt>
                  <c:pt idx="410">
                    <c:v>16-Sep</c:v>
                  </c:pt>
                  <c:pt idx="411">
                    <c:v>17-Sep</c:v>
                  </c:pt>
                  <c:pt idx="412">
                    <c:v>18-Sep</c:v>
                  </c:pt>
                  <c:pt idx="413">
                    <c:v>19-Sep</c:v>
                  </c:pt>
                  <c:pt idx="414">
                    <c:v>20-Sep</c:v>
                  </c:pt>
                  <c:pt idx="415">
                    <c:v>21-Sep</c:v>
                  </c:pt>
                  <c:pt idx="416">
                    <c:v>22-Sep</c:v>
                  </c:pt>
                  <c:pt idx="417">
                    <c:v>23-Sep</c:v>
                  </c:pt>
                  <c:pt idx="418">
                    <c:v>24-Sep</c:v>
                  </c:pt>
                  <c:pt idx="419">
                    <c:v>25-Sep</c:v>
                  </c:pt>
                  <c:pt idx="420">
                    <c:v>26-Sep</c:v>
                  </c:pt>
                  <c:pt idx="421">
                    <c:v>27-Sep</c:v>
                  </c:pt>
                  <c:pt idx="422">
                    <c:v>28-Sep</c:v>
                  </c:pt>
                  <c:pt idx="423">
                    <c:v>29-Sep</c:v>
                  </c:pt>
                  <c:pt idx="424">
                    <c:v>30-Sep</c:v>
                  </c:pt>
                  <c:pt idx="425">
                    <c:v>1-Oct</c:v>
                  </c:pt>
                  <c:pt idx="426">
                    <c:v>2-Oct</c:v>
                  </c:pt>
                  <c:pt idx="427">
                    <c:v>3-Oct</c:v>
                  </c:pt>
                  <c:pt idx="428">
                    <c:v>4-Oct</c:v>
                  </c:pt>
                  <c:pt idx="429">
                    <c:v>5-Oct</c:v>
                  </c:pt>
                  <c:pt idx="430">
                    <c:v>6-Oct</c:v>
                  </c:pt>
                  <c:pt idx="431">
                    <c:v>7-Oct</c:v>
                  </c:pt>
                  <c:pt idx="432">
                    <c:v>8-Oct</c:v>
                  </c:pt>
                  <c:pt idx="433">
                    <c:v>9-Oct</c:v>
                  </c:pt>
                  <c:pt idx="434">
                    <c:v>10-Oct</c:v>
                  </c:pt>
                  <c:pt idx="435">
                    <c:v>11-Oct</c:v>
                  </c:pt>
                  <c:pt idx="436">
                    <c:v>12-Oct</c:v>
                  </c:pt>
                  <c:pt idx="437">
                    <c:v>13-Oct</c:v>
                  </c:pt>
                  <c:pt idx="438">
                    <c:v>14-Oct</c:v>
                  </c:pt>
                  <c:pt idx="439">
                    <c:v>15-Oct</c:v>
                  </c:pt>
                  <c:pt idx="440">
                    <c:v>16-Oct</c:v>
                  </c:pt>
                  <c:pt idx="441">
                    <c:v>17-Oct</c:v>
                  </c:pt>
                  <c:pt idx="442">
                    <c:v>18-Oct</c:v>
                  </c:pt>
                  <c:pt idx="443">
                    <c:v>19-Oct</c:v>
                  </c:pt>
                  <c:pt idx="444">
                    <c:v>20-Oct</c:v>
                  </c:pt>
                  <c:pt idx="445">
                    <c:v>21-Oct</c:v>
                  </c:pt>
                  <c:pt idx="446">
                    <c:v>22-Oct</c:v>
                  </c:pt>
                  <c:pt idx="447">
                    <c:v>23-Oct</c:v>
                  </c:pt>
                  <c:pt idx="448">
                    <c:v>24-Oct</c:v>
                  </c:pt>
                  <c:pt idx="449">
                    <c:v>25-Oct</c:v>
                  </c:pt>
                  <c:pt idx="450">
                    <c:v>26-Oct</c:v>
                  </c:pt>
                  <c:pt idx="451">
                    <c:v>27-Oct</c:v>
                  </c:pt>
                  <c:pt idx="452">
                    <c:v>28-Oct</c:v>
                  </c:pt>
                  <c:pt idx="453">
                    <c:v>29-Oct</c:v>
                  </c:pt>
                  <c:pt idx="454">
                    <c:v>30-Oct</c:v>
                  </c:pt>
                  <c:pt idx="455">
                    <c:v>31-Oct</c:v>
                  </c:pt>
                  <c:pt idx="456">
                    <c:v>1-Nov</c:v>
                  </c:pt>
                  <c:pt idx="457">
                    <c:v>2-Nov</c:v>
                  </c:pt>
                  <c:pt idx="458">
                    <c:v>3-Nov</c:v>
                  </c:pt>
                  <c:pt idx="459">
                    <c:v>4-Nov</c:v>
                  </c:pt>
                  <c:pt idx="460">
                    <c:v>5-Nov</c:v>
                  </c:pt>
                  <c:pt idx="461">
                    <c:v>6-Nov</c:v>
                  </c:pt>
                  <c:pt idx="462">
                    <c:v>7-Nov</c:v>
                  </c:pt>
                  <c:pt idx="463">
                    <c:v>8-Nov</c:v>
                  </c:pt>
                  <c:pt idx="464">
                    <c:v>9-Nov</c:v>
                  </c:pt>
                  <c:pt idx="465">
                    <c:v>10-Nov</c:v>
                  </c:pt>
                  <c:pt idx="466">
                    <c:v>11-Nov</c:v>
                  </c:pt>
                  <c:pt idx="467">
                    <c:v>12-Nov</c:v>
                  </c:pt>
                  <c:pt idx="468">
                    <c:v>13-Nov</c:v>
                  </c:pt>
                  <c:pt idx="469">
                    <c:v>14-Nov</c:v>
                  </c:pt>
                  <c:pt idx="470">
                    <c:v>15-Nov</c:v>
                  </c:pt>
                  <c:pt idx="471">
                    <c:v>16-Nov</c:v>
                  </c:pt>
                  <c:pt idx="472">
                    <c:v>17-Nov</c:v>
                  </c:pt>
                  <c:pt idx="473">
                    <c:v>18-Nov</c:v>
                  </c:pt>
                  <c:pt idx="474">
                    <c:v>19-Nov</c:v>
                  </c:pt>
                  <c:pt idx="475">
                    <c:v>20-Nov</c:v>
                  </c:pt>
                  <c:pt idx="476">
                    <c:v>21-Nov</c:v>
                  </c:pt>
                  <c:pt idx="477">
                    <c:v>22-Nov</c:v>
                  </c:pt>
                  <c:pt idx="478">
                    <c:v>23-Nov</c:v>
                  </c:pt>
                  <c:pt idx="479">
                    <c:v>24-Nov</c:v>
                  </c:pt>
                  <c:pt idx="480">
                    <c:v>25-Nov</c:v>
                  </c:pt>
                  <c:pt idx="481">
                    <c:v>26-Nov</c:v>
                  </c:pt>
                  <c:pt idx="482">
                    <c:v>27-Nov</c:v>
                  </c:pt>
                  <c:pt idx="483">
                    <c:v>28-Nov</c:v>
                  </c:pt>
                  <c:pt idx="484">
                    <c:v>29-Nov</c:v>
                  </c:pt>
                  <c:pt idx="485">
                    <c:v>30-Nov</c:v>
                  </c:pt>
                  <c:pt idx="486">
                    <c:v>1-Dec</c:v>
                  </c:pt>
                  <c:pt idx="487">
                    <c:v>2-Dec</c:v>
                  </c:pt>
                  <c:pt idx="488">
                    <c:v>3-Dec</c:v>
                  </c:pt>
                  <c:pt idx="489">
                    <c:v>4-Dec</c:v>
                  </c:pt>
                  <c:pt idx="490">
                    <c:v>5-Dec</c:v>
                  </c:pt>
                  <c:pt idx="491">
                    <c:v>6-Dec</c:v>
                  </c:pt>
                  <c:pt idx="492">
                    <c:v>7-Dec</c:v>
                  </c:pt>
                  <c:pt idx="493">
                    <c:v>8-Dec</c:v>
                  </c:pt>
                  <c:pt idx="494">
                    <c:v>9-Dec</c:v>
                  </c:pt>
                  <c:pt idx="495">
                    <c:v>10-Dec</c:v>
                  </c:pt>
                  <c:pt idx="496">
                    <c:v>11-Dec</c:v>
                  </c:pt>
                  <c:pt idx="497">
                    <c:v>12-Dec</c:v>
                  </c:pt>
                  <c:pt idx="498">
                    <c:v>13-Dec</c:v>
                  </c:pt>
                  <c:pt idx="499">
                    <c:v>14-Dec</c:v>
                  </c:pt>
                  <c:pt idx="500">
                    <c:v>15-Dec</c:v>
                  </c:pt>
                  <c:pt idx="501">
                    <c:v>16-Dec</c:v>
                  </c:pt>
                  <c:pt idx="502">
                    <c:v>17-Dec</c:v>
                  </c:pt>
                  <c:pt idx="503">
                    <c:v>18-Dec</c:v>
                  </c:pt>
                  <c:pt idx="504">
                    <c:v>19-Dec</c:v>
                  </c:pt>
                  <c:pt idx="505">
                    <c:v>20-Dec</c:v>
                  </c:pt>
                  <c:pt idx="506">
                    <c:v>21-Dec</c:v>
                  </c:pt>
                  <c:pt idx="507">
                    <c:v>22-Dec</c:v>
                  </c:pt>
                  <c:pt idx="508">
                    <c:v>23-Dec</c:v>
                  </c:pt>
                  <c:pt idx="509">
                    <c:v>24-Dec</c:v>
                  </c:pt>
                  <c:pt idx="510">
                    <c:v>25-Dec</c:v>
                  </c:pt>
                  <c:pt idx="511">
                    <c:v>26-Dec</c:v>
                  </c:pt>
                  <c:pt idx="512">
                    <c:v>27-Dec</c:v>
                  </c:pt>
                  <c:pt idx="513">
                    <c:v>28-Dec</c:v>
                  </c:pt>
                  <c:pt idx="514">
                    <c:v>29-Dec</c:v>
                  </c:pt>
                  <c:pt idx="515">
                    <c:v>30-Dec</c:v>
                  </c:pt>
                  <c:pt idx="516">
                    <c:v>31-Dec</c:v>
                  </c:pt>
                  <c:pt idx="517">
                    <c:v>1-Jan</c:v>
                  </c:pt>
                  <c:pt idx="518">
                    <c:v>2-Jan</c:v>
                  </c:pt>
                  <c:pt idx="519">
                    <c:v>3-Jan</c:v>
                  </c:pt>
                  <c:pt idx="520">
                    <c:v>4-Jan</c:v>
                  </c:pt>
                  <c:pt idx="521">
                    <c:v>5-Jan</c:v>
                  </c:pt>
                  <c:pt idx="522">
                    <c:v>6-Jan</c:v>
                  </c:pt>
                  <c:pt idx="523">
                    <c:v>7-Jan</c:v>
                  </c:pt>
                  <c:pt idx="524">
                    <c:v>8-Jan</c:v>
                  </c:pt>
                  <c:pt idx="525">
                    <c:v>9-Jan</c:v>
                  </c:pt>
                  <c:pt idx="526">
                    <c:v>10-Jan</c:v>
                  </c:pt>
                  <c:pt idx="527">
                    <c:v>11-Jan</c:v>
                  </c:pt>
                  <c:pt idx="528">
                    <c:v>12-Jan</c:v>
                  </c:pt>
                  <c:pt idx="529">
                    <c:v>13-Jan</c:v>
                  </c:pt>
                  <c:pt idx="530">
                    <c:v>14-Jan</c:v>
                  </c:pt>
                  <c:pt idx="531">
                    <c:v>15-Jan</c:v>
                  </c:pt>
                  <c:pt idx="532">
                    <c:v>16-Jan</c:v>
                  </c:pt>
                  <c:pt idx="533">
                    <c:v>17-Jan</c:v>
                  </c:pt>
                  <c:pt idx="534">
                    <c:v>18-Jan</c:v>
                  </c:pt>
                  <c:pt idx="535">
                    <c:v>19-Jan</c:v>
                  </c:pt>
                  <c:pt idx="536">
                    <c:v>20-Jan</c:v>
                  </c:pt>
                  <c:pt idx="537">
                    <c:v>21-Jan</c:v>
                  </c:pt>
                  <c:pt idx="538">
                    <c:v>22-Jan</c:v>
                  </c:pt>
                  <c:pt idx="539">
                    <c:v>23-Jan</c:v>
                  </c:pt>
                  <c:pt idx="540">
                    <c:v>24-Jan</c:v>
                  </c:pt>
                  <c:pt idx="541">
                    <c:v>25-Jan</c:v>
                  </c:pt>
                  <c:pt idx="542">
                    <c:v>26-Jan</c:v>
                  </c:pt>
                  <c:pt idx="543">
                    <c:v>27-Jan</c:v>
                  </c:pt>
                  <c:pt idx="544">
                    <c:v>28-Jan</c:v>
                  </c:pt>
                  <c:pt idx="545">
                    <c:v>29-Jan</c:v>
                  </c:pt>
                  <c:pt idx="546">
                    <c:v>30-Jan</c:v>
                  </c:pt>
                  <c:pt idx="547">
                    <c:v>31-Jan</c:v>
                  </c:pt>
                  <c:pt idx="548">
                    <c:v>1-Feb</c:v>
                  </c:pt>
                  <c:pt idx="549">
                    <c:v>2-Feb</c:v>
                  </c:pt>
                  <c:pt idx="550">
                    <c:v>3-Feb</c:v>
                  </c:pt>
                  <c:pt idx="551">
                    <c:v>4-Feb</c:v>
                  </c:pt>
                  <c:pt idx="552">
                    <c:v>5-Feb</c:v>
                  </c:pt>
                  <c:pt idx="553">
                    <c:v>6-Feb</c:v>
                  </c:pt>
                  <c:pt idx="554">
                    <c:v>7-Feb</c:v>
                  </c:pt>
                  <c:pt idx="555">
                    <c:v>8-Feb</c:v>
                  </c:pt>
                  <c:pt idx="556">
                    <c:v>9-Feb</c:v>
                  </c:pt>
                  <c:pt idx="557">
                    <c:v>10-Feb</c:v>
                  </c:pt>
                  <c:pt idx="558">
                    <c:v>11-Feb</c:v>
                  </c:pt>
                  <c:pt idx="559">
                    <c:v>12-Feb</c:v>
                  </c:pt>
                  <c:pt idx="560">
                    <c:v>13-Feb</c:v>
                  </c:pt>
                  <c:pt idx="561">
                    <c:v>14-Feb</c:v>
                  </c:pt>
                  <c:pt idx="562">
                    <c:v>15-Feb</c:v>
                  </c:pt>
                  <c:pt idx="563">
                    <c:v>16-Feb</c:v>
                  </c:pt>
                  <c:pt idx="564">
                    <c:v>17-Feb</c:v>
                  </c:pt>
                  <c:pt idx="565">
                    <c:v>18-Feb</c:v>
                  </c:pt>
                  <c:pt idx="566">
                    <c:v>19-Feb</c:v>
                  </c:pt>
                  <c:pt idx="567">
                    <c:v>20-Feb</c:v>
                  </c:pt>
                  <c:pt idx="568">
                    <c:v>21-Feb</c:v>
                  </c:pt>
                  <c:pt idx="569">
                    <c:v>22-Feb</c:v>
                  </c:pt>
                  <c:pt idx="570">
                    <c:v>23-Feb</c:v>
                  </c:pt>
                  <c:pt idx="571">
                    <c:v>24-Feb</c:v>
                  </c:pt>
                  <c:pt idx="572">
                    <c:v>25-Feb</c:v>
                  </c:pt>
                  <c:pt idx="573">
                    <c:v>26-Feb</c:v>
                  </c:pt>
                  <c:pt idx="574">
                    <c:v>27-Feb</c:v>
                  </c:pt>
                  <c:pt idx="575">
                    <c:v>28-Feb</c:v>
                  </c:pt>
                  <c:pt idx="576">
                    <c:v>1-Mar</c:v>
                  </c:pt>
                  <c:pt idx="577">
                    <c:v>2-Mar</c:v>
                  </c:pt>
                  <c:pt idx="578">
                    <c:v>3-Mar</c:v>
                  </c:pt>
                  <c:pt idx="579">
                    <c:v>4-Mar</c:v>
                  </c:pt>
                  <c:pt idx="580">
                    <c:v>5-Mar</c:v>
                  </c:pt>
                  <c:pt idx="581">
                    <c:v>6-Mar</c:v>
                  </c:pt>
                  <c:pt idx="582">
                    <c:v>7-Mar</c:v>
                  </c:pt>
                  <c:pt idx="583">
                    <c:v>8-Mar</c:v>
                  </c:pt>
                  <c:pt idx="584">
                    <c:v>9-Mar</c:v>
                  </c:pt>
                  <c:pt idx="585">
                    <c:v>10-Mar</c:v>
                  </c:pt>
                  <c:pt idx="586">
                    <c:v>11-Mar</c:v>
                  </c:pt>
                  <c:pt idx="587">
                    <c:v>12-Mar</c:v>
                  </c:pt>
                  <c:pt idx="588">
                    <c:v>13-Mar</c:v>
                  </c:pt>
                  <c:pt idx="589">
                    <c:v>14-Mar</c:v>
                  </c:pt>
                  <c:pt idx="590">
                    <c:v>15-Mar</c:v>
                  </c:pt>
                  <c:pt idx="591">
                    <c:v>16-Mar</c:v>
                  </c:pt>
                  <c:pt idx="592">
                    <c:v>17-Mar</c:v>
                  </c:pt>
                  <c:pt idx="593">
                    <c:v>18-Mar</c:v>
                  </c:pt>
                  <c:pt idx="594">
                    <c:v>19-Mar</c:v>
                  </c:pt>
                  <c:pt idx="595">
                    <c:v>20-Mar</c:v>
                  </c:pt>
                  <c:pt idx="596">
                    <c:v>21-Mar</c:v>
                  </c:pt>
                  <c:pt idx="597">
                    <c:v>22-Mar</c:v>
                  </c:pt>
                  <c:pt idx="598">
                    <c:v>23-Mar</c:v>
                  </c:pt>
                  <c:pt idx="599">
                    <c:v>24-Mar</c:v>
                  </c:pt>
                  <c:pt idx="600">
                    <c:v>25-Mar</c:v>
                  </c:pt>
                  <c:pt idx="601">
                    <c:v>26-Mar</c:v>
                  </c:pt>
                  <c:pt idx="602">
                    <c:v>27-Mar</c:v>
                  </c:pt>
                  <c:pt idx="603">
                    <c:v>28-Mar</c:v>
                  </c:pt>
                  <c:pt idx="604">
                    <c:v>29-Mar</c:v>
                  </c:pt>
                  <c:pt idx="605">
                    <c:v>30-Mar</c:v>
                  </c:pt>
                  <c:pt idx="606">
                    <c:v>31-Mar</c:v>
                  </c:pt>
                  <c:pt idx="607">
                    <c:v>1-Apr</c:v>
                  </c:pt>
                  <c:pt idx="608">
                    <c:v>2-Apr</c:v>
                  </c:pt>
                  <c:pt idx="609">
                    <c:v>3-Apr</c:v>
                  </c:pt>
                  <c:pt idx="610">
                    <c:v>4-Apr</c:v>
                  </c:pt>
                  <c:pt idx="611">
                    <c:v>5-Apr</c:v>
                  </c:pt>
                  <c:pt idx="612">
                    <c:v>6-Apr</c:v>
                  </c:pt>
                  <c:pt idx="613">
                    <c:v>7-Apr</c:v>
                  </c:pt>
                  <c:pt idx="614">
                    <c:v>8-Apr</c:v>
                  </c:pt>
                  <c:pt idx="615">
                    <c:v>9-Apr</c:v>
                  </c:pt>
                  <c:pt idx="616">
                    <c:v>10-Apr</c:v>
                  </c:pt>
                  <c:pt idx="617">
                    <c:v>11-Apr</c:v>
                  </c:pt>
                  <c:pt idx="618">
                    <c:v>12-Apr</c:v>
                  </c:pt>
                  <c:pt idx="619">
                    <c:v>13-Apr</c:v>
                  </c:pt>
                  <c:pt idx="620">
                    <c:v>14-Apr</c:v>
                  </c:pt>
                  <c:pt idx="621">
                    <c:v>15-Apr</c:v>
                  </c:pt>
                  <c:pt idx="622">
                    <c:v>16-Apr</c:v>
                  </c:pt>
                  <c:pt idx="623">
                    <c:v>17-Apr</c:v>
                  </c:pt>
                  <c:pt idx="624">
                    <c:v>18-Apr</c:v>
                  </c:pt>
                  <c:pt idx="625">
                    <c:v>19-Apr</c:v>
                  </c:pt>
                  <c:pt idx="626">
                    <c:v>20-Apr</c:v>
                  </c:pt>
                  <c:pt idx="627">
                    <c:v>21-Apr</c:v>
                  </c:pt>
                  <c:pt idx="628">
                    <c:v>22-Apr</c:v>
                  </c:pt>
                  <c:pt idx="629">
                    <c:v>23-Apr</c:v>
                  </c:pt>
                  <c:pt idx="630">
                    <c:v>24-Apr</c:v>
                  </c:pt>
                  <c:pt idx="631">
                    <c:v>25-Apr</c:v>
                  </c:pt>
                  <c:pt idx="632">
                    <c:v>26-Apr</c:v>
                  </c:pt>
                  <c:pt idx="633">
                    <c:v>27-Apr</c:v>
                  </c:pt>
                  <c:pt idx="634">
                    <c:v>28-Apr</c:v>
                  </c:pt>
                  <c:pt idx="635">
                    <c:v>29-Apr</c:v>
                  </c:pt>
                  <c:pt idx="636">
                    <c:v>30-Apr</c:v>
                  </c:pt>
                  <c:pt idx="637">
                    <c:v>1-May</c:v>
                  </c:pt>
                  <c:pt idx="638">
                    <c:v>2-May</c:v>
                  </c:pt>
                  <c:pt idx="639">
                    <c:v>3-May</c:v>
                  </c:pt>
                  <c:pt idx="640">
                    <c:v>4-May</c:v>
                  </c:pt>
                  <c:pt idx="641">
                    <c:v>5-May</c:v>
                  </c:pt>
                  <c:pt idx="642">
                    <c:v>6-May</c:v>
                  </c:pt>
                  <c:pt idx="643">
                    <c:v>7-May</c:v>
                  </c:pt>
                  <c:pt idx="644">
                    <c:v>8-May</c:v>
                  </c:pt>
                  <c:pt idx="645">
                    <c:v>9-May</c:v>
                  </c:pt>
                  <c:pt idx="646">
                    <c:v>10-May</c:v>
                  </c:pt>
                  <c:pt idx="647">
                    <c:v>11-May</c:v>
                  </c:pt>
                  <c:pt idx="648">
                    <c:v>12-May</c:v>
                  </c:pt>
                  <c:pt idx="649">
                    <c:v>13-May</c:v>
                  </c:pt>
                  <c:pt idx="650">
                    <c:v>14-May</c:v>
                  </c:pt>
                  <c:pt idx="651">
                    <c:v>15-May</c:v>
                  </c:pt>
                  <c:pt idx="652">
                    <c:v>16-May</c:v>
                  </c:pt>
                  <c:pt idx="653">
                    <c:v>17-May</c:v>
                  </c:pt>
                  <c:pt idx="654">
                    <c:v>18-May</c:v>
                  </c:pt>
                  <c:pt idx="655">
                    <c:v>19-May</c:v>
                  </c:pt>
                  <c:pt idx="656">
                    <c:v>20-May</c:v>
                  </c:pt>
                  <c:pt idx="657">
                    <c:v>21-May</c:v>
                  </c:pt>
                  <c:pt idx="658">
                    <c:v>22-May</c:v>
                  </c:pt>
                  <c:pt idx="659">
                    <c:v>23-May</c:v>
                  </c:pt>
                  <c:pt idx="660">
                    <c:v>24-May</c:v>
                  </c:pt>
                  <c:pt idx="661">
                    <c:v>25-May</c:v>
                  </c:pt>
                  <c:pt idx="662">
                    <c:v>26-May</c:v>
                  </c:pt>
                  <c:pt idx="663">
                    <c:v>27-May</c:v>
                  </c:pt>
                  <c:pt idx="664">
                    <c:v>28-May</c:v>
                  </c:pt>
                  <c:pt idx="665">
                    <c:v>29-May</c:v>
                  </c:pt>
                  <c:pt idx="666">
                    <c:v>30-May</c:v>
                  </c:pt>
                  <c:pt idx="667">
                    <c:v>31-May</c:v>
                  </c:pt>
                  <c:pt idx="668">
                    <c:v>1-Jun</c:v>
                  </c:pt>
                  <c:pt idx="669">
                    <c:v>2-Jun</c:v>
                  </c:pt>
                  <c:pt idx="670">
                    <c:v>3-Jun</c:v>
                  </c:pt>
                  <c:pt idx="671">
                    <c:v>4-Jun</c:v>
                  </c:pt>
                  <c:pt idx="672">
                    <c:v>5-Jun</c:v>
                  </c:pt>
                  <c:pt idx="673">
                    <c:v>6-Jun</c:v>
                  </c:pt>
                  <c:pt idx="674">
                    <c:v>7-Jun</c:v>
                  </c:pt>
                  <c:pt idx="675">
                    <c:v>8-Jun</c:v>
                  </c:pt>
                  <c:pt idx="676">
                    <c:v>9-Jun</c:v>
                  </c:pt>
                  <c:pt idx="677">
                    <c:v>10-Jun</c:v>
                  </c:pt>
                  <c:pt idx="678">
                    <c:v>11-Jun</c:v>
                  </c:pt>
                  <c:pt idx="679">
                    <c:v>12-Jun</c:v>
                  </c:pt>
                  <c:pt idx="680">
                    <c:v>13-Jun</c:v>
                  </c:pt>
                  <c:pt idx="681">
                    <c:v>14-Jun</c:v>
                  </c:pt>
                  <c:pt idx="682">
                    <c:v>15-Jun</c:v>
                  </c:pt>
                  <c:pt idx="683">
                    <c:v>16-Jun</c:v>
                  </c:pt>
                  <c:pt idx="684">
                    <c:v>17-Jun</c:v>
                  </c:pt>
                  <c:pt idx="685">
                    <c:v>18-Jun</c:v>
                  </c:pt>
                  <c:pt idx="686">
                    <c:v>19-Jun</c:v>
                  </c:pt>
                  <c:pt idx="687">
                    <c:v>20-Jun</c:v>
                  </c:pt>
                  <c:pt idx="688">
                    <c:v>21-Jun</c:v>
                  </c:pt>
                  <c:pt idx="689">
                    <c:v>22-Jun</c:v>
                  </c:pt>
                  <c:pt idx="690">
                    <c:v>23-Jun</c:v>
                  </c:pt>
                  <c:pt idx="691">
                    <c:v>24-Jun</c:v>
                  </c:pt>
                  <c:pt idx="692">
                    <c:v>25-Jun</c:v>
                  </c:pt>
                  <c:pt idx="693">
                    <c:v>26-Jun</c:v>
                  </c:pt>
                  <c:pt idx="694">
                    <c:v>27-Jun</c:v>
                  </c:pt>
                  <c:pt idx="695">
                    <c:v>28-Jun</c:v>
                  </c:pt>
                  <c:pt idx="696">
                    <c:v>29-Jun</c:v>
                  </c:pt>
                  <c:pt idx="697">
                    <c:v>30-Jun</c:v>
                  </c:pt>
                  <c:pt idx="698">
                    <c:v>1-Jul</c:v>
                  </c:pt>
                  <c:pt idx="699">
                    <c:v>2-Jul</c:v>
                  </c:pt>
                  <c:pt idx="700">
                    <c:v>3-Jul</c:v>
                  </c:pt>
                  <c:pt idx="701">
                    <c:v>4-Jul</c:v>
                  </c:pt>
                  <c:pt idx="702">
                    <c:v>5-Jul</c:v>
                  </c:pt>
                  <c:pt idx="703">
                    <c:v>6-Jul</c:v>
                  </c:pt>
                  <c:pt idx="704">
                    <c:v>7-Jul</c:v>
                  </c:pt>
                  <c:pt idx="705">
                    <c:v>8-Jul</c:v>
                  </c:pt>
                  <c:pt idx="706">
                    <c:v>9-Jul</c:v>
                  </c:pt>
                  <c:pt idx="707">
                    <c:v>10-Jul</c:v>
                  </c:pt>
                  <c:pt idx="708">
                    <c:v>11-Jul</c:v>
                  </c:pt>
                  <c:pt idx="709">
                    <c:v>12-Jul</c:v>
                  </c:pt>
                  <c:pt idx="710">
                    <c:v>13-Jul</c:v>
                  </c:pt>
                  <c:pt idx="711">
                    <c:v>14-Jul</c:v>
                  </c:pt>
                  <c:pt idx="712">
                    <c:v>15-Jul</c:v>
                  </c:pt>
                  <c:pt idx="713">
                    <c:v>16-Jul</c:v>
                  </c:pt>
                  <c:pt idx="714">
                    <c:v>17-Jul</c:v>
                  </c:pt>
                  <c:pt idx="715">
                    <c:v>18-Jul</c:v>
                  </c:pt>
                  <c:pt idx="716">
                    <c:v>19-Jul</c:v>
                  </c:pt>
                  <c:pt idx="717">
                    <c:v>20-Jul</c:v>
                  </c:pt>
                  <c:pt idx="718">
                    <c:v>21-Jul</c:v>
                  </c:pt>
                  <c:pt idx="719">
                    <c:v>22-Jul</c:v>
                  </c:pt>
                  <c:pt idx="720">
                    <c:v>23-Jul</c:v>
                  </c:pt>
                  <c:pt idx="721">
                    <c:v>24-Jul</c:v>
                  </c:pt>
                  <c:pt idx="722">
                    <c:v>25-Jul</c:v>
                  </c:pt>
                  <c:pt idx="723">
                    <c:v>26-Jul</c:v>
                  </c:pt>
                  <c:pt idx="724">
                    <c:v>27-Jul</c:v>
                  </c:pt>
                  <c:pt idx="725">
                    <c:v>28-Jul</c:v>
                  </c:pt>
                  <c:pt idx="726">
                    <c:v>29-Jul</c:v>
                  </c:pt>
                  <c:pt idx="727">
                    <c:v>30-Jul</c:v>
                  </c:pt>
                  <c:pt idx="728">
                    <c:v>31-Jul</c:v>
                  </c:pt>
                  <c:pt idx="729">
                    <c:v>1-Aug</c:v>
                  </c:pt>
                  <c:pt idx="730">
                    <c:v>2-Aug</c:v>
                  </c:pt>
                  <c:pt idx="731">
                    <c:v>3-Aug</c:v>
                  </c:pt>
                  <c:pt idx="732">
                    <c:v>4-Aug</c:v>
                  </c:pt>
                  <c:pt idx="733">
                    <c:v>5-Aug</c:v>
                  </c:pt>
                  <c:pt idx="734">
                    <c:v>6-Aug</c:v>
                  </c:pt>
                  <c:pt idx="735">
                    <c:v>7-Aug</c:v>
                  </c:pt>
                  <c:pt idx="736">
                    <c:v>8-Aug</c:v>
                  </c:pt>
                  <c:pt idx="737">
                    <c:v>9-Aug</c:v>
                  </c:pt>
                  <c:pt idx="738">
                    <c:v>10-Aug</c:v>
                  </c:pt>
                  <c:pt idx="739">
                    <c:v>11-Aug</c:v>
                  </c:pt>
                  <c:pt idx="740">
                    <c:v>12-Aug</c:v>
                  </c:pt>
                  <c:pt idx="741">
                    <c:v>13-Aug</c:v>
                  </c:pt>
                  <c:pt idx="742">
                    <c:v>14-Aug</c:v>
                  </c:pt>
                  <c:pt idx="743">
                    <c:v>15-Aug</c:v>
                  </c:pt>
                  <c:pt idx="744">
                    <c:v>16-Aug</c:v>
                  </c:pt>
                  <c:pt idx="745">
                    <c:v>17-Aug</c:v>
                  </c:pt>
                  <c:pt idx="746">
                    <c:v>18-Aug</c:v>
                  </c:pt>
                  <c:pt idx="747">
                    <c:v>19-Aug</c:v>
                  </c:pt>
                  <c:pt idx="748">
                    <c:v>20-Aug</c:v>
                  </c:pt>
                  <c:pt idx="749">
                    <c:v>21-Aug</c:v>
                  </c:pt>
                  <c:pt idx="750">
                    <c:v>22-Aug</c:v>
                  </c:pt>
                  <c:pt idx="751">
                    <c:v>23-Aug</c:v>
                  </c:pt>
                  <c:pt idx="752">
                    <c:v>24-Aug</c:v>
                  </c:pt>
                  <c:pt idx="753">
                    <c:v>25-Aug</c:v>
                  </c:pt>
                  <c:pt idx="754">
                    <c:v>26-Aug</c:v>
                  </c:pt>
                  <c:pt idx="755">
                    <c:v>27-Aug</c:v>
                  </c:pt>
                  <c:pt idx="756">
                    <c:v>28-Aug</c:v>
                  </c:pt>
                  <c:pt idx="757">
                    <c:v>29-Aug</c:v>
                  </c:pt>
                  <c:pt idx="758">
                    <c:v>30-Aug</c:v>
                  </c:pt>
                  <c:pt idx="759">
                    <c:v>31-Aug</c:v>
                  </c:pt>
                  <c:pt idx="760">
                    <c:v>1-Sep</c:v>
                  </c:pt>
                  <c:pt idx="761">
                    <c:v>2-Sep</c:v>
                  </c:pt>
                  <c:pt idx="762">
                    <c:v>3-Sep</c:v>
                  </c:pt>
                  <c:pt idx="763">
                    <c:v>4-Sep</c:v>
                  </c:pt>
                  <c:pt idx="764">
                    <c:v>5-Sep</c:v>
                  </c:pt>
                  <c:pt idx="765">
                    <c:v>6-Sep</c:v>
                  </c:pt>
                  <c:pt idx="766">
                    <c:v>7-Sep</c:v>
                  </c:pt>
                  <c:pt idx="767">
                    <c:v>8-Sep</c:v>
                  </c:pt>
                  <c:pt idx="768">
                    <c:v>9-Sep</c:v>
                  </c:pt>
                  <c:pt idx="769">
                    <c:v>10-Sep</c:v>
                  </c:pt>
                  <c:pt idx="770">
                    <c:v>11-Sep</c:v>
                  </c:pt>
                  <c:pt idx="771">
                    <c:v>12-Sep</c:v>
                  </c:pt>
                  <c:pt idx="772">
                    <c:v>13-Sep</c:v>
                  </c:pt>
                  <c:pt idx="773">
                    <c:v>14-Sep</c:v>
                  </c:pt>
                  <c:pt idx="774">
                    <c:v>15-Sep</c:v>
                  </c:pt>
                  <c:pt idx="775">
                    <c:v>16-Sep</c:v>
                  </c:pt>
                  <c:pt idx="776">
                    <c:v>17-Sep</c:v>
                  </c:pt>
                  <c:pt idx="777">
                    <c:v>18-Sep</c:v>
                  </c:pt>
                  <c:pt idx="778">
                    <c:v>19-Sep</c:v>
                  </c:pt>
                  <c:pt idx="779">
                    <c:v>20-Sep</c:v>
                  </c:pt>
                  <c:pt idx="780">
                    <c:v>21-Sep</c:v>
                  </c:pt>
                  <c:pt idx="781">
                    <c:v>22-Sep</c:v>
                  </c:pt>
                  <c:pt idx="782">
                    <c:v>23-Sep</c:v>
                  </c:pt>
                  <c:pt idx="783">
                    <c:v>24-Sep</c:v>
                  </c:pt>
                  <c:pt idx="784">
                    <c:v>25-Sep</c:v>
                  </c:pt>
                  <c:pt idx="785">
                    <c:v>26-Sep</c:v>
                  </c:pt>
                  <c:pt idx="786">
                    <c:v>27-Sep</c:v>
                  </c:pt>
                  <c:pt idx="787">
                    <c:v>28-Sep</c:v>
                  </c:pt>
                  <c:pt idx="788">
                    <c:v>29-Sep</c:v>
                  </c:pt>
                  <c:pt idx="789">
                    <c:v>30-Sep</c:v>
                  </c:pt>
                  <c:pt idx="790">
                    <c:v>1-Oct</c:v>
                  </c:pt>
                  <c:pt idx="791">
                    <c:v>2-Oct</c:v>
                  </c:pt>
                  <c:pt idx="792">
                    <c:v>3-Oct</c:v>
                  </c:pt>
                  <c:pt idx="793">
                    <c:v>4-Oct</c:v>
                  </c:pt>
                  <c:pt idx="794">
                    <c:v>5-Oct</c:v>
                  </c:pt>
                  <c:pt idx="795">
                    <c:v>6-Oct</c:v>
                  </c:pt>
                  <c:pt idx="796">
                    <c:v>7-Oct</c:v>
                  </c:pt>
                  <c:pt idx="797">
                    <c:v>8-Oct</c:v>
                  </c:pt>
                  <c:pt idx="798">
                    <c:v>9-Oct</c:v>
                  </c:pt>
                  <c:pt idx="799">
                    <c:v>10-Oct</c:v>
                  </c:pt>
                  <c:pt idx="800">
                    <c:v>11-Oct</c:v>
                  </c:pt>
                  <c:pt idx="801">
                    <c:v>12-Oct</c:v>
                  </c:pt>
                  <c:pt idx="802">
                    <c:v>13-Oct</c:v>
                  </c:pt>
                  <c:pt idx="803">
                    <c:v>14-Oct</c:v>
                  </c:pt>
                  <c:pt idx="804">
                    <c:v>15-Oct</c:v>
                  </c:pt>
                  <c:pt idx="805">
                    <c:v>16-Oct</c:v>
                  </c:pt>
                  <c:pt idx="806">
                    <c:v>17-Oct</c:v>
                  </c:pt>
                  <c:pt idx="807">
                    <c:v>18-Oct</c:v>
                  </c:pt>
                  <c:pt idx="808">
                    <c:v>19-Oct</c:v>
                  </c:pt>
                  <c:pt idx="809">
                    <c:v>20-Oct</c:v>
                  </c:pt>
                  <c:pt idx="810">
                    <c:v>21-Oct</c:v>
                  </c:pt>
                  <c:pt idx="811">
                    <c:v>22-Oct</c:v>
                  </c:pt>
                  <c:pt idx="812">
                    <c:v>23-Oct</c:v>
                  </c:pt>
                  <c:pt idx="813">
                    <c:v>24-Oct</c:v>
                  </c:pt>
                  <c:pt idx="814">
                    <c:v>25-Oct</c:v>
                  </c:pt>
                  <c:pt idx="815">
                    <c:v>26-Oct</c:v>
                  </c:pt>
                  <c:pt idx="816">
                    <c:v>27-Oct</c:v>
                  </c:pt>
                  <c:pt idx="817">
                    <c:v>28-Oct</c:v>
                  </c:pt>
                  <c:pt idx="818">
                    <c:v>29-Oct</c:v>
                  </c:pt>
                  <c:pt idx="819">
                    <c:v>30-Oct</c:v>
                  </c:pt>
                  <c:pt idx="820">
                    <c:v>31-Oct</c:v>
                  </c:pt>
                  <c:pt idx="821">
                    <c:v>1-Nov</c:v>
                  </c:pt>
                  <c:pt idx="822">
                    <c:v>2-Nov</c:v>
                  </c:pt>
                  <c:pt idx="823">
                    <c:v>3-Nov</c:v>
                  </c:pt>
                  <c:pt idx="824">
                    <c:v>4-Nov</c:v>
                  </c:pt>
                  <c:pt idx="825">
                    <c:v>5-Nov</c:v>
                  </c:pt>
                  <c:pt idx="826">
                    <c:v>6-Nov</c:v>
                  </c:pt>
                  <c:pt idx="827">
                    <c:v>7-Nov</c:v>
                  </c:pt>
                  <c:pt idx="828">
                    <c:v>8-Nov</c:v>
                  </c:pt>
                  <c:pt idx="829">
                    <c:v>9-Nov</c:v>
                  </c:pt>
                  <c:pt idx="830">
                    <c:v>10-Nov</c:v>
                  </c:pt>
                  <c:pt idx="831">
                    <c:v>11-Nov</c:v>
                  </c:pt>
                  <c:pt idx="832">
                    <c:v>12-Nov</c:v>
                  </c:pt>
                  <c:pt idx="833">
                    <c:v>13-Nov</c:v>
                  </c:pt>
                  <c:pt idx="834">
                    <c:v>14-Nov</c:v>
                  </c:pt>
                  <c:pt idx="835">
                    <c:v>15-Nov</c:v>
                  </c:pt>
                  <c:pt idx="836">
                    <c:v>16-Nov</c:v>
                  </c:pt>
                  <c:pt idx="837">
                    <c:v>17-Nov</c:v>
                  </c:pt>
                  <c:pt idx="838">
                    <c:v>18-Nov</c:v>
                  </c:pt>
                  <c:pt idx="839">
                    <c:v>19-Nov</c:v>
                  </c:pt>
                  <c:pt idx="840">
                    <c:v>20-Nov</c:v>
                  </c:pt>
                  <c:pt idx="841">
                    <c:v>21-Nov</c:v>
                  </c:pt>
                  <c:pt idx="842">
                    <c:v>22-Nov</c:v>
                  </c:pt>
                  <c:pt idx="843">
                    <c:v>23-Nov</c:v>
                  </c:pt>
                  <c:pt idx="844">
                    <c:v>24-Nov</c:v>
                  </c:pt>
                  <c:pt idx="845">
                    <c:v>25-Nov</c:v>
                  </c:pt>
                  <c:pt idx="846">
                    <c:v>26-Nov</c:v>
                  </c:pt>
                  <c:pt idx="847">
                    <c:v>27-Nov</c:v>
                  </c:pt>
                  <c:pt idx="848">
                    <c:v>28-Nov</c:v>
                  </c:pt>
                  <c:pt idx="849">
                    <c:v>29-Nov</c:v>
                  </c:pt>
                  <c:pt idx="850">
                    <c:v>30-Nov</c:v>
                  </c:pt>
                  <c:pt idx="851">
                    <c:v>1-Dec</c:v>
                  </c:pt>
                  <c:pt idx="852">
                    <c:v>2-Dec</c:v>
                  </c:pt>
                  <c:pt idx="853">
                    <c:v>3-Dec</c:v>
                  </c:pt>
                  <c:pt idx="854">
                    <c:v>4-Dec</c:v>
                  </c:pt>
                  <c:pt idx="855">
                    <c:v>5-Dec</c:v>
                  </c:pt>
                  <c:pt idx="856">
                    <c:v>6-Dec</c:v>
                  </c:pt>
                  <c:pt idx="857">
                    <c:v>7-Dec</c:v>
                  </c:pt>
                  <c:pt idx="858">
                    <c:v>8-Dec</c:v>
                  </c:pt>
                  <c:pt idx="859">
                    <c:v>9-Dec</c:v>
                  </c:pt>
                  <c:pt idx="860">
                    <c:v>10-Dec</c:v>
                  </c:pt>
                  <c:pt idx="861">
                    <c:v>11-Dec</c:v>
                  </c:pt>
                  <c:pt idx="862">
                    <c:v>12-Dec</c:v>
                  </c:pt>
                  <c:pt idx="863">
                    <c:v>13-Dec</c:v>
                  </c:pt>
                  <c:pt idx="864">
                    <c:v>14-Dec</c:v>
                  </c:pt>
                  <c:pt idx="865">
                    <c:v>15-Dec</c:v>
                  </c:pt>
                  <c:pt idx="866">
                    <c:v>16-Dec</c:v>
                  </c:pt>
                  <c:pt idx="867">
                    <c:v>17-Dec</c:v>
                  </c:pt>
                  <c:pt idx="868">
                    <c:v>18-Dec</c:v>
                  </c:pt>
                  <c:pt idx="869">
                    <c:v>19-Dec</c:v>
                  </c:pt>
                  <c:pt idx="870">
                    <c:v>20-Dec</c:v>
                  </c:pt>
                  <c:pt idx="871">
                    <c:v>21-Dec</c:v>
                  </c:pt>
                  <c:pt idx="872">
                    <c:v>22-Dec</c:v>
                  </c:pt>
                  <c:pt idx="873">
                    <c:v>23-Dec</c:v>
                  </c:pt>
                  <c:pt idx="874">
                    <c:v>24-Dec</c:v>
                  </c:pt>
                  <c:pt idx="875">
                    <c:v>25-Dec</c:v>
                  </c:pt>
                  <c:pt idx="876">
                    <c:v>26-Dec</c:v>
                  </c:pt>
                  <c:pt idx="877">
                    <c:v>27-Dec</c:v>
                  </c:pt>
                  <c:pt idx="878">
                    <c:v>28-Dec</c:v>
                  </c:pt>
                  <c:pt idx="879">
                    <c:v>29-Dec</c:v>
                  </c:pt>
                  <c:pt idx="880">
                    <c:v>30-Dec</c:v>
                  </c:pt>
                  <c:pt idx="881">
                    <c:v>31-Dec</c:v>
                  </c:pt>
                  <c:pt idx="882">
                    <c:v>1-Jan</c:v>
                  </c:pt>
                  <c:pt idx="883">
                    <c:v>2-Jan</c:v>
                  </c:pt>
                  <c:pt idx="884">
                    <c:v>3-Jan</c:v>
                  </c:pt>
                  <c:pt idx="885">
                    <c:v>4-Jan</c:v>
                  </c:pt>
                  <c:pt idx="886">
                    <c:v>5-Jan</c:v>
                  </c:pt>
                  <c:pt idx="887">
                    <c:v>6-Jan</c:v>
                  </c:pt>
                  <c:pt idx="888">
                    <c:v>7-Jan</c:v>
                  </c:pt>
                  <c:pt idx="889">
                    <c:v>8-Jan</c:v>
                  </c:pt>
                  <c:pt idx="890">
                    <c:v>9-Jan</c:v>
                  </c:pt>
                  <c:pt idx="891">
                    <c:v>10-Jan</c:v>
                  </c:pt>
                  <c:pt idx="892">
                    <c:v>11-Jan</c:v>
                  </c:pt>
                  <c:pt idx="893">
                    <c:v>12-Jan</c:v>
                  </c:pt>
                  <c:pt idx="894">
                    <c:v>13-Jan</c:v>
                  </c:pt>
                  <c:pt idx="895">
                    <c:v>14-Jan</c:v>
                  </c:pt>
                  <c:pt idx="896">
                    <c:v>15-Jan</c:v>
                  </c:pt>
                  <c:pt idx="897">
                    <c:v>16-Jan</c:v>
                  </c:pt>
                  <c:pt idx="898">
                    <c:v>17-Jan</c:v>
                  </c:pt>
                  <c:pt idx="899">
                    <c:v>18-Jan</c:v>
                  </c:pt>
                  <c:pt idx="900">
                    <c:v>19-Jan</c:v>
                  </c:pt>
                  <c:pt idx="901">
                    <c:v>20-Jan</c:v>
                  </c:pt>
                  <c:pt idx="902">
                    <c:v>21-Jan</c:v>
                  </c:pt>
                  <c:pt idx="903">
                    <c:v>22-Jan</c:v>
                  </c:pt>
                  <c:pt idx="904">
                    <c:v>23-Jan</c:v>
                  </c:pt>
                  <c:pt idx="905">
                    <c:v>24-Jan</c:v>
                  </c:pt>
                  <c:pt idx="906">
                    <c:v>25-Jan</c:v>
                  </c:pt>
                  <c:pt idx="907">
                    <c:v>26-Jan</c:v>
                  </c:pt>
                  <c:pt idx="908">
                    <c:v>27-Jan</c:v>
                  </c:pt>
                  <c:pt idx="909">
                    <c:v>28-Jan</c:v>
                  </c:pt>
                  <c:pt idx="910">
                    <c:v>29-Jan</c:v>
                  </c:pt>
                  <c:pt idx="911">
                    <c:v>30-Jan</c:v>
                  </c:pt>
                  <c:pt idx="912">
                    <c:v>31-Jan</c:v>
                  </c:pt>
                  <c:pt idx="913">
                    <c:v>1-Feb</c:v>
                  </c:pt>
                  <c:pt idx="914">
                    <c:v>2-Feb</c:v>
                  </c:pt>
                  <c:pt idx="915">
                    <c:v>3-Feb</c:v>
                  </c:pt>
                  <c:pt idx="916">
                    <c:v>4-Feb</c:v>
                  </c:pt>
                  <c:pt idx="917">
                    <c:v>5-Feb</c:v>
                  </c:pt>
                  <c:pt idx="918">
                    <c:v>6-Feb</c:v>
                  </c:pt>
                  <c:pt idx="919">
                    <c:v>7-Feb</c:v>
                  </c:pt>
                  <c:pt idx="920">
                    <c:v>8-Feb</c:v>
                  </c:pt>
                  <c:pt idx="921">
                    <c:v>9-Feb</c:v>
                  </c:pt>
                  <c:pt idx="922">
                    <c:v>10-Feb</c:v>
                  </c:pt>
                  <c:pt idx="923">
                    <c:v>11-Feb</c:v>
                  </c:pt>
                  <c:pt idx="924">
                    <c:v>12-Feb</c:v>
                  </c:pt>
                  <c:pt idx="925">
                    <c:v>13-Feb</c:v>
                  </c:pt>
                  <c:pt idx="926">
                    <c:v>14-Feb</c:v>
                  </c:pt>
                  <c:pt idx="927">
                    <c:v>15-Feb</c:v>
                  </c:pt>
                  <c:pt idx="928">
                    <c:v>16-Feb</c:v>
                  </c:pt>
                  <c:pt idx="929">
                    <c:v>17-Feb</c:v>
                  </c:pt>
                  <c:pt idx="930">
                    <c:v>18-Feb</c:v>
                  </c:pt>
                  <c:pt idx="931">
                    <c:v>19-Feb</c:v>
                  </c:pt>
                  <c:pt idx="932">
                    <c:v>20-Feb</c:v>
                  </c:pt>
                  <c:pt idx="933">
                    <c:v>21-Feb</c:v>
                  </c:pt>
                  <c:pt idx="934">
                    <c:v>22-Feb</c:v>
                  </c:pt>
                  <c:pt idx="935">
                    <c:v>23-Feb</c:v>
                  </c:pt>
                  <c:pt idx="936">
                    <c:v>24-Feb</c:v>
                  </c:pt>
                  <c:pt idx="937">
                    <c:v>25-Feb</c:v>
                  </c:pt>
                  <c:pt idx="938">
                    <c:v>26-Feb</c:v>
                  </c:pt>
                  <c:pt idx="939">
                    <c:v>27-Feb</c:v>
                  </c:pt>
                  <c:pt idx="940">
                    <c:v>28-Feb</c:v>
                  </c:pt>
                  <c:pt idx="941">
                    <c:v>29-Feb</c:v>
                  </c:pt>
                  <c:pt idx="942">
                    <c:v>1-Mar</c:v>
                  </c:pt>
                  <c:pt idx="943">
                    <c:v>2-Mar</c:v>
                  </c:pt>
                  <c:pt idx="944">
                    <c:v>3-Mar</c:v>
                  </c:pt>
                  <c:pt idx="945">
                    <c:v>4-Mar</c:v>
                  </c:pt>
                  <c:pt idx="946">
                    <c:v>5-Mar</c:v>
                  </c:pt>
                  <c:pt idx="947">
                    <c:v>6-Mar</c:v>
                  </c:pt>
                  <c:pt idx="948">
                    <c:v>7-Mar</c:v>
                  </c:pt>
                  <c:pt idx="949">
                    <c:v>8-Mar</c:v>
                  </c:pt>
                  <c:pt idx="950">
                    <c:v>9-Mar</c:v>
                  </c:pt>
                  <c:pt idx="951">
                    <c:v>10-Mar</c:v>
                  </c:pt>
                  <c:pt idx="952">
                    <c:v>11-Mar</c:v>
                  </c:pt>
                  <c:pt idx="953">
                    <c:v>12-Mar</c:v>
                  </c:pt>
                  <c:pt idx="954">
                    <c:v>13-Mar</c:v>
                  </c:pt>
                  <c:pt idx="955">
                    <c:v>14-Mar</c:v>
                  </c:pt>
                  <c:pt idx="956">
                    <c:v>15-Mar</c:v>
                  </c:pt>
                  <c:pt idx="957">
                    <c:v>16-Mar</c:v>
                  </c:pt>
                  <c:pt idx="958">
                    <c:v>17-Mar</c:v>
                  </c:pt>
                  <c:pt idx="959">
                    <c:v>18-Mar</c:v>
                  </c:pt>
                  <c:pt idx="960">
                    <c:v>19-Mar</c:v>
                  </c:pt>
                  <c:pt idx="961">
                    <c:v>20-Mar</c:v>
                  </c:pt>
                  <c:pt idx="962">
                    <c:v>21-Mar</c:v>
                  </c:pt>
                  <c:pt idx="963">
                    <c:v>22-Mar</c:v>
                  </c:pt>
                  <c:pt idx="964">
                    <c:v>23-Mar</c:v>
                  </c:pt>
                  <c:pt idx="965">
                    <c:v>24-Mar</c:v>
                  </c:pt>
                  <c:pt idx="966">
                    <c:v>25-Mar</c:v>
                  </c:pt>
                  <c:pt idx="967">
                    <c:v>26-Mar</c:v>
                  </c:pt>
                  <c:pt idx="968">
                    <c:v>27-Mar</c:v>
                  </c:pt>
                  <c:pt idx="969">
                    <c:v>28-Mar</c:v>
                  </c:pt>
                  <c:pt idx="970">
                    <c:v>29-Mar</c:v>
                  </c:pt>
                  <c:pt idx="971">
                    <c:v>30-Mar</c:v>
                  </c:pt>
                  <c:pt idx="972">
                    <c:v>31-Mar</c:v>
                  </c:pt>
                  <c:pt idx="973">
                    <c:v>1-Apr</c:v>
                  </c:pt>
                  <c:pt idx="974">
                    <c:v>2-Apr</c:v>
                  </c:pt>
                  <c:pt idx="975">
                    <c:v>3-Apr</c:v>
                  </c:pt>
                  <c:pt idx="976">
                    <c:v>4-Apr</c:v>
                  </c:pt>
                  <c:pt idx="977">
                    <c:v>5-Apr</c:v>
                  </c:pt>
                  <c:pt idx="978">
                    <c:v>6-Apr</c:v>
                  </c:pt>
                  <c:pt idx="979">
                    <c:v>7-Apr</c:v>
                  </c:pt>
                  <c:pt idx="980">
                    <c:v>8-Apr</c:v>
                  </c:pt>
                  <c:pt idx="981">
                    <c:v>9-Apr</c:v>
                  </c:pt>
                  <c:pt idx="982">
                    <c:v>10-Apr</c:v>
                  </c:pt>
                  <c:pt idx="983">
                    <c:v>11-Apr</c:v>
                  </c:pt>
                  <c:pt idx="984">
                    <c:v>12-Apr</c:v>
                  </c:pt>
                  <c:pt idx="985">
                    <c:v>13-Apr</c:v>
                  </c:pt>
                  <c:pt idx="986">
                    <c:v>14-Apr</c:v>
                  </c:pt>
                  <c:pt idx="987">
                    <c:v>15-Apr</c:v>
                  </c:pt>
                  <c:pt idx="988">
                    <c:v>16-Apr</c:v>
                  </c:pt>
                  <c:pt idx="989">
                    <c:v>17-Apr</c:v>
                  </c:pt>
                  <c:pt idx="990">
                    <c:v>18-Apr</c:v>
                  </c:pt>
                  <c:pt idx="991">
                    <c:v>19-Apr</c:v>
                  </c:pt>
                  <c:pt idx="992">
                    <c:v>20-Apr</c:v>
                  </c:pt>
                  <c:pt idx="993">
                    <c:v>21-Apr</c:v>
                  </c:pt>
                  <c:pt idx="994">
                    <c:v>22-Apr</c:v>
                  </c:pt>
                  <c:pt idx="995">
                    <c:v>23-Apr</c:v>
                  </c:pt>
                  <c:pt idx="996">
                    <c:v>24-Apr</c:v>
                  </c:pt>
                  <c:pt idx="997">
                    <c:v>25-Apr</c:v>
                  </c:pt>
                  <c:pt idx="998">
                    <c:v>26-Apr</c:v>
                  </c:pt>
                  <c:pt idx="999">
                    <c:v>27-Apr</c:v>
                  </c:pt>
                  <c:pt idx="1000">
                    <c:v>28-Apr</c:v>
                  </c:pt>
                  <c:pt idx="1001">
                    <c:v>29-Apr</c:v>
                  </c:pt>
                  <c:pt idx="1002">
                    <c:v>30-Apr</c:v>
                  </c:pt>
                  <c:pt idx="1003">
                    <c:v>1-May</c:v>
                  </c:pt>
                  <c:pt idx="1004">
                    <c:v>2-May</c:v>
                  </c:pt>
                  <c:pt idx="1005">
                    <c:v>3-May</c:v>
                  </c:pt>
                  <c:pt idx="1006">
                    <c:v>4-May</c:v>
                  </c:pt>
                  <c:pt idx="1007">
                    <c:v>5-May</c:v>
                  </c:pt>
                  <c:pt idx="1008">
                    <c:v>6-May</c:v>
                  </c:pt>
                  <c:pt idx="1009">
                    <c:v>7-May</c:v>
                  </c:pt>
                  <c:pt idx="1010">
                    <c:v>8-May</c:v>
                  </c:pt>
                  <c:pt idx="1011">
                    <c:v>9-May</c:v>
                  </c:pt>
                  <c:pt idx="1012">
                    <c:v>10-May</c:v>
                  </c:pt>
                  <c:pt idx="1013">
                    <c:v>11-May</c:v>
                  </c:pt>
                  <c:pt idx="1014">
                    <c:v>12-May</c:v>
                  </c:pt>
                  <c:pt idx="1015">
                    <c:v>13-May</c:v>
                  </c:pt>
                  <c:pt idx="1016">
                    <c:v>14-May</c:v>
                  </c:pt>
                  <c:pt idx="1017">
                    <c:v>15-May</c:v>
                  </c:pt>
                  <c:pt idx="1018">
                    <c:v>16-May</c:v>
                  </c:pt>
                  <c:pt idx="1019">
                    <c:v>17-May</c:v>
                  </c:pt>
                  <c:pt idx="1020">
                    <c:v>18-May</c:v>
                  </c:pt>
                  <c:pt idx="1021">
                    <c:v>19-May</c:v>
                  </c:pt>
                  <c:pt idx="1022">
                    <c:v>20-May</c:v>
                  </c:pt>
                  <c:pt idx="1023">
                    <c:v>21-May</c:v>
                  </c:pt>
                  <c:pt idx="1024">
                    <c:v>22-May</c:v>
                  </c:pt>
                  <c:pt idx="1025">
                    <c:v>23-May</c:v>
                  </c:pt>
                  <c:pt idx="1026">
                    <c:v>24-May</c:v>
                  </c:pt>
                  <c:pt idx="1027">
                    <c:v>25-May</c:v>
                  </c:pt>
                  <c:pt idx="1028">
                    <c:v>26-May</c:v>
                  </c:pt>
                  <c:pt idx="1029">
                    <c:v>27-May</c:v>
                  </c:pt>
                  <c:pt idx="1030">
                    <c:v>28-May</c:v>
                  </c:pt>
                  <c:pt idx="1031">
                    <c:v>29-May</c:v>
                  </c:pt>
                  <c:pt idx="1032">
                    <c:v>30-May</c:v>
                  </c:pt>
                  <c:pt idx="1033">
                    <c:v>31-May</c:v>
                  </c:pt>
                  <c:pt idx="1034">
                    <c:v>1-Jun</c:v>
                  </c:pt>
                  <c:pt idx="1035">
                    <c:v>2-Jun</c:v>
                  </c:pt>
                  <c:pt idx="1036">
                    <c:v>3-Jun</c:v>
                  </c:pt>
                  <c:pt idx="1037">
                    <c:v>4-Jun</c:v>
                  </c:pt>
                  <c:pt idx="1038">
                    <c:v>5-Jun</c:v>
                  </c:pt>
                  <c:pt idx="1039">
                    <c:v>6-Jun</c:v>
                  </c:pt>
                  <c:pt idx="1040">
                    <c:v>7-Jun</c:v>
                  </c:pt>
                  <c:pt idx="1041">
                    <c:v>8-Jun</c:v>
                  </c:pt>
                  <c:pt idx="1042">
                    <c:v>9-Jun</c:v>
                  </c:pt>
                  <c:pt idx="1043">
                    <c:v>10-Jun</c:v>
                  </c:pt>
                  <c:pt idx="1044">
                    <c:v>11-Jun</c:v>
                  </c:pt>
                  <c:pt idx="1045">
                    <c:v>12-Jun</c:v>
                  </c:pt>
                  <c:pt idx="1046">
                    <c:v>13-Jun</c:v>
                  </c:pt>
                  <c:pt idx="1047">
                    <c:v>14-Jun</c:v>
                  </c:pt>
                  <c:pt idx="1048">
                    <c:v>15-Jun</c:v>
                  </c:pt>
                  <c:pt idx="1049">
                    <c:v>16-Jun</c:v>
                  </c:pt>
                  <c:pt idx="1050">
                    <c:v>17-Jun</c:v>
                  </c:pt>
                  <c:pt idx="1051">
                    <c:v>18-Jun</c:v>
                  </c:pt>
                  <c:pt idx="1052">
                    <c:v>19-Jun</c:v>
                  </c:pt>
                  <c:pt idx="1053">
                    <c:v>20-Jun</c:v>
                  </c:pt>
                  <c:pt idx="1054">
                    <c:v>21-Jun</c:v>
                  </c:pt>
                  <c:pt idx="1055">
                    <c:v>22-Jun</c:v>
                  </c:pt>
                  <c:pt idx="1056">
                    <c:v>23-Jun</c:v>
                  </c:pt>
                  <c:pt idx="1057">
                    <c:v>24-Jun</c:v>
                  </c:pt>
                  <c:pt idx="1058">
                    <c:v>25-Jun</c:v>
                  </c:pt>
                  <c:pt idx="1059">
                    <c:v>26-Jun</c:v>
                  </c:pt>
                  <c:pt idx="1060">
                    <c:v>27-Jun</c:v>
                  </c:pt>
                  <c:pt idx="1061">
                    <c:v>28-Jun</c:v>
                  </c:pt>
                  <c:pt idx="1062">
                    <c:v>29-Jun</c:v>
                  </c:pt>
                  <c:pt idx="1063">
                    <c:v>30-Jun</c:v>
                  </c:pt>
                  <c:pt idx="1064">
                    <c:v>1-Jul</c:v>
                  </c:pt>
                  <c:pt idx="1065">
                    <c:v>2-Jul</c:v>
                  </c:pt>
                  <c:pt idx="1066">
                    <c:v>3-Jul</c:v>
                  </c:pt>
                  <c:pt idx="1067">
                    <c:v>4-Jul</c:v>
                  </c:pt>
                  <c:pt idx="1068">
                    <c:v>5-Jul</c:v>
                  </c:pt>
                  <c:pt idx="1069">
                    <c:v>6-Jul</c:v>
                  </c:pt>
                  <c:pt idx="1070">
                    <c:v>7-Jul</c:v>
                  </c:pt>
                  <c:pt idx="1071">
                    <c:v>8-Jul</c:v>
                  </c:pt>
                  <c:pt idx="1072">
                    <c:v>9-Jul</c:v>
                  </c:pt>
                  <c:pt idx="1073">
                    <c:v>10-Jul</c:v>
                  </c:pt>
                  <c:pt idx="1074">
                    <c:v>11-Jul</c:v>
                  </c:pt>
                  <c:pt idx="1075">
                    <c:v>12-Jul</c:v>
                  </c:pt>
                  <c:pt idx="1076">
                    <c:v>13-Jul</c:v>
                  </c:pt>
                  <c:pt idx="1077">
                    <c:v>14-Jul</c:v>
                  </c:pt>
                  <c:pt idx="1078">
                    <c:v>15-Jul</c:v>
                  </c:pt>
                  <c:pt idx="1079">
                    <c:v>16-Jul</c:v>
                  </c:pt>
                  <c:pt idx="1080">
                    <c:v>17-Jul</c:v>
                  </c:pt>
                  <c:pt idx="1081">
                    <c:v>18-Jul</c:v>
                  </c:pt>
                  <c:pt idx="1082">
                    <c:v>19-Jul</c:v>
                  </c:pt>
                  <c:pt idx="1083">
                    <c:v>20-Jul</c:v>
                  </c:pt>
                  <c:pt idx="1084">
                    <c:v>21-Jul</c:v>
                  </c:pt>
                  <c:pt idx="1085">
                    <c:v>22-Jul</c:v>
                  </c:pt>
                  <c:pt idx="1086">
                    <c:v>23-Jul</c:v>
                  </c:pt>
                  <c:pt idx="1087">
                    <c:v>24-Jul</c:v>
                  </c:pt>
                  <c:pt idx="1088">
                    <c:v>25-Jul</c:v>
                  </c:pt>
                  <c:pt idx="1089">
                    <c:v>26-Jul</c:v>
                  </c:pt>
                  <c:pt idx="1090">
                    <c:v>27-Jul</c:v>
                  </c:pt>
                  <c:pt idx="1091">
                    <c:v>28-Jul</c:v>
                  </c:pt>
                  <c:pt idx="1092">
                    <c:v>29-Jul</c:v>
                  </c:pt>
                  <c:pt idx="1093">
                    <c:v>30-Jul</c:v>
                  </c:pt>
                  <c:pt idx="1094">
                    <c:v>31-Jul</c:v>
                  </c:pt>
                  <c:pt idx="1095">
                    <c:v>1-Aug</c:v>
                  </c:pt>
                  <c:pt idx="1096">
                    <c:v>2-Aug</c:v>
                  </c:pt>
                  <c:pt idx="1097">
                    <c:v>3-Aug</c:v>
                  </c:pt>
                  <c:pt idx="1098">
                    <c:v>4-Aug</c:v>
                  </c:pt>
                  <c:pt idx="1099">
                    <c:v>5-Aug</c:v>
                  </c:pt>
                  <c:pt idx="1100">
                    <c:v>6-Aug</c:v>
                  </c:pt>
                  <c:pt idx="1101">
                    <c:v>7-Aug</c:v>
                  </c:pt>
                  <c:pt idx="1102">
                    <c:v>8-Aug</c:v>
                  </c:pt>
                  <c:pt idx="1103">
                    <c:v>9-Aug</c:v>
                  </c:pt>
                  <c:pt idx="1104">
                    <c:v>10-Aug</c:v>
                  </c:pt>
                  <c:pt idx="1105">
                    <c:v>11-Aug</c:v>
                  </c:pt>
                  <c:pt idx="1106">
                    <c:v>12-Aug</c:v>
                  </c:pt>
                  <c:pt idx="1107">
                    <c:v>13-Aug</c:v>
                  </c:pt>
                  <c:pt idx="1108">
                    <c:v>14-Aug</c:v>
                  </c:pt>
                  <c:pt idx="1109">
                    <c:v>15-Aug</c:v>
                  </c:pt>
                  <c:pt idx="1110">
                    <c:v>16-Aug</c:v>
                  </c:pt>
                  <c:pt idx="1111">
                    <c:v>17-Aug</c:v>
                  </c:pt>
                  <c:pt idx="1112">
                    <c:v>18-Aug</c:v>
                  </c:pt>
                  <c:pt idx="1113">
                    <c:v>19-Aug</c:v>
                  </c:pt>
                  <c:pt idx="1114">
                    <c:v>20-Aug</c:v>
                  </c:pt>
                  <c:pt idx="1115">
                    <c:v>21-Aug</c:v>
                  </c:pt>
                  <c:pt idx="1116">
                    <c:v>22-Aug</c:v>
                  </c:pt>
                  <c:pt idx="1117">
                    <c:v>23-Aug</c:v>
                  </c:pt>
                  <c:pt idx="1118">
                    <c:v>24-Aug</c:v>
                  </c:pt>
                  <c:pt idx="1119">
                    <c:v>25-Aug</c:v>
                  </c:pt>
                  <c:pt idx="1120">
                    <c:v>26-Aug</c:v>
                  </c:pt>
                  <c:pt idx="1121">
                    <c:v>27-Aug</c:v>
                  </c:pt>
                  <c:pt idx="1122">
                    <c:v>28-Aug</c:v>
                  </c:pt>
                  <c:pt idx="1123">
                    <c:v>29-Aug</c:v>
                  </c:pt>
                  <c:pt idx="1124">
                    <c:v>30-Aug</c:v>
                  </c:pt>
                  <c:pt idx="1125">
                    <c:v>31-Aug</c:v>
                  </c:pt>
                  <c:pt idx="1126">
                    <c:v>1-Sep</c:v>
                  </c:pt>
                  <c:pt idx="1127">
                    <c:v>2-Sep</c:v>
                  </c:pt>
                  <c:pt idx="1128">
                    <c:v>3-Sep</c:v>
                  </c:pt>
                  <c:pt idx="1129">
                    <c:v>4-Sep</c:v>
                  </c:pt>
                  <c:pt idx="1130">
                    <c:v>5-Sep</c:v>
                  </c:pt>
                  <c:pt idx="1131">
                    <c:v>6-Sep</c:v>
                  </c:pt>
                  <c:pt idx="1132">
                    <c:v>7-Sep</c:v>
                  </c:pt>
                  <c:pt idx="1133">
                    <c:v>8-Sep</c:v>
                  </c:pt>
                  <c:pt idx="1134">
                    <c:v>9-Sep</c:v>
                  </c:pt>
                  <c:pt idx="1135">
                    <c:v>10-Sep</c:v>
                  </c:pt>
                  <c:pt idx="1136">
                    <c:v>11-Sep</c:v>
                  </c:pt>
                  <c:pt idx="1137">
                    <c:v>12-Sep</c:v>
                  </c:pt>
                  <c:pt idx="1138">
                    <c:v>13-Sep</c:v>
                  </c:pt>
                  <c:pt idx="1139">
                    <c:v>14-Sep</c:v>
                  </c:pt>
                  <c:pt idx="1140">
                    <c:v>15-Sep</c:v>
                  </c:pt>
                  <c:pt idx="1141">
                    <c:v>16-Sep</c:v>
                  </c:pt>
                  <c:pt idx="1142">
                    <c:v>17-Sep</c:v>
                  </c:pt>
                  <c:pt idx="1143">
                    <c:v>18-Sep</c:v>
                  </c:pt>
                  <c:pt idx="1144">
                    <c:v>19-Sep</c:v>
                  </c:pt>
                  <c:pt idx="1145">
                    <c:v>20-Sep</c:v>
                  </c:pt>
                  <c:pt idx="1146">
                    <c:v>21-Sep</c:v>
                  </c:pt>
                  <c:pt idx="1147">
                    <c:v>22-Sep</c:v>
                  </c:pt>
                  <c:pt idx="1148">
                    <c:v>23-Sep</c:v>
                  </c:pt>
                  <c:pt idx="1149">
                    <c:v>24-Sep</c:v>
                  </c:pt>
                  <c:pt idx="1150">
                    <c:v>25-Sep</c:v>
                  </c:pt>
                  <c:pt idx="1151">
                    <c:v>26-Sep</c:v>
                  </c:pt>
                  <c:pt idx="1152">
                    <c:v>27-Sep</c:v>
                  </c:pt>
                  <c:pt idx="1153">
                    <c:v>28-Sep</c:v>
                  </c:pt>
                  <c:pt idx="1154">
                    <c:v>29-Sep</c:v>
                  </c:pt>
                  <c:pt idx="1155">
                    <c:v>30-Sep</c:v>
                  </c:pt>
                  <c:pt idx="1156">
                    <c:v>1-Oct</c:v>
                  </c:pt>
                  <c:pt idx="1157">
                    <c:v>2-Oct</c:v>
                  </c:pt>
                  <c:pt idx="1158">
                    <c:v>3-Oct</c:v>
                  </c:pt>
                  <c:pt idx="1159">
                    <c:v>4-Oct</c:v>
                  </c:pt>
                  <c:pt idx="1160">
                    <c:v>5-Oct</c:v>
                  </c:pt>
                  <c:pt idx="1161">
                    <c:v>6-Oct</c:v>
                  </c:pt>
                  <c:pt idx="1162">
                    <c:v>7-Oct</c:v>
                  </c:pt>
                  <c:pt idx="1163">
                    <c:v>8-Oct</c:v>
                  </c:pt>
                  <c:pt idx="1164">
                    <c:v>9-Oct</c:v>
                  </c:pt>
                  <c:pt idx="1165">
                    <c:v>10-Oct</c:v>
                  </c:pt>
                  <c:pt idx="1166">
                    <c:v>11-Oct</c:v>
                  </c:pt>
                  <c:pt idx="1167">
                    <c:v>12-Oct</c:v>
                  </c:pt>
                </c:lvl>
                <c:lvl>
                  <c:pt idx="0">
                    <c:v>2017</c:v>
                  </c:pt>
                  <c:pt idx="152">
                    <c:v>2018</c:v>
                  </c:pt>
                  <c:pt idx="517">
                    <c:v>2019</c:v>
                  </c:pt>
                  <c:pt idx="882">
                    <c:v>2020</c:v>
                  </c:pt>
                </c:lvl>
              </c:multiLvlStrCache>
            </c:multiLvlStrRef>
          </c:cat>
          <c:val>
            <c:numRef>
              <c:f>tvl_pivot!$E$4:$E$1176</c:f>
              <c:numCache>
                <c:formatCode>General</c:formatCode>
                <c:ptCount val="1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93223</c:v>
                </c:pt>
                <c:pt idx="422">
                  <c:v>1513428</c:v>
                </c:pt>
                <c:pt idx="423">
                  <c:v>2463046</c:v>
                </c:pt>
                <c:pt idx="424">
                  <c:v>2778901</c:v>
                </c:pt>
                <c:pt idx="425">
                  <c:v>2918199</c:v>
                </c:pt>
                <c:pt idx="426">
                  <c:v>2942085</c:v>
                </c:pt>
                <c:pt idx="427">
                  <c:v>2954090</c:v>
                </c:pt>
                <c:pt idx="428">
                  <c:v>2865857</c:v>
                </c:pt>
                <c:pt idx="429">
                  <c:v>2594834</c:v>
                </c:pt>
                <c:pt idx="430">
                  <c:v>2656084</c:v>
                </c:pt>
                <c:pt idx="431">
                  <c:v>2661759</c:v>
                </c:pt>
                <c:pt idx="432">
                  <c:v>2608255</c:v>
                </c:pt>
                <c:pt idx="433">
                  <c:v>2678445</c:v>
                </c:pt>
                <c:pt idx="434">
                  <c:v>2693116</c:v>
                </c:pt>
                <c:pt idx="435">
                  <c:v>2694230</c:v>
                </c:pt>
                <c:pt idx="436">
                  <c:v>2346581</c:v>
                </c:pt>
                <c:pt idx="437">
                  <c:v>3585414</c:v>
                </c:pt>
                <c:pt idx="438">
                  <c:v>3675141</c:v>
                </c:pt>
                <c:pt idx="439">
                  <c:v>3590878</c:v>
                </c:pt>
                <c:pt idx="440">
                  <c:v>3796375</c:v>
                </c:pt>
                <c:pt idx="441">
                  <c:v>3896225</c:v>
                </c:pt>
                <c:pt idx="442">
                  <c:v>4443201</c:v>
                </c:pt>
                <c:pt idx="443">
                  <c:v>4393549</c:v>
                </c:pt>
                <c:pt idx="444">
                  <c:v>4579334</c:v>
                </c:pt>
                <c:pt idx="445">
                  <c:v>4616326</c:v>
                </c:pt>
                <c:pt idx="446">
                  <c:v>4646370</c:v>
                </c:pt>
                <c:pt idx="447">
                  <c:v>4800799</c:v>
                </c:pt>
                <c:pt idx="448">
                  <c:v>4898993</c:v>
                </c:pt>
                <c:pt idx="449">
                  <c:v>5223439</c:v>
                </c:pt>
                <c:pt idx="450">
                  <c:v>5078503</c:v>
                </c:pt>
                <c:pt idx="451">
                  <c:v>5117226</c:v>
                </c:pt>
                <c:pt idx="452">
                  <c:v>5033033</c:v>
                </c:pt>
                <c:pt idx="453">
                  <c:v>5247928</c:v>
                </c:pt>
                <c:pt idx="454">
                  <c:v>4977325</c:v>
                </c:pt>
                <c:pt idx="455">
                  <c:v>5042693</c:v>
                </c:pt>
                <c:pt idx="456">
                  <c:v>4993792</c:v>
                </c:pt>
                <c:pt idx="457">
                  <c:v>5115920</c:v>
                </c:pt>
                <c:pt idx="458">
                  <c:v>5228614</c:v>
                </c:pt>
                <c:pt idx="459">
                  <c:v>5260495</c:v>
                </c:pt>
                <c:pt idx="460">
                  <c:v>5291529</c:v>
                </c:pt>
                <c:pt idx="461">
                  <c:v>5274763</c:v>
                </c:pt>
                <c:pt idx="462">
                  <c:v>5395103</c:v>
                </c:pt>
                <c:pt idx="463">
                  <c:v>5333156</c:v>
                </c:pt>
                <c:pt idx="464">
                  <c:v>5062406</c:v>
                </c:pt>
                <c:pt idx="465">
                  <c:v>4975915</c:v>
                </c:pt>
                <c:pt idx="466">
                  <c:v>6599154</c:v>
                </c:pt>
                <c:pt idx="467">
                  <c:v>6254775</c:v>
                </c:pt>
                <c:pt idx="468">
                  <c:v>7248429</c:v>
                </c:pt>
                <c:pt idx="469">
                  <c:v>7173542</c:v>
                </c:pt>
                <c:pt idx="470">
                  <c:v>6293862</c:v>
                </c:pt>
                <c:pt idx="471">
                  <c:v>6286350</c:v>
                </c:pt>
                <c:pt idx="472">
                  <c:v>6225307</c:v>
                </c:pt>
                <c:pt idx="473">
                  <c:v>6066975</c:v>
                </c:pt>
                <c:pt idx="474">
                  <c:v>6192115</c:v>
                </c:pt>
                <c:pt idx="475">
                  <c:v>4954126</c:v>
                </c:pt>
                <c:pt idx="476">
                  <c:v>5217263</c:v>
                </c:pt>
                <c:pt idx="477">
                  <c:v>6391939</c:v>
                </c:pt>
                <c:pt idx="478">
                  <c:v>7666745</c:v>
                </c:pt>
                <c:pt idx="479">
                  <c:v>7257774</c:v>
                </c:pt>
                <c:pt idx="480">
                  <c:v>6581350</c:v>
                </c:pt>
                <c:pt idx="481">
                  <c:v>10041364</c:v>
                </c:pt>
                <c:pt idx="482">
                  <c:v>9788823</c:v>
                </c:pt>
                <c:pt idx="483">
                  <c:v>10383061</c:v>
                </c:pt>
                <c:pt idx="484">
                  <c:v>11895069</c:v>
                </c:pt>
                <c:pt idx="485">
                  <c:v>12049738</c:v>
                </c:pt>
                <c:pt idx="486">
                  <c:v>11600384</c:v>
                </c:pt>
                <c:pt idx="487">
                  <c:v>12611354</c:v>
                </c:pt>
                <c:pt idx="488">
                  <c:v>11802141</c:v>
                </c:pt>
                <c:pt idx="489">
                  <c:v>10157422</c:v>
                </c:pt>
                <c:pt idx="490">
                  <c:v>10200103</c:v>
                </c:pt>
                <c:pt idx="491">
                  <c:v>8581960</c:v>
                </c:pt>
                <c:pt idx="492">
                  <c:v>7395705</c:v>
                </c:pt>
                <c:pt idx="493">
                  <c:v>8768572</c:v>
                </c:pt>
                <c:pt idx="494">
                  <c:v>9172087</c:v>
                </c:pt>
                <c:pt idx="495">
                  <c:v>8805623</c:v>
                </c:pt>
                <c:pt idx="496">
                  <c:v>7681465</c:v>
                </c:pt>
                <c:pt idx="497">
                  <c:v>8188032</c:v>
                </c:pt>
                <c:pt idx="498">
                  <c:v>9045519</c:v>
                </c:pt>
                <c:pt idx="499">
                  <c:v>7926843</c:v>
                </c:pt>
                <c:pt idx="500">
                  <c:v>7362897</c:v>
                </c:pt>
                <c:pt idx="501">
                  <c:v>7632900</c:v>
                </c:pt>
                <c:pt idx="502">
                  <c:v>7882756</c:v>
                </c:pt>
                <c:pt idx="503">
                  <c:v>8631906</c:v>
                </c:pt>
                <c:pt idx="504">
                  <c:v>9563343</c:v>
                </c:pt>
                <c:pt idx="505">
                  <c:v>9652966</c:v>
                </c:pt>
                <c:pt idx="506">
                  <c:v>10957114</c:v>
                </c:pt>
                <c:pt idx="507">
                  <c:v>11304120</c:v>
                </c:pt>
                <c:pt idx="508">
                  <c:v>11905397</c:v>
                </c:pt>
                <c:pt idx="509">
                  <c:v>13298433</c:v>
                </c:pt>
                <c:pt idx="510">
                  <c:v>15012379</c:v>
                </c:pt>
                <c:pt idx="511">
                  <c:v>13494531</c:v>
                </c:pt>
                <c:pt idx="512">
                  <c:v>14583613</c:v>
                </c:pt>
                <c:pt idx="513">
                  <c:v>12391971</c:v>
                </c:pt>
                <c:pt idx="514">
                  <c:v>14411369</c:v>
                </c:pt>
                <c:pt idx="515">
                  <c:v>14481304</c:v>
                </c:pt>
                <c:pt idx="516">
                  <c:v>14659932</c:v>
                </c:pt>
                <c:pt idx="517">
                  <c:v>13453351</c:v>
                </c:pt>
                <c:pt idx="518">
                  <c:v>14349079</c:v>
                </c:pt>
                <c:pt idx="519">
                  <c:v>16999755</c:v>
                </c:pt>
                <c:pt idx="520">
                  <c:v>16224471</c:v>
                </c:pt>
                <c:pt idx="521">
                  <c:v>17196568</c:v>
                </c:pt>
                <c:pt idx="522">
                  <c:v>17482686</c:v>
                </c:pt>
                <c:pt idx="523">
                  <c:v>17953079</c:v>
                </c:pt>
                <c:pt idx="524">
                  <c:v>17397404</c:v>
                </c:pt>
                <c:pt idx="525">
                  <c:v>18523486</c:v>
                </c:pt>
                <c:pt idx="526">
                  <c:v>18855971</c:v>
                </c:pt>
                <c:pt idx="527">
                  <c:v>15809177</c:v>
                </c:pt>
                <c:pt idx="528">
                  <c:v>15779009</c:v>
                </c:pt>
                <c:pt idx="529">
                  <c:v>16032643</c:v>
                </c:pt>
                <c:pt idx="530">
                  <c:v>13975014</c:v>
                </c:pt>
                <c:pt idx="531">
                  <c:v>16875979</c:v>
                </c:pt>
                <c:pt idx="532">
                  <c:v>15925141</c:v>
                </c:pt>
                <c:pt idx="533">
                  <c:v>20160302</c:v>
                </c:pt>
                <c:pt idx="534">
                  <c:v>21339951</c:v>
                </c:pt>
                <c:pt idx="535">
                  <c:v>20878577</c:v>
                </c:pt>
                <c:pt idx="536">
                  <c:v>21957567</c:v>
                </c:pt>
                <c:pt idx="537">
                  <c:v>22409808</c:v>
                </c:pt>
                <c:pt idx="538">
                  <c:v>21266832</c:v>
                </c:pt>
                <c:pt idx="539">
                  <c:v>20422124</c:v>
                </c:pt>
                <c:pt idx="540">
                  <c:v>19991485</c:v>
                </c:pt>
                <c:pt idx="541">
                  <c:v>20628334</c:v>
                </c:pt>
                <c:pt idx="542">
                  <c:v>19857411</c:v>
                </c:pt>
                <c:pt idx="543">
                  <c:v>19633894</c:v>
                </c:pt>
                <c:pt idx="544">
                  <c:v>19025437</c:v>
                </c:pt>
                <c:pt idx="545">
                  <c:v>17070951</c:v>
                </c:pt>
                <c:pt idx="546">
                  <c:v>17617835</c:v>
                </c:pt>
                <c:pt idx="547">
                  <c:v>18578295</c:v>
                </c:pt>
                <c:pt idx="548">
                  <c:v>18878433</c:v>
                </c:pt>
                <c:pt idx="549">
                  <c:v>18682990</c:v>
                </c:pt>
                <c:pt idx="550">
                  <c:v>21003732</c:v>
                </c:pt>
                <c:pt idx="551">
                  <c:v>20438278</c:v>
                </c:pt>
                <c:pt idx="552">
                  <c:v>19663874</c:v>
                </c:pt>
                <c:pt idx="553">
                  <c:v>19774951</c:v>
                </c:pt>
                <c:pt idx="554">
                  <c:v>18857339</c:v>
                </c:pt>
                <c:pt idx="555">
                  <c:v>18681230</c:v>
                </c:pt>
                <c:pt idx="556">
                  <c:v>20666362</c:v>
                </c:pt>
                <c:pt idx="557">
                  <c:v>20523009</c:v>
                </c:pt>
                <c:pt idx="558">
                  <c:v>21618545</c:v>
                </c:pt>
                <c:pt idx="559">
                  <c:v>20434445</c:v>
                </c:pt>
                <c:pt idx="560">
                  <c:v>20808662</c:v>
                </c:pt>
                <c:pt idx="561">
                  <c:v>21117601</c:v>
                </c:pt>
                <c:pt idx="562">
                  <c:v>20398673</c:v>
                </c:pt>
                <c:pt idx="563">
                  <c:v>20707907</c:v>
                </c:pt>
                <c:pt idx="564">
                  <c:v>20361950</c:v>
                </c:pt>
                <c:pt idx="565">
                  <c:v>20979137</c:v>
                </c:pt>
                <c:pt idx="566">
                  <c:v>22330570</c:v>
                </c:pt>
                <c:pt idx="567">
                  <c:v>21785728</c:v>
                </c:pt>
                <c:pt idx="568">
                  <c:v>22391044</c:v>
                </c:pt>
                <c:pt idx="569">
                  <c:v>21587397</c:v>
                </c:pt>
                <c:pt idx="570">
                  <c:v>21975754</c:v>
                </c:pt>
                <c:pt idx="571">
                  <c:v>23780970</c:v>
                </c:pt>
                <c:pt idx="572">
                  <c:v>20002976</c:v>
                </c:pt>
                <c:pt idx="573">
                  <c:v>20930487</c:v>
                </c:pt>
                <c:pt idx="574">
                  <c:v>20771191</c:v>
                </c:pt>
                <c:pt idx="575">
                  <c:v>20545953</c:v>
                </c:pt>
                <c:pt idx="576">
                  <c:v>20072401</c:v>
                </c:pt>
                <c:pt idx="577">
                  <c:v>20307220</c:v>
                </c:pt>
                <c:pt idx="578">
                  <c:v>20101222</c:v>
                </c:pt>
                <c:pt idx="579">
                  <c:v>20283843</c:v>
                </c:pt>
                <c:pt idx="580">
                  <c:v>18942132</c:v>
                </c:pt>
                <c:pt idx="581">
                  <c:v>20169905</c:v>
                </c:pt>
                <c:pt idx="582">
                  <c:v>20500123</c:v>
                </c:pt>
                <c:pt idx="583">
                  <c:v>20507948</c:v>
                </c:pt>
                <c:pt idx="584">
                  <c:v>20352506</c:v>
                </c:pt>
                <c:pt idx="585">
                  <c:v>20413150</c:v>
                </c:pt>
                <c:pt idx="586">
                  <c:v>21071415</c:v>
                </c:pt>
                <c:pt idx="587">
                  <c:v>21904509</c:v>
                </c:pt>
                <c:pt idx="588">
                  <c:v>21259741</c:v>
                </c:pt>
                <c:pt idx="589">
                  <c:v>21267990</c:v>
                </c:pt>
                <c:pt idx="590">
                  <c:v>21098307</c:v>
                </c:pt>
                <c:pt idx="591">
                  <c:v>21640539</c:v>
                </c:pt>
                <c:pt idx="592">
                  <c:v>21775255</c:v>
                </c:pt>
                <c:pt idx="593">
                  <c:v>22058098</c:v>
                </c:pt>
                <c:pt idx="594">
                  <c:v>21905062</c:v>
                </c:pt>
                <c:pt idx="595">
                  <c:v>21584343</c:v>
                </c:pt>
                <c:pt idx="596">
                  <c:v>22073646</c:v>
                </c:pt>
                <c:pt idx="597">
                  <c:v>21238182</c:v>
                </c:pt>
                <c:pt idx="598">
                  <c:v>21420249</c:v>
                </c:pt>
                <c:pt idx="599">
                  <c:v>22282847</c:v>
                </c:pt>
                <c:pt idx="600">
                  <c:v>21862502</c:v>
                </c:pt>
                <c:pt idx="601">
                  <c:v>22175866</c:v>
                </c:pt>
                <c:pt idx="602">
                  <c:v>22319092</c:v>
                </c:pt>
                <c:pt idx="603">
                  <c:v>23223623</c:v>
                </c:pt>
                <c:pt idx="604">
                  <c:v>23743863</c:v>
                </c:pt>
                <c:pt idx="605">
                  <c:v>24222173</c:v>
                </c:pt>
                <c:pt idx="606">
                  <c:v>25047191</c:v>
                </c:pt>
                <c:pt idx="607">
                  <c:v>24807741</c:v>
                </c:pt>
                <c:pt idx="608">
                  <c:v>24610506</c:v>
                </c:pt>
                <c:pt idx="609">
                  <c:v>27915741</c:v>
                </c:pt>
                <c:pt idx="610">
                  <c:v>27623461</c:v>
                </c:pt>
                <c:pt idx="611">
                  <c:v>26600538</c:v>
                </c:pt>
                <c:pt idx="612">
                  <c:v>27560794</c:v>
                </c:pt>
                <c:pt idx="613">
                  <c:v>28481455</c:v>
                </c:pt>
                <c:pt idx="614">
                  <c:v>29549849</c:v>
                </c:pt>
                <c:pt idx="615">
                  <c:v>30051534</c:v>
                </c:pt>
                <c:pt idx="616">
                  <c:v>28316545</c:v>
                </c:pt>
                <c:pt idx="617">
                  <c:v>29865153</c:v>
                </c:pt>
                <c:pt idx="618">
                  <c:v>28202685</c:v>
                </c:pt>
                <c:pt idx="619">
                  <c:v>30137860</c:v>
                </c:pt>
                <c:pt idx="620">
                  <c:v>30066152</c:v>
                </c:pt>
                <c:pt idx="621">
                  <c:v>31093458</c:v>
                </c:pt>
                <c:pt idx="622">
                  <c:v>29625466</c:v>
                </c:pt>
                <c:pt idx="623">
                  <c:v>30809255</c:v>
                </c:pt>
                <c:pt idx="624">
                  <c:v>32216442</c:v>
                </c:pt>
                <c:pt idx="625">
                  <c:v>33329144</c:v>
                </c:pt>
                <c:pt idx="626">
                  <c:v>34138913</c:v>
                </c:pt>
                <c:pt idx="627">
                  <c:v>34046456</c:v>
                </c:pt>
                <c:pt idx="628">
                  <c:v>33459796</c:v>
                </c:pt>
                <c:pt idx="629">
                  <c:v>34777916</c:v>
                </c:pt>
                <c:pt idx="630">
                  <c:v>33638788</c:v>
                </c:pt>
                <c:pt idx="631">
                  <c:v>33430263</c:v>
                </c:pt>
                <c:pt idx="632">
                  <c:v>32297257</c:v>
                </c:pt>
                <c:pt idx="633">
                  <c:v>33600692</c:v>
                </c:pt>
                <c:pt idx="634">
                  <c:v>33363845</c:v>
                </c:pt>
                <c:pt idx="635">
                  <c:v>33159608</c:v>
                </c:pt>
                <c:pt idx="636">
                  <c:v>32426217</c:v>
                </c:pt>
                <c:pt idx="637">
                  <c:v>33866351</c:v>
                </c:pt>
                <c:pt idx="638">
                  <c:v>32722197</c:v>
                </c:pt>
                <c:pt idx="639">
                  <c:v>32476061</c:v>
                </c:pt>
                <c:pt idx="640">
                  <c:v>33381440</c:v>
                </c:pt>
                <c:pt idx="641">
                  <c:v>32596523</c:v>
                </c:pt>
                <c:pt idx="642">
                  <c:v>32690533</c:v>
                </c:pt>
                <c:pt idx="643">
                  <c:v>33568121</c:v>
                </c:pt>
                <c:pt idx="644">
                  <c:v>32497039</c:v>
                </c:pt>
                <c:pt idx="645">
                  <c:v>32579301</c:v>
                </c:pt>
                <c:pt idx="646">
                  <c:v>31553305</c:v>
                </c:pt>
                <c:pt idx="647">
                  <c:v>32925785</c:v>
                </c:pt>
                <c:pt idx="648">
                  <c:v>34961723</c:v>
                </c:pt>
                <c:pt idx="649">
                  <c:v>33745857</c:v>
                </c:pt>
                <c:pt idx="650">
                  <c:v>34092676</c:v>
                </c:pt>
                <c:pt idx="651">
                  <c:v>35964745</c:v>
                </c:pt>
                <c:pt idx="652">
                  <c:v>41149879</c:v>
                </c:pt>
                <c:pt idx="653">
                  <c:v>28841890</c:v>
                </c:pt>
                <c:pt idx="654">
                  <c:v>27384800</c:v>
                </c:pt>
                <c:pt idx="655">
                  <c:v>27399594</c:v>
                </c:pt>
                <c:pt idx="656">
                  <c:v>29405287</c:v>
                </c:pt>
                <c:pt idx="657">
                  <c:v>24655297</c:v>
                </c:pt>
                <c:pt idx="658">
                  <c:v>24104305</c:v>
                </c:pt>
                <c:pt idx="659">
                  <c:v>23795450</c:v>
                </c:pt>
                <c:pt idx="660">
                  <c:v>23719013</c:v>
                </c:pt>
                <c:pt idx="661">
                  <c:v>22778051</c:v>
                </c:pt>
                <c:pt idx="662">
                  <c:v>22868689</c:v>
                </c:pt>
                <c:pt idx="663">
                  <c:v>23276297</c:v>
                </c:pt>
                <c:pt idx="664">
                  <c:v>24954636</c:v>
                </c:pt>
                <c:pt idx="665">
                  <c:v>27289765</c:v>
                </c:pt>
                <c:pt idx="666">
                  <c:v>28037762</c:v>
                </c:pt>
                <c:pt idx="667">
                  <c:v>25818526</c:v>
                </c:pt>
                <c:pt idx="668">
                  <c:v>27871459</c:v>
                </c:pt>
                <c:pt idx="669">
                  <c:v>27746064</c:v>
                </c:pt>
                <c:pt idx="670">
                  <c:v>28715704</c:v>
                </c:pt>
                <c:pt idx="671">
                  <c:v>28203845</c:v>
                </c:pt>
                <c:pt idx="672">
                  <c:v>27922526</c:v>
                </c:pt>
                <c:pt idx="673">
                  <c:v>28398708</c:v>
                </c:pt>
                <c:pt idx="674">
                  <c:v>29060808</c:v>
                </c:pt>
                <c:pt idx="675">
                  <c:v>28999387</c:v>
                </c:pt>
                <c:pt idx="676">
                  <c:v>28738027</c:v>
                </c:pt>
                <c:pt idx="677">
                  <c:v>27703081</c:v>
                </c:pt>
                <c:pt idx="678">
                  <c:v>30627665</c:v>
                </c:pt>
                <c:pt idx="679">
                  <c:v>30815070</c:v>
                </c:pt>
                <c:pt idx="680">
                  <c:v>31530979</c:v>
                </c:pt>
                <c:pt idx="681">
                  <c:v>30500097</c:v>
                </c:pt>
                <c:pt idx="682">
                  <c:v>32065112</c:v>
                </c:pt>
                <c:pt idx="683">
                  <c:v>32967981</c:v>
                </c:pt>
                <c:pt idx="684">
                  <c:v>33214369</c:v>
                </c:pt>
                <c:pt idx="685">
                  <c:v>34257552</c:v>
                </c:pt>
                <c:pt idx="686">
                  <c:v>33930379</c:v>
                </c:pt>
                <c:pt idx="687">
                  <c:v>34712592</c:v>
                </c:pt>
                <c:pt idx="688">
                  <c:v>34950500</c:v>
                </c:pt>
                <c:pt idx="689">
                  <c:v>37363402</c:v>
                </c:pt>
                <c:pt idx="690">
                  <c:v>38408585</c:v>
                </c:pt>
                <c:pt idx="691">
                  <c:v>38308759</c:v>
                </c:pt>
                <c:pt idx="692">
                  <c:v>39341501</c:v>
                </c:pt>
                <c:pt idx="693">
                  <c:v>43745016</c:v>
                </c:pt>
                <c:pt idx="694">
                  <c:v>46349432</c:v>
                </c:pt>
                <c:pt idx="695">
                  <c:v>42656586</c:v>
                </c:pt>
                <c:pt idx="696">
                  <c:v>45630033</c:v>
                </c:pt>
                <c:pt idx="697">
                  <c:v>45898567</c:v>
                </c:pt>
                <c:pt idx="698">
                  <c:v>42825469</c:v>
                </c:pt>
                <c:pt idx="699">
                  <c:v>44057539</c:v>
                </c:pt>
                <c:pt idx="700">
                  <c:v>43529555</c:v>
                </c:pt>
                <c:pt idx="701">
                  <c:v>47697753</c:v>
                </c:pt>
                <c:pt idx="702">
                  <c:v>48204081</c:v>
                </c:pt>
                <c:pt idx="703">
                  <c:v>50858891</c:v>
                </c:pt>
                <c:pt idx="704">
                  <c:v>51580009</c:v>
                </c:pt>
                <c:pt idx="705">
                  <c:v>54302050</c:v>
                </c:pt>
                <c:pt idx="706">
                  <c:v>54962843</c:v>
                </c:pt>
                <c:pt idx="707">
                  <c:v>55091830</c:v>
                </c:pt>
                <c:pt idx="708">
                  <c:v>52865139</c:v>
                </c:pt>
                <c:pt idx="709">
                  <c:v>50908673</c:v>
                </c:pt>
                <c:pt idx="710">
                  <c:v>53295626</c:v>
                </c:pt>
                <c:pt idx="711">
                  <c:v>52912866</c:v>
                </c:pt>
                <c:pt idx="712">
                  <c:v>51689387</c:v>
                </c:pt>
                <c:pt idx="713">
                  <c:v>58695628</c:v>
                </c:pt>
                <c:pt idx="714">
                  <c:v>52856494</c:v>
                </c:pt>
                <c:pt idx="715">
                  <c:v>61276553</c:v>
                </c:pt>
                <c:pt idx="716">
                  <c:v>66234872</c:v>
                </c:pt>
                <c:pt idx="717">
                  <c:v>70424398</c:v>
                </c:pt>
                <c:pt idx="718">
                  <c:v>74898713</c:v>
                </c:pt>
                <c:pt idx="719">
                  <c:v>75605670</c:v>
                </c:pt>
                <c:pt idx="720">
                  <c:v>78931356</c:v>
                </c:pt>
                <c:pt idx="721">
                  <c:v>81178206</c:v>
                </c:pt>
                <c:pt idx="722">
                  <c:v>84824281</c:v>
                </c:pt>
                <c:pt idx="723">
                  <c:v>87993292</c:v>
                </c:pt>
                <c:pt idx="724">
                  <c:v>94427059</c:v>
                </c:pt>
                <c:pt idx="725">
                  <c:v>90268076</c:v>
                </c:pt>
                <c:pt idx="726">
                  <c:v>92162266</c:v>
                </c:pt>
                <c:pt idx="727">
                  <c:v>91584802</c:v>
                </c:pt>
                <c:pt idx="728">
                  <c:v>91974600</c:v>
                </c:pt>
                <c:pt idx="729">
                  <c:v>95899734</c:v>
                </c:pt>
                <c:pt idx="730">
                  <c:v>98278292</c:v>
                </c:pt>
                <c:pt idx="731">
                  <c:v>99770558</c:v>
                </c:pt>
                <c:pt idx="732">
                  <c:v>102453548</c:v>
                </c:pt>
                <c:pt idx="733">
                  <c:v>103243127</c:v>
                </c:pt>
                <c:pt idx="734">
                  <c:v>106979455</c:v>
                </c:pt>
                <c:pt idx="735">
                  <c:v>105822762</c:v>
                </c:pt>
                <c:pt idx="736">
                  <c:v>108249512</c:v>
                </c:pt>
                <c:pt idx="737">
                  <c:v>104874815</c:v>
                </c:pt>
                <c:pt idx="738">
                  <c:v>101209883</c:v>
                </c:pt>
                <c:pt idx="739">
                  <c:v>100825832</c:v>
                </c:pt>
                <c:pt idx="740">
                  <c:v>105164713</c:v>
                </c:pt>
                <c:pt idx="741">
                  <c:v>103919567</c:v>
                </c:pt>
                <c:pt idx="742">
                  <c:v>105136857</c:v>
                </c:pt>
                <c:pt idx="743">
                  <c:v>96675629</c:v>
                </c:pt>
                <c:pt idx="744">
                  <c:v>101313790</c:v>
                </c:pt>
                <c:pt idx="745">
                  <c:v>102710005</c:v>
                </c:pt>
                <c:pt idx="746">
                  <c:v>108714063</c:v>
                </c:pt>
                <c:pt idx="747">
                  <c:v>112611947</c:v>
                </c:pt>
                <c:pt idx="748">
                  <c:v>117514504</c:v>
                </c:pt>
                <c:pt idx="749">
                  <c:v>117325717</c:v>
                </c:pt>
                <c:pt idx="750">
                  <c:v>113094436</c:v>
                </c:pt>
                <c:pt idx="751">
                  <c:v>114939837</c:v>
                </c:pt>
                <c:pt idx="752">
                  <c:v>118117237</c:v>
                </c:pt>
                <c:pt idx="753">
                  <c:v>117288613</c:v>
                </c:pt>
                <c:pt idx="754">
                  <c:v>115409397</c:v>
                </c:pt>
                <c:pt idx="755">
                  <c:v>116371900</c:v>
                </c:pt>
                <c:pt idx="756">
                  <c:v>116037079</c:v>
                </c:pt>
                <c:pt idx="757">
                  <c:v>107827469</c:v>
                </c:pt>
                <c:pt idx="758">
                  <c:v>107265065</c:v>
                </c:pt>
                <c:pt idx="759">
                  <c:v>113696268</c:v>
                </c:pt>
                <c:pt idx="760">
                  <c:v>115321256</c:v>
                </c:pt>
                <c:pt idx="761">
                  <c:v>116217271</c:v>
                </c:pt>
                <c:pt idx="762">
                  <c:v>120591919</c:v>
                </c:pt>
                <c:pt idx="763">
                  <c:v>120958264</c:v>
                </c:pt>
                <c:pt idx="764">
                  <c:v>118151445</c:v>
                </c:pt>
                <c:pt idx="765">
                  <c:v>118446049</c:v>
                </c:pt>
                <c:pt idx="766">
                  <c:v>117999179</c:v>
                </c:pt>
                <c:pt idx="767">
                  <c:v>121413872</c:v>
                </c:pt>
                <c:pt idx="768">
                  <c:v>123041841</c:v>
                </c:pt>
                <c:pt idx="769">
                  <c:v>121371620</c:v>
                </c:pt>
                <c:pt idx="770">
                  <c:v>120924578</c:v>
                </c:pt>
                <c:pt idx="771">
                  <c:v>120281331</c:v>
                </c:pt>
                <c:pt idx="772">
                  <c:v>122998597</c:v>
                </c:pt>
                <c:pt idx="773">
                  <c:v>123016852</c:v>
                </c:pt>
                <c:pt idx="774">
                  <c:v>127613513</c:v>
                </c:pt>
                <c:pt idx="775">
                  <c:v>120611800</c:v>
                </c:pt>
                <c:pt idx="776">
                  <c:v>120057437</c:v>
                </c:pt>
                <c:pt idx="777">
                  <c:v>123351393</c:v>
                </c:pt>
                <c:pt idx="778">
                  <c:v>123685568</c:v>
                </c:pt>
                <c:pt idx="779">
                  <c:v>128318594</c:v>
                </c:pt>
                <c:pt idx="780">
                  <c:v>127786988</c:v>
                </c:pt>
                <c:pt idx="781">
                  <c:v>127097171</c:v>
                </c:pt>
                <c:pt idx="782">
                  <c:v>125037039</c:v>
                </c:pt>
                <c:pt idx="783">
                  <c:v>119440711</c:v>
                </c:pt>
                <c:pt idx="784">
                  <c:v>105265761</c:v>
                </c:pt>
                <c:pt idx="785">
                  <c:v>108063346</c:v>
                </c:pt>
                <c:pt idx="786">
                  <c:v>106662637</c:v>
                </c:pt>
                <c:pt idx="787">
                  <c:v>113938870</c:v>
                </c:pt>
                <c:pt idx="788">
                  <c:v>115363311</c:v>
                </c:pt>
                <c:pt idx="789">
                  <c:v>113170821</c:v>
                </c:pt>
                <c:pt idx="790">
                  <c:v>114982077</c:v>
                </c:pt>
                <c:pt idx="791">
                  <c:v>113380508</c:v>
                </c:pt>
                <c:pt idx="792">
                  <c:v>114925314</c:v>
                </c:pt>
                <c:pt idx="793">
                  <c:v>112033952</c:v>
                </c:pt>
                <c:pt idx="794">
                  <c:v>113248519</c:v>
                </c:pt>
                <c:pt idx="795">
                  <c:v>115557980</c:v>
                </c:pt>
                <c:pt idx="796">
                  <c:v>111513894</c:v>
                </c:pt>
                <c:pt idx="797">
                  <c:v>113304609</c:v>
                </c:pt>
                <c:pt idx="798">
                  <c:v>117989567</c:v>
                </c:pt>
                <c:pt idx="799">
                  <c:v>124756238</c:v>
                </c:pt>
                <c:pt idx="800">
                  <c:v>125692451</c:v>
                </c:pt>
                <c:pt idx="801">
                  <c:v>119892348</c:v>
                </c:pt>
                <c:pt idx="802">
                  <c:v>121841770</c:v>
                </c:pt>
                <c:pt idx="803">
                  <c:v>121777971</c:v>
                </c:pt>
                <c:pt idx="804">
                  <c:v>123821825</c:v>
                </c:pt>
                <c:pt idx="805">
                  <c:v>120055337</c:v>
                </c:pt>
                <c:pt idx="806">
                  <c:v>118553845</c:v>
                </c:pt>
                <c:pt idx="807">
                  <c:v>119919216</c:v>
                </c:pt>
                <c:pt idx="808">
                  <c:v>117421982</c:v>
                </c:pt>
                <c:pt idx="809">
                  <c:v>118701996</c:v>
                </c:pt>
                <c:pt idx="810">
                  <c:v>120012980</c:v>
                </c:pt>
                <c:pt idx="811">
                  <c:v>119901582</c:v>
                </c:pt>
                <c:pt idx="812">
                  <c:v>116851667</c:v>
                </c:pt>
                <c:pt idx="813">
                  <c:v>111182693</c:v>
                </c:pt>
                <c:pt idx="814">
                  <c:v>114067080</c:v>
                </c:pt>
                <c:pt idx="815">
                  <c:v>124240612</c:v>
                </c:pt>
                <c:pt idx="816">
                  <c:v>122141653</c:v>
                </c:pt>
                <c:pt idx="817">
                  <c:v>124890962</c:v>
                </c:pt>
                <c:pt idx="818">
                  <c:v>124099809</c:v>
                </c:pt>
                <c:pt idx="819">
                  <c:v>128340915</c:v>
                </c:pt>
                <c:pt idx="820">
                  <c:v>125987651</c:v>
                </c:pt>
                <c:pt idx="821">
                  <c:v>124355071</c:v>
                </c:pt>
                <c:pt idx="822">
                  <c:v>126515782</c:v>
                </c:pt>
                <c:pt idx="823">
                  <c:v>127412750</c:v>
                </c:pt>
                <c:pt idx="824">
                  <c:v>124864798</c:v>
                </c:pt>
                <c:pt idx="825">
                  <c:v>125657888</c:v>
                </c:pt>
                <c:pt idx="826">
                  <c:v>122282255</c:v>
                </c:pt>
                <c:pt idx="827">
                  <c:v>119162440</c:v>
                </c:pt>
                <c:pt idx="828">
                  <c:v>116025768</c:v>
                </c:pt>
                <c:pt idx="829">
                  <c:v>114438157</c:v>
                </c:pt>
                <c:pt idx="830">
                  <c:v>114839461</c:v>
                </c:pt>
                <c:pt idx="831">
                  <c:v>115149915</c:v>
                </c:pt>
                <c:pt idx="832">
                  <c:v>112931714</c:v>
                </c:pt>
                <c:pt idx="833">
                  <c:v>110441604</c:v>
                </c:pt>
                <c:pt idx="834">
                  <c:v>103705899</c:v>
                </c:pt>
                <c:pt idx="835">
                  <c:v>102457745</c:v>
                </c:pt>
                <c:pt idx="836">
                  <c:v>104064718</c:v>
                </c:pt>
                <c:pt idx="837">
                  <c:v>105374717</c:v>
                </c:pt>
                <c:pt idx="838">
                  <c:v>106034182</c:v>
                </c:pt>
                <c:pt idx="839">
                  <c:v>100964509</c:v>
                </c:pt>
                <c:pt idx="840">
                  <c:v>101219838</c:v>
                </c:pt>
                <c:pt idx="841">
                  <c:v>102014354</c:v>
                </c:pt>
                <c:pt idx="842">
                  <c:v>97279113</c:v>
                </c:pt>
                <c:pt idx="843">
                  <c:v>96855394</c:v>
                </c:pt>
                <c:pt idx="844">
                  <c:v>100769067</c:v>
                </c:pt>
                <c:pt idx="845">
                  <c:v>94428653</c:v>
                </c:pt>
                <c:pt idx="846">
                  <c:v>95808761</c:v>
                </c:pt>
                <c:pt idx="847">
                  <c:v>98247471</c:v>
                </c:pt>
                <c:pt idx="848">
                  <c:v>99382916</c:v>
                </c:pt>
                <c:pt idx="849">
                  <c:v>98974828</c:v>
                </c:pt>
                <c:pt idx="850">
                  <c:v>101741613</c:v>
                </c:pt>
                <c:pt idx="851">
                  <c:v>100403778</c:v>
                </c:pt>
                <c:pt idx="852">
                  <c:v>99250942</c:v>
                </c:pt>
                <c:pt idx="853">
                  <c:v>97785062</c:v>
                </c:pt>
                <c:pt idx="854">
                  <c:v>100597297</c:v>
                </c:pt>
                <c:pt idx="855">
                  <c:v>100728053</c:v>
                </c:pt>
                <c:pt idx="856">
                  <c:v>99554113</c:v>
                </c:pt>
                <c:pt idx="857">
                  <c:v>100213517</c:v>
                </c:pt>
                <c:pt idx="858">
                  <c:v>97456868</c:v>
                </c:pt>
                <c:pt idx="859">
                  <c:v>97794378</c:v>
                </c:pt>
                <c:pt idx="860">
                  <c:v>102144390</c:v>
                </c:pt>
                <c:pt idx="861">
                  <c:v>98578819</c:v>
                </c:pt>
                <c:pt idx="862">
                  <c:v>98072680</c:v>
                </c:pt>
                <c:pt idx="863">
                  <c:v>99477630</c:v>
                </c:pt>
                <c:pt idx="864">
                  <c:v>99732003</c:v>
                </c:pt>
                <c:pt idx="865">
                  <c:v>98964074</c:v>
                </c:pt>
                <c:pt idx="866">
                  <c:v>98950329</c:v>
                </c:pt>
                <c:pt idx="867">
                  <c:v>94497065</c:v>
                </c:pt>
                <c:pt idx="868">
                  <c:v>89471133</c:v>
                </c:pt>
                <c:pt idx="869">
                  <c:v>98266263</c:v>
                </c:pt>
                <c:pt idx="870">
                  <c:v>96368323</c:v>
                </c:pt>
                <c:pt idx="871">
                  <c:v>98964332</c:v>
                </c:pt>
                <c:pt idx="872">
                  <c:v>99063583</c:v>
                </c:pt>
                <c:pt idx="873">
                  <c:v>100441617</c:v>
                </c:pt>
                <c:pt idx="874">
                  <c:v>99093142</c:v>
                </c:pt>
                <c:pt idx="875">
                  <c:v>98251640</c:v>
                </c:pt>
                <c:pt idx="876">
                  <c:v>97407415</c:v>
                </c:pt>
                <c:pt idx="877">
                  <c:v>99342276</c:v>
                </c:pt>
                <c:pt idx="878">
                  <c:v>97440802</c:v>
                </c:pt>
                <c:pt idx="879">
                  <c:v>101103701</c:v>
                </c:pt>
                <c:pt idx="880">
                  <c:v>99096789</c:v>
                </c:pt>
                <c:pt idx="881">
                  <c:v>95883417</c:v>
                </c:pt>
                <c:pt idx="882">
                  <c:v>95616373</c:v>
                </c:pt>
                <c:pt idx="883">
                  <c:v>97042860</c:v>
                </c:pt>
                <c:pt idx="884">
                  <c:v>96663742</c:v>
                </c:pt>
                <c:pt idx="885">
                  <c:v>99057259</c:v>
                </c:pt>
                <c:pt idx="886">
                  <c:v>100300938</c:v>
                </c:pt>
                <c:pt idx="887">
                  <c:v>101296603</c:v>
                </c:pt>
                <c:pt idx="888">
                  <c:v>104588579</c:v>
                </c:pt>
                <c:pt idx="889">
                  <c:v>107245970</c:v>
                </c:pt>
                <c:pt idx="890">
                  <c:v>99646159</c:v>
                </c:pt>
                <c:pt idx="891">
                  <c:v>97924702</c:v>
                </c:pt>
                <c:pt idx="892">
                  <c:v>102828901</c:v>
                </c:pt>
                <c:pt idx="893">
                  <c:v>102504054</c:v>
                </c:pt>
                <c:pt idx="894">
                  <c:v>104608762</c:v>
                </c:pt>
                <c:pt idx="895">
                  <c:v>103271632</c:v>
                </c:pt>
                <c:pt idx="896">
                  <c:v>112177380</c:v>
                </c:pt>
                <c:pt idx="897">
                  <c:v>120362891</c:v>
                </c:pt>
                <c:pt idx="898">
                  <c:v>119525798</c:v>
                </c:pt>
                <c:pt idx="899">
                  <c:v>119484547</c:v>
                </c:pt>
                <c:pt idx="900">
                  <c:v>119120009</c:v>
                </c:pt>
                <c:pt idx="901">
                  <c:v>113502236</c:v>
                </c:pt>
                <c:pt idx="902">
                  <c:v>104365142</c:v>
                </c:pt>
                <c:pt idx="903">
                  <c:v>108497977</c:v>
                </c:pt>
                <c:pt idx="904">
                  <c:v>109174622</c:v>
                </c:pt>
                <c:pt idx="905">
                  <c:v>106755630</c:v>
                </c:pt>
                <c:pt idx="906">
                  <c:v>108878577</c:v>
                </c:pt>
                <c:pt idx="907">
                  <c:v>107675545</c:v>
                </c:pt>
                <c:pt idx="908">
                  <c:v>110514288</c:v>
                </c:pt>
                <c:pt idx="909">
                  <c:v>114203421</c:v>
                </c:pt>
                <c:pt idx="910">
                  <c:v>115669615</c:v>
                </c:pt>
                <c:pt idx="911">
                  <c:v>114705030</c:v>
                </c:pt>
                <c:pt idx="912">
                  <c:v>121064418</c:v>
                </c:pt>
                <c:pt idx="913">
                  <c:v>118217552</c:v>
                </c:pt>
                <c:pt idx="914">
                  <c:v>120708174</c:v>
                </c:pt>
                <c:pt idx="915">
                  <c:v>122404522</c:v>
                </c:pt>
                <c:pt idx="916">
                  <c:v>123872450</c:v>
                </c:pt>
                <c:pt idx="917">
                  <c:v>125063267</c:v>
                </c:pt>
                <c:pt idx="918">
                  <c:v>132185806</c:v>
                </c:pt>
                <c:pt idx="919">
                  <c:v>136925715</c:v>
                </c:pt>
                <c:pt idx="920">
                  <c:v>141769987</c:v>
                </c:pt>
                <c:pt idx="921">
                  <c:v>143571208</c:v>
                </c:pt>
                <c:pt idx="922">
                  <c:v>146037016</c:v>
                </c:pt>
                <c:pt idx="923">
                  <c:v>141855850</c:v>
                </c:pt>
                <c:pt idx="924">
                  <c:v>148854646</c:v>
                </c:pt>
                <c:pt idx="925">
                  <c:v>160000949</c:v>
                </c:pt>
                <c:pt idx="926">
                  <c:v>159528791</c:v>
                </c:pt>
                <c:pt idx="927">
                  <c:v>161227022</c:v>
                </c:pt>
                <c:pt idx="928">
                  <c:v>150570918</c:v>
                </c:pt>
                <c:pt idx="929">
                  <c:v>148710302</c:v>
                </c:pt>
                <c:pt idx="930">
                  <c:v>154859668</c:v>
                </c:pt>
                <c:pt idx="931">
                  <c:v>168465801</c:v>
                </c:pt>
                <c:pt idx="932">
                  <c:v>172011426</c:v>
                </c:pt>
                <c:pt idx="933">
                  <c:v>174873724</c:v>
                </c:pt>
                <c:pt idx="934">
                  <c:v>179005084</c:v>
                </c:pt>
                <c:pt idx="935">
                  <c:v>177835848</c:v>
                </c:pt>
                <c:pt idx="936">
                  <c:v>183374572</c:v>
                </c:pt>
                <c:pt idx="937">
                  <c:v>176486612</c:v>
                </c:pt>
                <c:pt idx="938">
                  <c:v>167623821</c:v>
                </c:pt>
                <c:pt idx="939">
                  <c:v>152722117</c:v>
                </c:pt>
                <c:pt idx="940">
                  <c:v>160979233</c:v>
                </c:pt>
                <c:pt idx="941">
                  <c:v>160430857</c:v>
                </c:pt>
                <c:pt idx="942">
                  <c:v>156887405</c:v>
                </c:pt>
                <c:pt idx="943">
                  <c:v>158130713</c:v>
                </c:pt>
                <c:pt idx="944">
                  <c:v>165627671</c:v>
                </c:pt>
                <c:pt idx="945">
                  <c:v>162107032</c:v>
                </c:pt>
                <c:pt idx="946">
                  <c:v>163424618</c:v>
                </c:pt>
                <c:pt idx="947">
                  <c:v>162454594</c:v>
                </c:pt>
                <c:pt idx="948">
                  <c:v>164764511</c:v>
                </c:pt>
                <c:pt idx="949">
                  <c:v>160312325</c:v>
                </c:pt>
                <c:pt idx="950">
                  <c:v>137463509</c:v>
                </c:pt>
                <c:pt idx="951">
                  <c:v>133493023</c:v>
                </c:pt>
                <c:pt idx="952">
                  <c:v>119991847</c:v>
                </c:pt>
                <c:pt idx="953">
                  <c:v>115859010</c:v>
                </c:pt>
                <c:pt idx="954">
                  <c:v>83366275</c:v>
                </c:pt>
                <c:pt idx="955">
                  <c:v>93926849</c:v>
                </c:pt>
                <c:pt idx="956">
                  <c:v>87902675</c:v>
                </c:pt>
                <c:pt idx="957">
                  <c:v>77139537</c:v>
                </c:pt>
                <c:pt idx="958">
                  <c:v>71160453</c:v>
                </c:pt>
                <c:pt idx="959">
                  <c:v>71583930</c:v>
                </c:pt>
                <c:pt idx="960">
                  <c:v>78304719</c:v>
                </c:pt>
                <c:pt idx="961">
                  <c:v>81862899</c:v>
                </c:pt>
                <c:pt idx="962">
                  <c:v>80262584</c:v>
                </c:pt>
                <c:pt idx="963">
                  <c:v>111116264</c:v>
                </c:pt>
                <c:pt idx="964">
                  <c:v>76088831</c:v>
                </c:pt>
                <c:pt idx="965">
                  <c:v>81105314</c:v>
                </c:pt>
                <c:pt idx="966">
                  <c:v>83238770</c:v>
                </c:pt>
                <c:pt idx="967">
                  <c:v>82492856</c:v>
                </c:pt>
                <c:pt idx="968">
                  <c:v>91994898</c:v>
                </c:pt>
                <c:pt idx="969">
                  <c:v>90070040</c:v>
                </c:pt>
                <c:pt idx="970">
                  <c:v>90663273</c:v>
                </c:pt>
                <c:pt idx="971">
                  <c:v>86747306</c:v>
                </c:pt>
                <c:pt idx="972">
                  <c:v>90244470</c:v>
                </c:pt>
                <c:pt idx="973">
                  <c:v>89922260</c:v>
                </c:pt>
                <c:pt idx="974">
                  <c:v>93260019</c:v>
                </c:pt>
                <c:pt idx="975">
                  <c:v>93656486</c:v>
                </c:pt>
                <c:pt idx="976">
                  <c:v>92362584</c:v>
                </c:pt>
                <c:pt idx="977">
                  <c:v>94736309</c:v>
                </c:pt>
                <c:pt idx="978">
                  <c:v>94886774</c:v>
                </c:pt>
                <c:pt idx="979">
                  <c:v>100879248</c:v>
                </c:pt>
                <c:pt idx="980">
                  <c:v>99593395</c:v>
                </c:pt>
                <c:pt idx="981">
                  <c:v>100381292</c:v>
                </c:pt>
                <c:pt idx="982">
                  <c:v>99645278</c:v>
                </c:pt>
                <c:pt idx="983">
                  <c:v>94186303</c:v>
                </c:pt>
                <c:pt idx="984">
                  <c:v>94404382</c:v>
                </c:pt>
                <c:pt idx="985">
                  <c:v>96345511</c:v>
                </c:pt>
                <c:pt idx="986">
                  <c:v>94905908</c:v>
                </c:pt>
                <c:pt idx="987">
                  <c:v>95500999</c:v>
                </c:pt>
                <c:pt idx="988">
                  <c:v>93341701</c:v>
                </c:pt>
                <c:pt idx="989">
                  <c:v>96085205</c:v>
                </c:pt>
                <c:pt idx="990">
                  <c:v>96939153</c:v>
                </c:pt>
                <c:pt idx="991">
                  <c:v>99862427</c:v>
                </c:pt>
                <c:pt idx="992">
                  <c:v>96207820</c:v>
                </c:pt>
                <c:pt idx="993">
                  <c:v>87178845</c:v>
                </c:pt>
                <c:pt idx="994">
                  <c:v>87691040</c:v>
                </c:pt>
                <c:pt idx="995">
                  <c:v>91877843</c:v>
                </c:pt>
                <c:pt idx="996">
                  <c:v>89325437</c:v>
                </c:pt>
                <c:pt idx="997">
                  <c:v>88760224</c:v>
                </c:pt>
                <c:pt idx="998">
                  <c:v>91527389</c:v>
                </c:pt>
                <c:pt idx="999">
                  <c:v>79648265</c:v>
                </c:pt>
                <c:pt idx="1000">
                  <c:v>93936042</c:v>
                </c:pt>
                <c:pt idx="1001">
                  <c:v>94262169</c:v>
                </c:pt>
                <c:pt idx="1002">
                  <c:v>98461357</c:v>
                </c:pt>
                <c:pt idx="1003">
                  <c:v>94689596</c:v>
                </c:pt>
                <c:pt idx="1004">
                  <c:v>102851047</c:v>
                </c:pt>
                <c:pt idx="1005">
                  <c:v>101150704</c:v>
                </c:pt>
                <c:pt idx="1006">
                  <c:v>100463207</c:v>
                </c:pt>
                <c:pt idx="1007">
                  <c:v>98338238</c:v>
                </c:pt>
                <c:pt idx="1008">
                  <c:v>97790402</c:v>
                </c:pt>
                <c:pt idx="1009">
                  <c:v>95728547</c:v>
                </c:pt>
                <c:pt idx="1010">
                  <c:v>97885979</c:v>
                </c:pt>
                <c:pt idx="1011">
                  <c:v>99843731</c:v>
                </c:pt>
                <c:pt idx="1012">
                  <c:v>100001048</c:v>
                </c:pt>
                <c:pt idx="1013">
                  <c:v>95382722</c:v>
                </c:pt>
                <c:pt idx="1014">
                  <c:v>97307452</c:v>
                </c:pt>
                <c:pt idx="1015">
                  <c:v>98791126</c:v>
                </c:pt>
                <c:pt idx="1016">
                  <c:v>104955181</c:v>
                </c:pt>
                <c:pt idx="1017">
                  <c:v>101848048</c:v>
                </c:pt>
                <c:pt idx="1018">
                  <c:v>99149478</c:v>
                </c:pt>
                <c:pt idx="1019">
                  <c:v>104230628</c:v>
                </c:pt>
                <c:pt idx="1020">
                  <c:v>106196467</c:v>
                </c:pt>
                <c:pt idx="1021">
                  <c:v>105661660</c:v>
                </c:pt>
                <c:pt idx="1022">
                  <c:v>105293235</c:v>
                </c:pt>
                <c:pt idx="1023">
                  <c:v>103673626</c:v>
                </c:pt>
                <c:pt idx="1024">
                  <c:v>104398696</c:v>
                </c:pt>
                <c:pt idx="1025">
                  <c:v>104221619</c:v>
                </c:pt>
                <c:pt idx="1026">
                  <c:v>102129937</c:v>
                </c:pt>
                <c:pt idx="1027">
                  <c:v>95472473</c:v>
                </c:pt>
                <c:pt idx="1028">
                  <c:v>95576256</c:v>
                </c:pt>
                <c:pt idx="1029">
                  <c:v>97622722</c:v>
                </c:pt>
                <c:pt idx="1030">
                  <c:v>98531534</c:v>
                </c:pt>
                <c:pt idx="1031">
                  <c:v>98719571</c:v>
                </c:pt>
                <c:pt idx="1032">
                  <c:v>95993270</c:v>
                </c:pt>
                <c:pt idx="1033">
                  <c:v>103937024</c:v>
                </c:pt>
                <c:pt idx="1034">
                  <c:v>99786127</c:v>
                </c:pt>
                <c:pt idx="1035">
                  <c:v>104850412</c:v>
                </c:pt>
                <c:pt idx="1036">
                  <c:v>100573065</c:v>
                </c:pt>
                <c:pt idx="1037">
                  <c:v>113169459</c:v>
                </c:pt>
                <c:pt idx="1038">
                  <c:v>113576532</c:v>
                </c:pt>
                <c:pt idx="1039">
                  <c:v>111574820</c:v>
                </c:pt>
                <c:pt idx="1040">
                  <c:v>113945596</c:v>
                </c:pt>
                <c:pt idx="1041">
                  <c:v>115044144</c:v>
                </c:pt>
                <c:pt idx="1042">
                  <c:v>107129905</c:v>
                </c:pt>
                <c:pt idx="1043">
                  <c:v>105314592</c:v>
                </c:pt>
                <c:pt idx="1044">
                  <c:v>90656442</c:v>
                </c:pt>
                <c:pt idx="1045">
                  <c:v>88227697</c:v>
                </c:pt>
                <c:pt idx="1046">
                  <c:v>94967726</c:v>
                </c:pt>
                <c:pt idx="1047">
                  <c:v>90402936</c:v>
                </c:pt>
                <c:pt idx="1048">
                  <c:v>97743632</c:v>
                </c:pt>
                <c:pt idx="1049">
                  <c:v>117245553</c:v>
                </c:pt>
                <c:pt idx="1050">
                  <c:v>171327814</c:v>
                </c:pt>
                <c:pt idx="1051">
                  <c:v>239736623</c:v>
                </c:pt>
                <c:pt idx="1052">
                  <c:v>339613547</c:v>
                </c:pt>
                <c:pt idx="1053">
                  <c:v>433071037</c:v>
                </c:pt>
                <c:pt idx="1054">
                  <c:v>511267185</c:v>
                </c:pt>
                <c:pt idx="1055">
                  <c:v>608713948</c:v>
                </c:pt>
                <c:pt idx="1056">
                  <c:v>577005640</c:v>
                </c:pt>
                <c:pt idx="1057">
                  <c:v>592014395</c:v>
                </c:pt>
                <c:pt idx="1058">
                  <c:v>561693412</c:v>
                </c:pt>
                <c:pt idx="1059">
                  <c:v>616459482</c:v>
                </c:pt>
                <c:pt idx="1060">
                  <c:v>625814924</c:v>
                </c:pt>
                <c:pt idx="1061">
                  <c:v>628278253</c:v>
                </c:pt>
                <c:pt idx="1062">
                  <c:v>635735044</c:v>
                </c:pt>
                <c:pt idx="1063">
                  <c:v>639542361</c:v>
                </c:pt>
                <c:pt idx="1064">
                  <c:v>564930596</c:v>
                </c:pt>
                <c:pt idx="1065">
                  <c:v>596220443</c:v>
                </c:pt>
                <c:pt idx="1066">
                  <c:v>611929653</c:v>
                </c:pt>
                <c:pt idx="1067">
                  <c:v>624301168</c:v>
                </c:pt>
                <c:pt idx="1068">
                  <c:v>630538513</c:v>
                </c:pt>
                <c:pt idx="1069">
                  <c:v>637698403</c:v>
                </c:pt>
                <c:pt idx="1070">
                  <c:v>671759732</c:v>
                </c:pt>
                <c:pt idx="1071">
                  <c:v>640377888</c:v>
                </c:pt>
                <c:pt idx="1072">
                  <c:v>664612520</c:v>
                </c:pt>
                <c:pt idx="1073">
                  <c:v>661907971</c:v>
                </c:pt>
                <c:pt idx="1074">
                  <c:v>677107837</c:v>
                </c:pt>
                <c:pt idx="1075">
                  <c:v>689408365</c:v>
                </c:pt>
                <c:pt idx="1076">
                  <c:v>698960570</c:v>
                </c:pt>
                <c:pt idx="1077">
                  <c:v>690522079</c:v>
                </c:pt>
                <c:pt idx="1078">
                  <c:v>702342854</c:v>
                </c:pt>
                <c:pt idx="1079">
                  <c:v>697701897</c:v>
                </c:pt>
                <c:pt idx="1080">
                  <c:v>697836791</c:v>
                </c:pt>
                <c:pt idx="1081">
                  <c:v>693262631</c:v>
                </c:pt>
                <c:pt idx="1082">
                  <c:v>676549036</c:v>
                </c:pt>
                <c:pt idx="1083">
                  <c:v>638260228</c:v>
                </c:pt>
                <c:pt idx="1084">
                  <c:v>579165401</c:v>
                </c:pt>
                <c:pt idx="1085">
                  <c:v>571497569</c:v>
                </c:pt>
                <c:pt idx="1086">
                  <c:v>572424967</c:v>
                </c:pt>
                <c:pt idx="1087">
                  <c:v>557842795</c:v>
                </c:pt>
                <c:pt idx="1088">
                  <c:v>583535177</c:v>
                </c:pt>
                <c:pt idx="1089">
                  <c:v>587882207</c:v>
                </c:pt>
                <c:pt idx="1090">
                  <c:v>722414009</c:v>
                </c:pt>
                <c:pt idx="1091">
                  <c:v>782608208</c:v>
                </c:pt>
                <c:pt idx="1092">
                  <c:v>790473582</c:v>
                </c:pt>
                <c:pt idx="1093">
                  <c:v>773225338</c:v>
                </c:pt>
                <c:pt idx="1094">
                  <c:v>738807260</c:v>
                </c:pt>
                <c:pt idx="1095">
                  <c:v>698263732</c:v>
                </c:pt>
                <c:pt idx="1096">
                  <c:v>762798800</c:v>
                </c:pt>
                <c:pt idx="1097">
                  <c:v>751839481</c:v>
                </c:pt>
                <c:pt idx="1098">
                  <c:v>810050939</c:v>
                </c:pt>
                <c:pt idx="1099">
                  <c:v>816928141</c:v>
                </c:pt>
                <c:pt idx="1100">
                  <c:v>823322936</c:v>
                </c:pt>
                <c:pt idx="1101">
                  <c:v>799813083</c:v>
                </c:pt>
                <c:pt idx="1102">
                  <c:v>777264935</c:v>
                </c:pt>
                <c:pt idx="1103">
                  <c:v>812632736</c:v>
                </c:pt>
                <c:pt idx="1104">
                  <c:v>810652463</c:v>
                </c:pt>
                <c:pt idx="1105">
                  <c:v>856732327</c:v>
                </c:pt>
                <c:pt idx="1106">
                  <c:v>843228008</c:v>
                </c:pt>
                <c:pt idx="1107">
                  <c:v>827500814</c:v>
                </c:pt>
                <c:pt idx="1108">
                  <c:v>911615582</c:v>
                </c:pt>
                <c:pt idx="1109">
                  <c:v>791861598</c:v>
                </c:pt>
                <c:pt idx="1110">
                  <c:v>742596237</c:v>
                </c:pt>
                <c:pt idx="1111">
                  <c:v>766876676</c:v>
                </c:pt>
                <c:pt idx="1112">
                  <c:v>748111988</c:v>
                </c:pt>
                <c:pt idx="1113">
                  <c:v>730170103</c:v>
                </c:pt>
                <c:pt idx="1114">
                  <c:v>720683210</c:v>
                </c:pt>
                <c:pt idx="1115">
                  <c:v>795222000</c:v>
                </c:pt>
                <c:pt idx="1116">
                  <c:v>781044278</c:v>
                </c:pt>
                <c:pt idx="1117">
                  <c:v>804180625</c:v>
                </c:pt>
                <c:pt idx="1118">
                  <c:v>793142580</c:v>
                </c:pt>
                <c:pt idx="1119">
                  <c:v>821373287</c:v>
                </c:pt>
                <c:pt idx="1120">
                  <c:v>790522868</c:v>
                </c:pt>
                <c:pt idx="1121">
                  <c:v>798326845</c:v>
                </c:pt>
                <c:pt idx="1122">
                  <c:v>758119048</c:v>
                </c:pt>
                <c:pt idx="1123">
                  <c:v>801701066</c:v>
                </c:pt>
                <c:pt idx="1124">
                  <c:v>792284738</c:v>
                </c:pt>
                <c:pt idx="1125">
                  <c:v>784803313</c:v>
                </c:pt>
                <c:pt idx="1126">
                  <c:v>766735386</c:v>
                </c:pt>
                <c:pt idx="1127">
                  <c:v>778292032</c:v>
                </c:pt>
                <c:pt idx="1128">
                  <c:v>730576231</c:v>
                </c:pt>
                <c:pt idx="1129">
                  <c:v>655979263</c:v>
                </c:pt>
                <c:pt idx="1130">
                  <c:v>646469448</c:v>
                </c:pt>
                <c:pt idx="1131">
                  <c:v>624970502</c:v>
                </c:pt>
                <c:pt idx="1132">
                  <c:v>609579663</c:v>
                </c:pt>
                <c:pt idx="1133">
                  <c:v>609393224</c:v>
                </c:pt>
                <c:pt idx="1134">
                  <c:v>589070930</c:v>
                </c:pt>
                <c:pt idx="1135">
                  <c:v>601608023</c:v>
                </c:pt>
                <c:pt idx="1136">
                  <c:v>614696306</c:v>
                </c:pt>
                <c:pt idx="1137">
                  <c:v>629849206</c:v>
                </c:pt>
                <c:pt idx="1138">
                  <c:v>644814809</c:v>
                </c:pt>
                <c:pt idx="1139">
                  <c:v>640706231</c:v>
                </c:pt>
                <c:pt idx="1140">
                  <c:v>670148628</c:v>
                </c:pt>
                <c:pt idx="1141">
                  <c:v>669096146</c:v>
                </c:pt>
                <c:pt idx="1142">
                  <c:v>658848886</c:v>
                </c:pt>
                <c:pt idx="1143">
                  <c:v>656884425</c:v>
                </c:pt>
                <c:pt idx="1144">
                  <c:v>686610905</c:v>
                </c:pt>
                <c:pt idx="1145">
                  <c:v>701714272</c:v>
                </c:pt>
                <c:pt idx="1146">
                  <c:v>714435431</c:v>
                </c:pt>
                <c:pt idx="1147">
                  <c:v>699439023</c:v>
                </c:pt>
                <c:pt idx="1148">
                  <c:v>719899204</c:v>
                </c:pt>
                <c:pt idx="1149">
                  <c:v>706736061</c:v>
                </c:pt>
                <c:pt idx="1150">
                  <c:v>751895816</c:v>
                </c:pt>
                <c:pt idx="1151">
                  <c:v>816448833</c:v>
                </c:pt>
                <c:pt idx="1152">
                  <c:v>808543207</c:v>
                </c:pt>
                <c:pt idx="1153">
                  <c:v>868662020</c:v>
                </c:pt>
                <c:pt idx="1154">
                  <c:v>814965363</c:v>
                </c:pt>
                <c:pt idx="1155">
                  <c:v>829824763</c:v>
                </c:pt>
                <c:pt idx="1156">
                  <c:v>818925204</c:v>
                </c:pt>
                <c:pt idx="1157">
                  <c:v>789256487</c:v>
                </c:pt>
                <c:pt idx="1158">
                  <c:v>767384480</c:v>
                </c:pt>
                <c:pt idx="1159">
                  <c:v>768555240</c:v>
                </c:pt>
                <c:pt idx="1160">
                  <c:v>774968270</c:v>
                </c:pt>
                <c:pt idx="1161">
                  <c:v>764063446</c:v>
                </c:pt>
                <c:pt idx="1162">
                  <c:v>770342163</c:v>
                </c:pt>
                <c:pt idx="1163">
                  <c:v>781794304</c:v>
                </c:pt>
                <c:pt idx="1164">
                  <c:v>826030824</c:v>
                </c:pt>
                <c:pt idx="1165">
                  <c:v>818467324</c:v>
                </c:pt>
                <c:pt idx="1166">
                  <c:v>825401893</c:v>
                </c:pt>
                <c:pt idx="1167">
                  <c:v>828937578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73-480C-A5B8-22DE1C34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56968"/>
        <c:axId val="689555328"/>
      </c:areaChart>
      <c:catAx>
        <c:axId val="68955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55328"/>
        <c:crosses val="autoZero"/>
        <c:auto val="1"/>
        <c:lblAlgn val="ctr"/>
        <c:lblOffset val="100"/>
        <c:noMultiLvlLbl val="0"/>
      </c:catAx>
      <c:valAx>
        <c:axId val="6895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569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[a16z_data_analysis.xlsx]tvl_pivot!PivotTable2</c:name>
    <c:fmtId val="0"/>
  </c:pivotSource>
  <c:chart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65359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65359"/>
          </a:solidFill>
          <a:ln>
            <a:noFill/>
          </a:ln>
          <a:effectLst/>
        </c:spP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67006063897186"/>
          <c:y val="0.24537037037037038"/>
          <c:w val="0.80904267354511716"/>
          <c:h val="0.64723024205307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tvl_pivot!$R$3</c:f>
              <c:strCache>
                <c:ptCount val="1"/>
                <c:pt idx="0">
                  <c:v>avg_tvl_others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tvl_pivot!$Q$4:$Q$7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tvl_pivot!$R$4:$R$7</c:f>
              <c:numCache>
                <c:formatCode>General</c:formatCode>
                <c:ptCount val="3"/>
                <c:pt idx="0">
                  <c:v>153599388.4821918</c:v>
                </c:pt>
                <c:pt idx="1">
                  <c:v>408580960.50734466</c:v>
                </c:pt>
                <c:pt idx="2">
                  <c:v>2312063434.8473535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6A-4B29-AAD0-75CFC3125C18}"/>
            </c:ext>
          </c:extLst>
        </c:ser>
        <c:ser>
          <c:idx val="1"/>
          <c:order val="1"/>
          <c:tx>
            <c:strRef>
              <c:f>tvl_pivot!$S$3</c:f>
              <c:strCache>
                <c:ptCount val="1"/>
                <c:pt idx="0">
                  <c:v>avg_tvl_lend</c:v>
                </c:pt>
              </c:strCache>
            </c:strRef>
          </c:tx>
          <c:spPr>
            <a:solidFill>
              <a:srgbClr val="465359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6A-4B29-AAD0-75CFC3125C1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tvl_pivot!$Q$4:$Q$7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tvl_pivot!$S$4:$S$7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361132748.05944055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6A-4B29-AAD0-75CFC3125C18}"/>
            </c:ext>
          </c:extLst>
        </c:ser>
        <c:ser>
          <c:idx val="2"/>
          <c:order val="2"/>
          <c:tx>
            <c:strRef>
              <c:f>tvl_pivot!$T$3</c:f>
              <c:strCache>
                <c:ptCount val="1"/>
                <c:pt idx="0">
                  <c:v>avg_tvl_comp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tvl_pivot!$Q$4:$Q$7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tvl_pivot!$T$4:$T$7</c:f>
              <c:numCache>
                <c:formatCode>General</c:formatCode>
                <c:ptCount val="3"/>
                <c:pt idx="0">
                  <c:v>1802105.4246575343</c:v>
                </c:pt>
                <c:pt idx="1">
                  <c:v>64704324.378082193</c:v>
                </c:pt>
                <c:pt idx="2">
                  <c:v>354304599.88111889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E6A-4B29-AAD0-75CFC312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-27"/>
        <c:axId val="505868552"/>
        <c:axId val="505870192"/>
      </c:barChart>
      <c:catAx>
        <c:axId val="505868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5870192"/>
        <c:crosses val="autoZero"/>
        <c:auto val="1"/>
        <c:lblAlgn val="ctr"/>
        <c:lblOffset val="100"/>
        <c:noMultiLvlLbl val="0"/>
      </c:catAx>
      <c:valAx>
        <c:axId val="5058701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685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39855793887831"/>
          <c:y val="0.26707093904928553"/>
          <c:w val="0.1681796240987117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[a16z_data_analysis.xlsx]commits_pivot!PivotTable3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Github Commit Activity Over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5048118985127"/>
          <c:y val="0.17171296296296296"/>
          <c:w val="0.78709448818897643"/>
          <c:h val="0.5943138009941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commits_pivot!$B$3:$B$4</c:f>
              <c:strCache>
                <c:ptCount val="1"/>
                <c:pt idx="0">
                  <c:v>Aave</c:v>
                </c:pt>
              </c:strCache>
            </c:strRef>
          </c:tx>
          <c:spPr>
            <a:solidFill>
              <a:srgbClr val="465359"/>
            </a:solidFill>
            <a:ln>
              <a:noFill/>
            </a:ln>
            <a:effectLst/>
          </c:spPr>
          <c:invertIfNegative val="0"/>
          <c:cat>
            <c:multiLvlStrRef>
              <c:f>commits_pivot!$A$5:$A$25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commits_pivot!$B$5:$B$25</c:f>
              <c:numCache>
                <c:formatCode>General</c:formatCode>
                <c:ptCount val="16"/>
                <c:pt idx="8">
                  <c:v>13</c:v>
                </c:pt>
                <c:pt idx="9">
                  <c:v>61</c:v>
                </c:pt>
                <c:pt idx="10">
                  <c:v>12</c:v>
                </c:pt>
                <c:pt idx="11">
                  <c:v>9</c:v>
                </c:pt>
                <c:pt idx="12">
                  <c:v>87</c:v>
                </c:pt>
                <c:pt idx="13">
                  <c:v>40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5-4A6D-B468-DC6E8C2AC40F}"/>
            </c:ext>
          </c:extLst>
        </c:ser>
        <c:ser>
          <c:idx val="1"/>
          <c:order val="1"/>
          <c:tx>
            <c:strRef>
              <c:f>commits_pivot!$C$3:$C$4</c:f>
              <c:strCache>
                <c:ptCount val="1"/>
                <c:pt idx="0">
                  <c:v>Compound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commits_pivot!$A$5:$A$25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</c:lvl>
              </c:multiLvlStrCache>
            </c:multiLvlStrRef>
          </c:cat>
          <c:val>
            <c:numRef>
              <c:f>commits_pivot!$C$5:$C$25</c:f>
              <c:numCache>
                <c:formatCode>General</c:formatCode>
                <c:ptCount val="16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10</c:v>
                </c:pt>
                <c:pt idx="5">
                  <c:v>49</c:v>
                </c:pt>
                <c:pt idx="6">
                  <c:v>19</c:v>
                </c:pt>
                <c:pt idx="7">
                  <c:v>36</c:v>
                </c:pt>
                <c:pt idx="8">
                  <c:v>30</c:v>
                </c:pt>
                <c:pt idx="9">
                  <c:v>76</c:v>
                </c:pt>
                <c:pt idx="10">
                  <c:v>26</c:v>
                </c:pt>
                <c:pt idx="11">
                  <c:v>107</c:v>
                </c:pt>
                <c:pt idx="12">
                  <c:v>66</c:v>
                </c:pt>
                <c:pt idx="13">
                  <c:v>79</c:v>
                </c:pt>
                <c:pt idx="14">
                  <c:v>167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5-4A6D-B468-DC6E8C2A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57088"/>
        <c:axId val="654659056"/>
      </c:barChart>
      <c:catAx>
        <c:axId val="6546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59056"/>
        <c:crosses val="autoZero"/>
        <c:auto val="1"/>
        <c:lblAlgn val="ctr"/>
        <c:lblOffset val="100"/>
        <c:noMultiLvlLbl val="0"/>
      </c:catAx>
      <c:valAx>
        <c:axId val="6546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Commit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74873314103059"/>
          <c:y val="0.14430482648002332"/>
          <c:w val="0.52299498453782389"/>
          <c:h val="0.123843686205890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[a16z_data_analysis.xlsx]commits_pivot!PivotTable4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Aave:</a:t>
            </a:r>
            <a:r>
              <a:rPr lang="en-US" baseline="0"/>
              <a:t> Top 10 Contributors by Commit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commits_pivot!$B$30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53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commits_pivot!$A$31:$A$41</c:f>
              <c:strCache>
                <c:ptCount val="10"/>
                <c:pt idx="0">
                  <c:v>anibal.eduardo@protonmail.ch</c:v>
                </c:pt>
                <c:pt idx="1">
                  <c:v>david@truong.vc</c:v>
                </c:pt>
                <c:pt idx="2">
                  <c:v>emilio@ethlend.io</c:v>
                </c:pt>
                <c:pt idx="3">
                  <c:v>noahwz@gmail.com</c:v>
                </c:pt>
                <c:pt idx="4">
                  <c:v>m.pilkey@gmail.com</c:v>
                </c:pt>
                <c:pt idx="5">
                  <c:v>frangellaemilio@gmail.com</c:v>
                </c:pt>
                <c:pt idx="6">
                  <c:v>argeares97@gmail.com</c:v>
                </c:pt>
                <c:pt idx="7">
                  <c:v>kyzia.ru@gmail.com</c:v>
                </c:pt>
                <c:pt idx="8">
                  <c:v>ernesto.boado.moreira@gmail.com</c:v>
                </c:pt>
                <c:pt idx="9">
                  <c:v>noreply@github.com</c:v>
                </c:pt>
              </c:strCache>
            </c:strRef>
          </c:cat>
          <c:val>
            <c:numRef>
              <c:f>commits_pivot!$B$31:$B$41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11</c:v>
                </c:pt>
                <c:pt idx="4">
                  <c:v>18</c:v>
                </c:pt>
                <c:pt idx="5">
                  <c:v>23</c:v>
                </c:pt>
                <c:pt idx="6">
                  <c:v>23</c:v>
                </c:pt>
                <c:pt idx="7">
                  <c:v>38</c:v>
                </c:pt>
                <c:pt idx="8">
                  <c:v>39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8-49A4-830C-45814001E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539104"/>
        <c:axId val="651540416"/>
      </c:barChart>
      <c:catAx>
        <c:axId val="6515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540416"/>
        <c:crosses val="autoZero"/>
        <c:auto val="1"/>
        <c:lblAlgn val="ctr"/>
        <c:lblOffset val="100"/>
        <c:noMultiLvlLbl val="0"/>
      </c:catAx>
      <c:valAx>
        <c:axId val="65154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153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Commits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145056867891511"/>
          <c:y val="0.21078521434820643"/>
          <c:w val="0.40876574803149601"/>
          <c:h val="0.68127624671915998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4653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82-4DBB-B415-31DBB49C2D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commits_pivot!$H$22:$I$22</c:f>
              <c:strCache>
                <c:ptCount val="2"/>
                <c:pt idx="0">
                  <c:v>Aave</c:v>
                </c:pt>
                <c:pt idx="1">
                  <c:v>Compound</c:v>
                </c:pt>
              </c:strCache>
            </c:strRef>
          </c:cat>
          <c:val>
            <c:numRef>
              <c:f>commits_pivot!$H$23:$I$23</c:f>
              <c:numCache>
                <c:formatCode>General</c:formatCode>
                <c:ptCount val="2"/>
                <c:pt idx="0">
                  <c:v>272</c:v>
                </c:pt>
                <c:pt idx="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2-4DBB-B415-31DBB49C2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682524059492563"/>
          <c:y val="0.33391149023038791"/>
          <c:w val="0.17468285214348203"/>
          <c:h val="0.32812554680664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[a16z_data_analysis.xlsx]commits_pivot!PivotTable5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Compound: Top 10 Contributors by Commit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commits_pivot!$B$54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commits_pivot!$A$55:$A$66</c:f>
              <c:strCache>
                <c:ptCount val="11"/>
                <c:pt idx="0">
                  <c:v>christophergewecke@gmail.com</c:v>
                </c:pt>
                <c:pt idx="1">
                  <c:v>efmino@uc.cl</c:v>
                </c:pt>
                <c:pt idx="2">
                  <c:v>jflatow@gmail.com</c:v>
                </c:pt>
                <c:pt idx="3">
                  <c:v>goncalo05@gmail.com</c:v>
                </c:pt>
                <c:pt idx="4">
                  <c:v>coburn@compound.finance</c:v>
                </c:pt>
                <c:pt idx="5">
                  <c:v>kajpustd@gmail.com</c:v>
                </c:pt>
                <c:pt idx="6">
                  <c:v>antonina.norair@gmail.com</c:v>
                </c:pt>
                <c:pt idx="7">
                  <c:v>geoff@compound.finance</c:v>
                </c:pt>
                <c:pt idx="8">
                  <c:v>adam.bavosa@gmail.com</c:v>
                </c:pt>
                <c:pt idx="9">
                  <c:v>hayesgm@gmail.com</c:v>
                </c:pt>
                <c:pt idx="10">
                  <c:v>noreply@github.com</c:v>
                </c:pt>
              </c:strCache>
            </c:strRef>
          </c:cat>
          <c:val>
            <c:numRef>
              <c:f>commits_pivot!$B$55:$B$66</c:f>
              <c:numCache>
                <c:formatCode>General</c:formatCode>
                <c:ptCount val="11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24</c:v>
                </c:pt>
                <c:pt idx="7">
                  <c:v>34</c:v>
                </c:pt>
                <c:pt idx="8">
                  <c:v>40</c:v>
                </c:pt>
                <c:pt idx="9">
                  <c:v>73</c:v>
                </c:pt>
                <c:pt idx="10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A-478F-9ECC-BDB86310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4806280"/>
        <c:axId val="654806608"/>
      </c:barChart>
      <c:catAx>
        <c:axId val="654806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06608"/>
        <c:crosses val="autoZero"/>
        <c:auto val="1"/>
        <c:lblAlgn val="ctr"/>
        <c:lblOffset val="100"/>
        <c:noMultiLvlLbl val="0"/>
      </c:catAx>
      <c:valAx>
        <c:axId val="654806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480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[a16z_data_analysis.xlsx]users_pivot!PivotTable6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Aave</a:t>
            </a:r>
            <a:r>
              <a:rPr lang="en-US" baseline="0"/>
              <a:t> Total Unique Users (trailing 30 weeks)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359">
              <a:alpha val="5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>
              <a:alpha val="57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1378667208145"/>
          <c:y val="0.16666666666666666"/>
          <c:w val="0.83875170152441547"/>
          <c:h val="0.57006197142023907"/>
        </c:manualLayout>
      </c:layout>
      <c:areaChart>
        <c:grouping val="standard"/>
        <c:varyColors val="0"/>
        <c:ser>
          <c:idx val="0"/>
          <c:order val="0"/>
          <c:tx>
            <c:strRef>
              <c:f>users_pivot!$B$4:$B$5</c:f>
              <c:strCache>
                <c:ptCount val="1"/>
                <c:pt idx="0">
                  <c:v>borrower</c:v>
                </c:pt>
              </c:strCache>
            </c:strRef>
          </c:tx>
          <c:spPr>
            <a:solidFill>
              <a:srgbClr val="465359">
                <a:alpha val="56000"/>
              </a:srgbClr>
            </a:solidFill>
            <a:ln>
              <a:noFill/>
            </a:ln>
            <a:effectLst/>
          </c:spPr>
          <c:cat>
            <c:multiLvlStrRef>
              <c:f>users_pivot!$A$6:$A$45</c:f>
              <c:multiLvlStrCache>
                <c:ptCount val="31"/>
                <c:lvl>
                  <c:pt idx="0">
                    <c:v>16-Mar</c:v>
                  </c:pt>
                  <c:pt idx="1">
                    <c:v>23-Mar</c:v>
                  </c:pt>
                  <c:pt idx="2">
                    <c:v>30-Mar</c:v>
                  </c:pt>
                  <c:pt idx="3">
                    <c:v>6-Apr</c:v>
                  </c:pt>
                  <c:pt idx="4">
                    <c:v>13-Apr</c:v>
                  </c:pt>
                  <c:pt idx="5">
                    <c:v>20-Apr</c:v>
                  </c:pt>
                  <c:pt idx="6">
                    <c:v>27-Apr</c:v>
                  </c:pt>
                  <c:pt idx="7">
                    <c:v>4-May</c:v>
                  </c:pt>
                  <c:pt idx="8">
                    <c:v>11-May</c:v>
                  </c:pt>
                  <c:pt idx="9">
                    <c:v>18-May</c:v>
                  </c:pt>
                  <c:pt idx="10">
                    <c:v>25-May</c:v>
                  </c:pt>
                  <c:pt idx="11">
                    <c:v>1-Jun</c:v>
                  </c:pt>
                  <c:pt idx="12">
                    <c:v>8-Jun</c:v>
                  </c:pt>
                  <c:pt idx="13">
                    <c:v>15-Jun</c:v>
                  </c:pt>
                  <c:pt idx="14">
                    <c:v>22-Jun</c:v>
                  </c:pt>
                  <c:pt idx="15">
                    <c:v>29-Jun</c:v>
                  </c:pt>
                  <c:pt idx="16">
                    <c:v>6-Jul</c:v>
                  </c:pt>
                  <c:pt idx="17">
                    <c:v>13-Jul</c:v>
                  </c:pt>
                  <c:pt idx="18">
                    <c:v>20-Jul</c:v>
                  </c:pt>
                  <c:pt idx="19">
                    <c:v>27-Jul</c:v>
                  </c:pt>
                  <c:pt idx="20">
                    <c:v>3-Aug</c:v>
                  </c:pt>
                  <c:pt idx="21">
                    <c:v>10-Aug</c:v>
                  </c:pt>
                  <c:pt idx="22">
                    <c:v>17-Aug</c:v>
                  </c:pt>
                  <c:pt idx="23">
                    <c:v>24-Aug</c:v>
                  </c:pt>
                  <c:pt idx="24">
                    <c:v>31-Aug</c:v>
                  </c:pt>
                  <c:pt idx="25">
                    <c:v>7-Sep</c:v>
                  </c:pt>
                  <c:pt idx="26">
                    <c:v>14-Sep</c:v>
                  </c:pt>
                  <c:pt idx="27">
                    <c:v>21-Sep</c:v>
                  </c:pt>
                  <c:pt idx="28">
                    <c:v>28-Sep</c:v>
                  </c:pt>
                  <c:pt idx="29">
                    <c:v>5-Oct</c:v>
                  </c:pt>
                  <c:pt idx="30">
                    <c:v>12-Oct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7">
                    <c:v>May</c:v>
                  </c:pt>
                  <c:pt idx="11">
                    <c:v>Jun</c:v>
                  </c:pt>
                  <c:pt idx="16">
                    <c:v>Jul</c:v>
                  </c:pt>
                  <c:pt idx="20">
                    <c:v>Aug</c:v>
                  </c:pt>
                  <c:pt idx="25">
                    <c:v>Sep</c:v>
                  </c:pt>
                  <c:pt idx="29">
                    <c:v>Oct</c:v>
                  </c:pt>
                </c:lvl>
              </c:multiLvlStrCache>
            </c:multiLvlStrRef>
          </c:cat>
          <c:val>
            <c:numRef>
              <c:f>users_pivot!$B$6:$B$45</c:f>
              <c:numCache>
                <c:formatCode>General</c:formatCode>
                <c:ptCount val="31"/>
                <c:pt idx="0">
                  <c:v>51</c:v>
                </c:pt>
                <c:pt idx="1">
                  <c:v>121</c:v>
                </c:pt>
                <c:pt idx="2">
                  <c:v>101</c:v>
                </c:pt>
                <c:pt idx="3">
                  <c:v>155</c:v>
                </c:pt>
                <c:pt idx="4">
                  <c:v>176</c:v>
                </c:pt>
                <c:pt idx="5">
                  <c:v>174</c:v>
                </c:pt>
                <c:pt idx="6">
                  <c:v>203</c:v>
                </c:pt>
                <c:pt idx="7">
                  <c:v>203</c:v>
                </c:pt>
                <c:pt idx="8">
                  <c:v>171</c:v>
                </c:pt>
                <c:pt idx="9">
                  <c:v>178</c:v>
                </c:pt>
                <c:pt idx="10">
                  <c:v>211</c:v>
                </c:pt>
                <c:pt idx="11">
                  <c:v>199</c:v>
                </c:pt>
                <c:pt idx="12">
                  <c:v>220</c:v>
                </c:pt>
                <c:pt idx="13">
                  <c:v>392</c:v>
                </c:pt>
                <c:pt idx="14">
                  <c:v>513</c:v>
                </c:pt>
                <c:pt idx="15">
                  <c:v>386</c:v>
                </c:pt>
                <c:pt idx="16">
                  <c:v>506</c:v>
                </c:pt>
                <c:pt idx="17">
                  <c:v>641</c:v>
                </c:pt>
                <c:pt idx="18">
                  <c:v>836</c:v>
                </c:pt>
                <c:pt idx="19">
                  <c:v>660</c:v>
                </c:pt>
                <c:pt idx="20">
                  <c:v>836</c:v>
                </c:pt>
                <c:pt idx="21">
                  <c:v>1063</c:v>
                </c:pt>
                <c:pt idx="22">
                  <c:v>1104</c:v>
                </c:pt>
                <c:pt idx="23">
                  <c:v>1397</c:v>
                </c:pt>
                <c:pt idx="24">
                  <c:v>1406</c:v>
                </c:pt>
                <c:pt idx="25">
                  <c:v>1589</c:v>
                </c:pt>
                <c:pt idx="26">
                  <c:v>1269</c:v>
                </c:pt>
                <c:pt idx="27">
                  <c:v>1035</c:v>
                </c:pt>
                <c:pt idx="28">
                  <c:v>796</c:v>
                </c:pt>
                <c:pt idx="29">
                  <c:v>802</c:v>
                </c:pt>
                <c:pt idx="30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2-46AC-85D9-E3CE6113D616}"/>
            </c:ext>
          </c:extLst>
        </c:ser>
        <c:ser>
          <c:idx val="1"/>
          <c:order val="1"/>
          <c:tx>
            <c:strRef>
              <c:f>users_pivot!$C$4:$C$5</c:f>
              <c:strCache>
                <c:ptCount val="1"/>
                <c:pt idx="0">
                  <c:v>lender</c:v>
                </c:pt>
              </c:strCache>
            </c:strRef>
          </c:tx>
          <c:spPr>
            <a:solidFill>
              <a:srgbClr val="FF0000">
                <a:alpha val="57000"/>
              </a:srgbClr>
            </a:solidFill>
            <a:ln>
              <a:noFill/>
            </a:ln>
            <a:effectLst/>
          </c:spPr>
          <c:cat>
            <c:multiLvlStrRef>
              <c:f>users_pivot!$A$6:$A$45</c:f>
              <c:multiLvlStrCache>
                <c:ptCount val="31"/>
                <c:lvl>
                  <c:pt idx="0">
                    <c:v>16-Mar</c:v>
                  </c:pt>
                  <c:pt idx="1">
                    <c:v>23-Mar</c:v>
                  </c:pt>
                  <c:pt idx="2">
                    <c:v>30-Mar</c:v>
                  </c:pt>
                  <c:pt idx="3">
                    <c:v>6-Apr</c:v>
                  </c:pt>
                  <c:pt idx="4">
                    <c:v>13-Apr</c:v>
                  </c:pt>
                  <c:pt idx="5">
                    <c:v>20-Apr</c:v>
                  </c:pt>
                  <c:pt idx="6">
                    <c:v>27-Apr</c:v>
                  </c:pt>
                  <c:pt idx="7">
                    <c:v>4-May</c:v>
                  </c:pt>
                  <c:pt idx="8">
                    <c:v>11-May</c:v>
                  </c:pt>
                  <c:pt idx="9">
                    <c:v>18-May</c:v>
                  </c:pt>
                  <c:pt idx="10">
                    <c:v>25-May</c:v>
                  </c:pt>
                  <c:pt idx="11">
                    <c:v>1-Jun</c:v>
                  </c:pt>
                  <c:pt idx="12">
                    <c:v>8-Jun</c:v>
                  </c:pt>
                  <c:pt idx="13">
                    <c:v>15-Jun</c:v>
                  </c:pt>
                  <c:pt idx="14">
                    <c:v>22-Jun</c:v>
                  </c:pt>
                  <c:pt idx="15">
                    <c:v>29-Jun</c:v>
                  </c:pt>
                  <c:pt idx="16">
                    <c:v>6-Jul</c:v>
                  </c:pt>
                  <c:pt idx="17">
                    <c:v>13-Jul</c:v>
                  </c:pt>
                  <c:pt idx="18">
                    <c:v>20-Jul</c:v>
                  </c:pt>
                  <c:pt idx="19">
                    <c:v>27-Jul</c:v>
                  </c:pt>
                  <c:pt idx="20">
                    <c:v>3-Aug</c:v>
                  </c:pt>
                  <c:pt idx="21">
                    <c:v>10-Aug</c:v>
                  </c:pt>
                  <c:pt idx="22">
                    <c:v>17-Aug</c:v>
                  </c:pt>
                  <c:pt idx="23">
                    <c:v>24-Aug</c:v>
                  </c:pt>
                  <c:pt idx="24">
                    <c:v>31-Aug</c:v>
                  </c:pt>
                  <c:pt idx="25">
                    <c:v>7-Sep</c:v>
                  </c:pt>
                  <c:pt idx="26">
                    <c:v>14-Sep</c:v>
                  </c:pt>
                  <c:pt idx="27">
                    <c:v>21-Sep</c:v>
                  </c:pt>
                  <c:pt idx="28">
                    <c:v>28-Sep</c:v>
                  </c:pt>
                  <c:pt idx="29">
                    <c:v>5-Oct</c:v>
                  </c:pt>
                  <c:pt idx="30">
                    <c:v>12-Oct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7">
                    <c:v>May</c:v>
                  </c:pt>
                  <c:pt idx="11">
                    <c:v>Jun</c:v>
                  </c:pt>
                  <c:pt idx="16">
                    <c:v>Jul</c:v>
                  </c:pt>
                  <c:pt idx="20">
                    <c:v>Aug</c:v>
                  </c:pt>
                  <c:pt idx="25">
                    <c:v>Sep</c:v>
                  </c:pt>
                  <c:pt idx="29">
                    <c:v>Oct</c:v>
                  </c:pt>
                </c:lvl>
              </c:multiLvlStrCache>
            </c:multiLvlStrRef>
          </c:cat>
          <c:val>
            <c:numRef>
              <c:f>users_pivot!$C$6:$C$45</c:f>
              <c:numCache>
                <c:formatCode>General</c:formatCode>
                <c:ptCount val="31"/>
                <c:pt idx="0">
                  <c:v>160</c:v>
                </c:pt>
                <c:pt idx="1">
                  <c:v>321</c:v>
                </c:pt>
                <c:pt idx="2">
                  <c:v>325</c:v>
                </c:pt>
                <c:pt idx="3">
                  <c:v>469</c:v>
                </c:pt>
                <c:pt idx="4">
                  <c:v>569</c:v>
                </c:pt>
                <c:pt idx="5">
                  <c:v>598</c:v>
                </c:pt>
                <c:pt idx="6">
                  <c:v>800</c:v>
                </c:pt>
                <c:pt idx="7">
                  <c:v>764</c:v>
                </c:pt>
                <c:pt idx="8">
                  <c:v>689</c:v>
                </c:pt>
                <c:pt idx="9">
                  <c:v>1121</c:v>
                </c:pt>
                <c:pt idx="10">
                  <c:v>960</c:v>
                </c:pt>
                <c:pt idx="11">
                  <c:v>1005</c:v>
                </c:pt>
                <c:pt idx="12">
                  <c:v>1179</c:v>
                </c:pt>
                <c:pt idx="13">
                  <c:v>1858</c:v>
                </c:pt>
                <c:pt idx="14">
                  <c:v>1858</c:v>
                </c:pt>
                <c:pt idx="15">
                  <c:v>1551</c:v>
                </c:pt>
                <c:pt idx="16">
                  <c:v>1910</c:v>
                </c:pt>
                <c:pt idx="17">
                  <c:v>2006</c:v>
                </c:pt>
                <c:pt idx="18">
                  <c:v>2136</c:v>
                </c:pt>
                <c:pt idx="19">
                  <c:v>1479</c:v>
                </c:pt>
                <c:pt idx="20">
                  <c:v>1580</c:v>
                </c:pt>
                <c:pt idx="21">
                  <c:v>1779</c:v>
                </c:pt>
                <c:pt idx="22">
                  <c:v>2330</c:v>
                </c:pt>
                <c:pt idx="23">
                  <c:v>3141</c:v>
                </c:pt>
                <c:pt idx="24">
                  <c:v>2987</c:v>
                </c:pt>
                <c:pt idx="25">
                  <c:v>3446</c:v>
                </c:pt>
                <c:pt idx="26">
                  <c:v>2764</c:v>
                </c:pt>
                <c:pt idx="27">
                  <c:v>2252</c:v>
                </c:pt>
                <c:pt idx="28">
                  <c:v>1550</c:v>
                </c:pt>
                <c:pt idx="29">
                  <c:v>1489</c:v>
                </c:pt>
                <c:pt idx="30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2-46AC-85D9-E3CE6113D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766504"/>
        <c:axId val="629766176"/>
      </c:areaChart>
      <c:catAx>
        <c:axId val="629766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66176"/>
        <c:crosses val="autoZero"/>
        <c:auto val="1"/>
        <c:lblAlgn val="ctr"/>
        <c:lblOffset val="100"/>
        <c:noMultiLvlLbl val="0"/>
      </c:catAx>
      <c:valAx>
        <c:axId val="6297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Count,</a:t>
                </a:r>
                <a:r>
                  <a:rPr lang="en-US" baseline="0"/>
                  <a:t> Weekly Unique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[a16z_data_analysis.xlsx]users_pivot!PivotTable7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Compound Total Unique Users (trailing 30 weeks)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359">
              <a:alpha val="5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>
              <a:alpha val="57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55094044476532"/>
          <c:y val="0.1388888888888889"/>
          <c:w val="0.83502677315765328"/>
          <c:h val="0.59783974919801697"/>
        </c:manualLayout>
      </c:layout>
      <c:areaChart>
        <c:grouping val="standard"/>
        <c:varyColors val="0"/>
        <c:ser>
          <c:idx val="0"/>
          <c:order val="0"/>
          <c:tx>
            <c:strRef>
              <c:f>users_pivot!$G$4:$G$5</c:f>
              <c:strCache>
                <c:ptCount val="1"/>
                <c:pt idx="0">
                  <c:v>borrower</c:v>
                </c:pt>
              </c:strCache>
            </c:strRef>
          </c:tx>
          <c:spPr>
            <a:solidFill>
              <a:srgbClr val="465359">
                <a:alpha val="56000"/>
              </a:srgbClr>
            </a:solidFill>
            <a:ln>
              <a:noFill/>
            </a:ln>
            <a:effectLst/>
          </c:spPr>
          <c:cat>
            <c:multiLvlStrRef>
              <c:f>users_pivot!$F$6:$F$45</c:f>
              <c:multiLvlStrCache>
                <c:ptCount val="31"/>
                <c:lvl>
                  <c:pt idx="0">
                    <c:v>16-Mar</c:v>
                  </c:pt>
                  <c:pt idx="1">
                    <c:v>23-Mar</c:v>
                  </c:pt>
                  <c:pt idx="2">
                    <c:v>30-Mar</c:v>
                  </c:pt>
                  <c:pt idx="3">
                    <c:v>6-Apr</c:v>
                  </c:pt>
                  <c:pt idx="4">
                    <c:v>13-Apr</c:v>
                  </c:pt>
                  <c:pt idx="5">
                    <c:v>20-Apr</c:v>
                  </c:pt>
                  <c:pt idx="6">
                    <c:v>27-Apr</c:v>
                  </c:pt>
                  <c:pt idx="7">
                    <c:v>4-May</c:v>
                  </c:pt>
                  <c:pt idx="8">
                    <c:v>11-May</c:v>
                  </c:pt>
                  <c:pt idx="9">
                    <c:v>18-May</c:v>
                  </c:pt>
                  <c:pt idx="10">
                    <c:v>25-May</c:v>
                  </c:pt>
                  <c:pt idx="11">
                    <c:v>1-Jun</c:v>
                  </c:pt>
                  <c:pt idx="12">
                    <c:v>8-Jun</c:v>
                  </c:pt>
                  <c:pt idx="13">
                    <c:v>15-Jun</c:v>
                  </c:pt>
                  <c:pt idx="14">
                    <c:v>22-Jun</c:v>
                  </c:pt>
                  <c:pt idx="15">
                    <c:v>29-Jun</c:v>
                  </c:pt>
                  <c:pt idx="16">
                    <c:v>6-Jul</c:v>
                  </c:pt>
                  <c:pt idx="17">
                    <c:v>13-Jul</c:v>
                  </c:pt>
                  <c:pt idx="18">
                    <c:v>20-Jul</c:v>
                  </c:pt>
                  <c:pt idx="19">
                    <c:v>27-Jul</c:v>
                  </c:pt>
                  <c:pt idx="20">
                    <c:v>3-Aug</c:v>
                  </c:pt>
                  <c:pt idx="21">
                    <c:v>10-Aug</c:v>
                  </c:pt>
                  <c:pt idx="22">
                    <c:v>17-Aug</c:v>
                  </c:pt>
                  <c:pt idx="23">
                    <c:v>24-Aug</c:v>
                  </c:pt>
                  <c:pt idx="24">
                    <c:v>31-Aug</c:v>
                  </c:pt>
                  <c:pt idx="25">
                    <c:v>7-Sep</c:v>
                  </c:pt>
                  <c:pt idx="26">
                    <c:v>14-Sep</c:v>
                  </c:pt>
                  <c:pt idx="27">
                    <c:v>21-Sep</c:v>
                  </c:pt>
                  <c:pt idx="28">
                    <c:v>28-Sep</c:v>
                  </c:pt>
                  <c:pt idx="29">
                    <c:v>5-Oct</c:v>
                  </c:pt>
                  <c:pt idx="30">
                    <c:v>12-Oct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7">
                    <c:v>May</c:v>
                  </c:pt>
                  <c:pt idx="11">
                    <c:v>Jun</c:v>
                  </c:pt>
                  <c:pt idx="16">
                    <c:v>Jul</c:v>
                  </c:pt>
                  <c:pt idx="20">
                    <c:v>Aug</c:v>
                  </c:pt>
                  <c:pt idx="25">
                    <c:v>Sep</c:v>
                  </c:pt>
                  <c:pt idx="29">
                    <c:v>Oct</c:v>
                  </c:pt>
                </c:lvl>
              </c:multiLvlStrCache>
            </c:multiLvlStrRef>
          </c:cat>
          <c:val>
            <c:numRef>
              <c:f>users_pivot!$G$6:$G$45</c:f>
              <c:numCache>
                <c:formatCode>General</c:formatCode>
                <c:ptCount val="31"/>
                <c:pt idx="0">
                  <c:v>287</c:v>
                </c:pt>
                <c:pt idx="1">
                  <c:v>205</c:v>
                </c:pt>
                <c:pt idx="2">
                  <c:v>170</c:v>
                </c:pt>
                <c:pt idx="3">
                  <c:v>236</c:v>
                </c:pt>
                <c:pt idx="4">
                  <c:v>229</c:v>
                </c:pt>
                <c:pt idx="5">
                  <c:v>242</c:v>
                </c:pt>
                <c:pt idx="6">
                  <c:v>280</c:v>
                </c:pt>
                <c:pt idx="7">
                  <c:v>262</c:v>
                </c:pt>
                <c:pt idx="8">
                  <c:v>207</c:v>
                </c:pt>
                <c:pt idx="9">
                  <c:v>167</c:v>
                </c:pt>
                <c:pt idx="10">
                  <c:v>171</c:v>
                </c:pt>
                <c:pt idx="11">
                  <c:v>181</c:v>
                </c:pt>
                <c:pt idx="12">
                  <c:v>264</c:v>
                </c:pt>
                <c:pt idx="13">
                  <c:v>2152</c:v>
                </c:pt>
                <c:pt idx="14">
                  <c:v>2024</c:v>
                </c:pt>
                <c:pt idx="15">
                  <c:v>1731</c:v>
                </c:pt>
                <c:pt idx="16">
                  <c:v>1307</c:v>
                </c:pt>
                <c:pt idx="17">
                  <c:v>987</c:v>
                </c:pt>
                <c:pt idx="18">
                  <c:v>1070</c:v>
                </c:pt>
                <c:pt idx="19">
                  <c:v>1080</c:v>
                </c:pt>
                <c:pt idx="20">
                  <c:v>443</c:v>
                </c:pt>
                <c:pt idx="21">
                  <c:v>869</c:v>
                </c:pt>
                <c:pt idx="22">
                  <c:v>876</c:v>
                </c:pt>
                <c:pt idx="23">
                  <c:v>803</c:v>
                </c:pt>
                <c:pt idx="24">
                  <c:v>625</c:v>
                </c:pt>
                <c:pt idx="25">
                  <c:v>652</c:v>
                </c:pt>
                <c:pt idx="26">
                  <c:v>629</c:v>
                </c:pt>
                <c:pt idx="27">
                  <c:v>578</c:v>
                </c:pt>
                <c:pt idx="28">
                  <c:v>597</c:v>
                </c:pt>
                <c:pt idx="29">
                  <c:v>729</c:v>
                </c:pt>
                <c:pt idx="30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D-415B-BCE1-8FF92B70E7D5}"/>
            </c:ext>
          </c:extLst>
        </c:ser>
        <c:ser>
          <c:idx val="1"/>
          <c:order val="1"/>
          <c:tx>
            <c:strRef>
              <c:f>users_pivot!$H$4:$H$5</c:f>
              <c:strCache>
                <c:ptCount val="1"/>
                <c:pt idx="0">
                  <c:v>lender</c:v>
                </c:pt>
              </c:strCache>
            </c:strRef>
          </c:tx>
          <c:spPr>
            <a:solidFill>
              <a:srgbClr val="FF0000">
                <a:alpha val="57000"/>
              </a:srgbClr>
            </a:solidFill>
            <a:ln>
              <a:noFill/>
            </a:ln>
            <a:effectLst/>
          </c:spPr>
          <c:cat>
            <c:multiLvlStrRef>
              <c:f>users_pivot!$F$6:$F$45</c:f>
              <c:multiLvlStrCache>
                <c:ptCount val="31"/>
                <c:lvl>
                  <c:pt idx="0">
                    <c:v>16-Mar</c:v>
                  </c:pt>
                  <c:pt idx="1">
                    <c:v>23-Mar</c:v>
                  </c:pt>
                  <c:pt idx="2">
                    <c:v>30-Mar</c:v>
                  </c:pt>
                  <c:pt idx="3">
                    <c:v>6-Apr</c:v>
                  </c:pt>
                  <c:pt idx="4">
                    <c:v>13-Apr</c:v>
                  </c:pt>
                  <c:pt idx="5">
                    <c:v>20-Apr</c:v>
                  </c:pt>
                  <c:pt idx="6">
                    <c:v>27-Apr</c:v>
                  </c:pt>
                  <c:pt idx="7">
                    <c:v>4-May</c:v>
                  </c:pt>
                  <c:pt idx="8">
                    <c:v>11-May</c:v>
                  </c:pt>
                  <c:pt idx="9">
                    <c:v>18-May</c:v>
                  </c:pt>
                  <c:pt idx="10">
                    <c:v>25-May</c:v>
                  </c:pt>
                  <c:pt idx="11">
                    <c:v>1-Jun</c:v>
                  </c:pt>
                  <c:pt idx="12">
                    <c:v>8-Jun</c:v>
                  </c:pt>
                  <c:pt idx="13">
                    <c:v>15-Jun</c:v>
                  </c:pt>
                  <c:pt idx="14">
                    <c:v>22-Jun</c:v>
                  </c:pt>
                  <c:pt idx="15">
                    <c:v>29-Jun</c:v>
                  </c:pt>
                  <c:pt idx="16">
                    <c:v>6-Jul</c:v>
                  </c:pt>
                  <c:pt idx="17">
                    <c:v>13-Jul</c:v>
                  </c:pt>
                  <c:pt idx="18">
                    <c:v>20-Jul</c:v>
                  </c:pt>
                  <c:pt idx="19">
                    <c:v>27-Jul</c:v>
                  </c:pt>
                  <c:pt idx="20">
                    <c:v>3-Aug</c:v>
                  </c:pt>
                  <c:pt idx="21">
                    <c:v>10-Aug</c:v>
                  </c:pt>
                  <c:pt idx="22">
                    <c:v>17-Aug</c:v>
                  </c:pt>
                  <c:pt idx="23">
                    <c:v>24-Aug</c:v>
                  </c:pt>
                  <c:pt idx="24">
                    <c:v>31-Aug</c:v>
                  </c:pt>
                  <c:pt idx="25">
                    <c:v>7-Sep</c:v>
                  </c:pt>
                  <c:pt idx="26">
                    <c:v>14-Sep</c:v>
                  </c:pt>
                  <c:pt idx="27">
                    <c:v>21-Sep</c:v>
                  </c:pt>
                  <c:pt idx="28">
                    <c:v>28-Sep</c:v>
                  </c:pt>
                  <c:pt idx="29">
                    <c:v>5-Oct</c:v>
                  </c:pt>
                  <c:pt idx="30">
                    <c:v>12-Oct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7">
                    <c:v>May</c:v>
                  </c:pt>
                  <c:pt idx="11">
                    <c:v>Jun</c:v>
                  </c:pt>
                  <c:pt idx="16">
                    <c:v>Jul</c:v>
                  </c:pt>
                  <c:pt idx="20">
                    <c:v>Aug</c:v>
                  </c:pt>
                  <c:pt idx="25">
                    <c:v>Sep</c:v>
                  </c:pt>
                  <c:pt idx="29">
                    <c:v>Oct</c:v>
                  </c:pt>
                </c:lvl>
              </c:multiLvlStrCache>
            </c:multiLvlStrRef>
          </c:cat>
          <c:val>
            <c:numRef>
              <c:f>users_pivot!$H$6:$H$45</c:f>
              <c:numCache>
                <c:formatCode>General</c:formatCode>
                <c:ptCount val="31"/>
                <c:pt idx="0">
                  <c:v>1480</c:v>
                </c:pt>
                <c:pt idx="1">
                  <c:v>3246</c:v>
                </c:pt>
                <c:pt idx="2">
                  <c:v>3050</c:v>
                </c:pt>
                <c:pt idx="3">
                  <c:v>3689</c:v>
                </c:pt>
                <c:pt idx="4">
                  <c:v>3066</c:v>
                </c:pt>
                <c:pt idx="5">
                  <c:v>3111</c:v>
                </c:pt>
                <c:pt idx="6">
                  <c:v>2775</c:v>
                </c:pt>
                <c:pt idx="7">
                  <c:v>2674</c:v>
                </c:pt>
                <c:pt idx="8">
                  <c:v>2324</c:v>
                </c:pt>
                <c:pt idx="9">
                  <c:v>2216</c:v>
                </c:pt>
                <c:pt idx="10">
                  <c:v>1687</c:v>
                </c:pt>
                <c:pt idx="11">
                  <c:v>1677</c:v>
                </c:pt>
                <c:pt idx="12">
                  <c:v>1901</c:v>
                </c:pt>
                <c:pt idx="13">
                  <c:v>9726</c:v>
                </c:pt>
                <c:pt idx="14">
                  <c:v>12250</c:v>
                </c:pt>
                <c:pt idx="15">
                  <c:v>9061</c:v>
                </c:pt>
                <c:pt idx="16">
                  <c:v>6129</c:v>
                </c:pt>
                <c:pt idx="17">
                  <c:v>6022</c:v>
                </c:pt>
                <c:pt idx="18">
                  <c:v>5784</c:v>
                </c:pt>
                <c:pt idx="19">
                  <c:v>5297</c:v>
                </c:pt>
                <c:pt idx="20">
                  <c:v>3746</c:v>
                </c:pt>
                <c:pt idx="21">
                  <c:v>4278</c:v>
                </c:pt>
                <c:pt idx="22">
                  <c:v>3665</c:v>
                </c:pt>
                <c:pt idx="23">
                  <c:v>3419</c:v>
                </c:pt>
                <c:pt idx="24">
                  <c:v>3888</c:v>
                </c:pt>
                <c:pt idx="25">
                  <c:v>3750</c:v>
                </c:pt>
                <c:pt idx="26">
                  <c:v>3655</c:v>
                </c:pt>
                <c:pt idx="27">
                  <c:v>3374</c:v>
                </c:pt>
                <c:pt idx="28">
                  <c:v>2753</c:v>
                </c:pt>
                <c:pt idx="29">
                  <c:v>2355</c:v>
                </c:pt>
                <c:pt idx="30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D-415B-BCE1-8FF92B70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747152"/>
        <c:axId val="629749120"/>
      </c:areaChart>
      <c:catAx>
        <c:axId val="62974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49120"/>
        <c:crosses val="autoZero"/>
        <c:auto val="1"/>
        <c:lblAlgn val="ctr"/>
        <c:lblOffset val="100"/>
        <c:noMultiLvlLbl val="0"/>
      </c:catAx>
      <c:valAx>
        <c:axId val="6297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Count, Weekly Unique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4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[a16z_data_analysis.xlsx]users_pivot!PivotTable8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Flash Loan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0011930326888"/>
          <c:y val="0.15005838024893728"/>
          <c:w val="0.84197367374532728"/>
          <c:h val="0.60177172802321388"/>
        </c:manualLayout>
      </c:layout>
      <c:areaChart>
        <c:grouping val="standard"/>
        <c:varyColors val="0"/>
        <c:ser>
          <c:idx val="0"/>
          <c:order val="0"/>
          <c:tx>
            <c:strRef>
              <c:f>users_pivot!$B$48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multiLvlStrRef>
              <c:f>users_pivot!$A$49:$A$88</c:f>
              <c:multiLvlStrCache>
                <c:ptCount val="31"/>
                <c:lvl>
                  <c:pt idx="0">
                    <c:v>16-Mar</c:v>
                  </c:pt>
                  <c:pt idx="1">
                    <c:v>23-Mar</c:v>
                  </c:pt>
                  <c:pt idx="2">
                    <c:v>30-Mar</c:v>
                  </c:pt>
                  <c:pt idx="3">
                    <c:v>6-Apr</c:v>
                  </c:pt>
                  <c:pt idx="4">
                    <c:v>13-Apr</c:v>
                  </c:pt>
                  <c:pt idx="5">
                    <c:v>20-Apr</c:v>
                  </c:pt>
                  <c:pt idx="6">
                    <c:v>27-Apr</c:v>
                  </c:pt>
                  <c:pt idx="7">
                    <c:v>4-May</c:v>
                  </c:pt>
                  <c:pt idx="8">
                    <c:v>11-May</c:v>
                  </c:pt>
                  <c:pt idx="9">
                    <c:v>18-May</c:v>
                  </c:pt>
                  <c:pt idx="10">
                    <c:v>25-May</c:v>
                  </c:pt>
                  <c:pt idx="11">
                    <c:v>1-Jun</c:v>
                  </c:pt>
                  <c:pt idx="12">
                    <c:v>8-Jun</c:v>
                  </c:pt>
                  <c:pt idx="13">
                    <c:v>15-Jun</c:v>
                  </c:pt>
                  <c:pt idx="14">
                    <c:v>22-Jun</c:v>
                  </c:pt>
                  <c:pt idx="15">
                    <c:v>29-Jun</c:v>
                  </c:pt>
                  <c:pt idx="16">
                    <c:v>6-Jul</c:v>
                  </c:pt>
                  <c:pt idx="17">
                    <c:v>13-Jul</c:v>
                  </c:pt>
                  <c:pt idx="18">
                    <c:v>20-Jul</c:v>
                  </c:pt>
                  <c:pt idx="19">
                    <c:v>27-Jul</c:v>
                  </c:pt>
                  <c:pt idx="20">
                    <c:v>3-Aug</c:v>
                  </c:pt>
                  <c:pt idx="21">
                    <c:v>10-Aug</c:v>
                  </c:pt>
                  <c:pt idx="22">
                    <c:v>17-Aug</c:v>
                  </c:pt>
                  <c:pt idx="23">
                    <c:v>24-Aug</c:v>
                  </c:pt>
                  <c:pt idx="24">
                    <c:v>31-Aug</c:v>
                  </c:pt>
                  <c:pt idx="25">
                    <c:v>7-Sep</c:v>
                  </c:pt>
                  <c:pt idx="26">
                    <c:v>14-Sep</c:v>
                  </c:pt>
                  <c:pt idx="27">
                    <c:v>21-Sep</c:v>
                  </c:pt>
                  <c:pt idx="28">
                    <c:v>28-Sep</c:v>
                  </c:pt>
                  <c:pt idx="29">
                    <c:v>5-Oct</c:v>
                  </c:pt>
                  <c:pt idx="30">
                    <c:v>12-Oct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7">
                    <c:v>May</c:v>
                  </c:pt>
                  <c:pt idx="11">
                    <c:v>Jun</c:v>
                  </c:pt>
                  <c:pt idx="16">
                    <c:v>Jul</c:v>
                  </c:pt>
                  <c:pt idx="20">
                    <c:v>Aug</c:v>
                  </c:pt>
                  <c:pt idx="25">
                    <c:v>Sep</c:v>
                  </c:pt>
                  <c:pt idx="29">
                    <c:v>Oct</c:v>
                  </c:pt>
                </c:lvl>
              </c:multiLvlStrCache>
            </c:multiLvlStrRef>
          </c:cat>
          <c:val>
            <c:numRef>
              <c:f>users_pivot!$B$49:$B$88</c:f>
              <c:numCache>
                <c:formatCode>General</c:formatCode>
                <c:ptCount val="31"/>
                <c:pt idx="0">
                  <c:v>71</c:v>
                </c:pt>
                <c:pt idx="1">
                  <c:v>424</c:v>
                </c:pt>
                <c:pt idx="2">
                  <c:v>240</c:v>
                </c:pt>
                <c:pt idx="3">
                  <c:v>157</c:v>
                </c:pt>
                <c:pt idx="4">
                  <c:v>237</c:v>
                </c:pt>
                <c:pt idx="5">
                  <c:v>110</c:v>
                </c:pt>
                <c:pt idx="6">
                  <c:v>166</c:v>
                </c:pt>
                <c:pt idx="7">
                  <c:v>272</c:v>
                </c:pt>
                <c:pt idx="8">
                  <c:v>165</c:v>
                </c:pt>
                <c:pt idx="9">
                  <c:v>166</c:v>
                </c:pt>
                <c:pt idx="10">
                  <c:v>98</c:v>
                </c:pt>
                <c:pt idx="11">
                  <c:v>75</c:v>
                </c:pt>
                <c:pt idx="12">
                  <c:v>61</c:v>
                </c:pt>
                <c:pt idx="13">
                  <c:v>114</c:v>
                </c:pt>
                <c:pt idx="14">
                  <c:v>142</c:v>
                </c:pt>
                <c:pt idx="15">
                  <c:v>121</c:v>
                </c:pt>
                <c:pt idx="16">
                  <c:v>150</c:v>
                </c:pt>
                <c:pt idx="17">
                  <c:v>157</c:v>
                </c:pt>
                <c:pt idx="18">
                  <c:v>188</c:v>
                </c:pt>
                <c:pt idx="19">
                  <c:v>392</c:v>
                </c:pt>
                <c:pt idx="20">
                  <c:v>199</c:v>
                </c:pt>
                <c:pt idx="21">
                  <c:v>147</c:v>
                </c:pt>
                <c:pt idx="22">
                  <c:v>163</c:v>
                </c:pt>
                <c:pt idx="23">
                  <c:v>108</c:v>
                </c:pt>
                <c:pt idx="24">
                  <c:v>341</c:v>
                </c:pt>
                <c:pt idx="25">
                  <c:v>198</c:v>
                </c:pt>
                <c:pt idx="26">
                  <c:v>334</c:v>
                </c:pt>
                <c:pt idx="27">
                  <c:v>275</c:v>
                </c:pt>
                <c:pt idx="28">
                  <c:v>146</c:v>
                </c:pt>
                <c:pt idx="29">
                  <c:v>179</c:v>
                </c:pt>
                <c:pt idx="3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A-4DC2-82E3-4C37D172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183584"/>
        <c:axId val="650181288"/>
      </c:areaChart>
      <c:catAx>
        <c:axId val="6501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81288"/>
        <c:crosses val="autoZero"/>
        <c:auto val="1"/>
        <c:lblAlgn val="ctr"/>
        <c:lblOffset val="100"/>
        <c:noMultiLvlLbl val="0"/>
      </c:catAx>
      <c:valAx>
        <c:axId val="65018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Count, FLash Loans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18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2</xdr:row>
      <xdr:rowOff>125730</xdr:rowOff>
    </xdr:from>
    <xdr:to>
      <xdr:col>14</xdr:col>
      <xdr:colOff>205740</xdr:colOff>
      <xdr:row>22</xdr:row>
      <xdr:rowOff>60960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463A85A-63F2-4459-B287-69DB05952EAF}"/>
            </a:ext>
          </a:extLst>
        </xdr:cNvPr>
        <xdr:cNvGrpSpPr/>
      </xdr:nvGrpSpPr>
      <xdr:grpSpPr>
        <a:xfrm>
          <a:off x="4069080" y="491490"/>
          <a:ext cx="6347460" cy="3592830"/>
          <a:chOff x="4069080" y="491490"/>
          <a:chExt cx="6347460" cy="359283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CF1E609-1ECA-4A4E-A360-4E03A71AFC91}"/>
              </a:ext>
            </a:extLst>
          </xdr:cNvPr>
          <xdr:cNvGraphicFramePr/>
        </xdr:nvGraphicFramePr>
        <xdr:xfrm>
          <a:off x="4069080" y="491490"/>
          <a:ext cx="6347460" cy="35928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DF8A2AC-5054-4C9E-B7E7-A85B9F31012C}"/>
              </a:ext>
            </a:extLst>
          </xdr:cNvPr>
          <xdr:cNvGraphicFramePr/>
        </xdr:nvGraphicFramePr>
        <xdr:xfrm>
          <a:off x="4503420" y="910590"/>
          <a:ext cx="530352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</xdr:row>
      <xdr:rowOff>34290</xdr:rowOff>
    </xdr:from>
    <xdr:to>
      <xdr:col>8</xdr:col>
      <xdr:colOff>1043940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94BEA-CE6F-42DD-AAB1-3DF67BDA7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1386840</xdr:colOff>
      <xdr:row>43</xdr:row>
      <xdr:rowOff>11430</xdr:rowOff>
    </xdr:from>
    <xdr:to>
      <xdr:col>11</xdr:col>
      <xdr:colOff>670560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E9A93-52C4-4653-BAE6-0BA279382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906780</xdr:colOff>
      <xdr:row>17</xdr:row>
      <xdr:rowOff>26670</xdr:rowOff>
    </xdr:from>
    <xdr:to>
      <xdr:col>11</xdr:col>
      <xdr:colOff>754380</xdr:colOff>
      <xdr:row>32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0AC99A-F979-4C25-95F1-3CB36FA33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716280</xdr:colOff>
      <xdr:row>43</xdr:row>
      <xdr:rowOff>34290</xdr:rowOff>
    </xdr:from>
    <xdr:to>
      <xdr:col>8</xdr:col>
      <xdr:colOff>205740</xdr:colOff>
      <xdr:row>55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A2D8AA-7435-4A9A-8CF8-BEEE8F3EA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72390</xdr:rowOff>
    </xdr:from>
    <xdr:to>
      <xdr:col>18</xdr:col>
      <xdr:colOff>213360</xdr:colOff>
      <xdr:row>18</xdr:row>
      <xdr:rowOff>72390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63AD4CC-F709-41B9-9DD2-36C6B5062557}"/>
            </a:ext>
          </a:extLst>
        </xdr:cNvPr>
        <xdr:cNvGrpSpPr/>
      </xdr:nvGrpSpPr>
      <xdr:grpSpPr>
        <a:xfrm>
          <a:off x="8252460" y="621030"/>
          <a:ext cx="5318760" cy="2743200"/>
          <a:chOff x="3131820" y="1093470"/>
          <a:chExt cx="5318760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EA01CB31-47BD-463C-941E-A2E65515ABB8}"/>
              </a:ext>
            </a:extLst>
          </xdr:cNvPr>
          <xdr:cNvGraphicFramePr/>
        </xdr:nvGraphicFramePr>
        <xdr:xfrm>
          <a:off x="3131820" y="1093470"/>
          <a:ext cx="531876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45847C85-66BD-424B-BB12-9E7AB6DEA8E9}"/>
              </a:ext>
            </a:extLst>
          </xdr:cNvPr>
          <xdr:cNvSpPr txBox="1"/>
        </xdr:nvSpPr>
        <xdr:spPr>
          <a:xfrm>
            <a:off x="6949440" y="2872740"/>
            <a:ext cx="80772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bg1"/>
                </a:solidFill>
              </a:rPr>
              <a:t>borrowers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CE0E0167-388F-4922-AEAC-506F09D335B1}"/>
              </a:ext>
            </a:extLst>
          </xdr:cNvPr>
          <xdr:cNvSpPr txBox="1"/>
        </xdr:nvSpPr>
        <xdr:spPr>
          <a:xfrm>
            <a:off x="7048500" y="2133600"/>
            <a:ext cx="80772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ysClr val="windowText" lastClr="000000"/>
                </a:solidFill>
              </a:rPr>
              <a:t>lenders</a:t>
            </a:r>
          </a:p>
        </xdr:txBody>
      </xdr:sp>
    </xdr:grpSp>
    <xdr:clientData/>
  </xdr:twoCellAnchor>
  <xdr:twoCellAnchor>
    <xdr:from>
      <xdr:col>9</xdr:col>
      <xdr:colOff>388620</xdr:colOff>
      <xdr:row>18</xdr:row>
      <xdr:rowOff>80010</xdr:rowOff>
    </xdr:from>
    <xdr:to>
      <xdr:col>18</xdr:col>
      <xdr:colOff>220980</xdr:colOff>
      <xdr:row>33</xdr:row>
      <xdr:rowOff>80010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FE36910-1F22-49EF-AF28-18D3B15ABE25}"/>
            </a:ext>
          </a:extLst>
        </xdr:cNvPr>
        <xdr:cNvGrpSpPr/>
      </xdr:nvGrpSpPr>
      <xdr:grpSpPr>
        <a:xfrm>
          <a:off x="8260080" y="3371850"/>
          <a:ext cx="5318760" cy="2743200"/>
          <a:chOff x="8260080" y="3371850"/>
          <a:chExt cx="5318760" cy="27432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94371AC-34C2-4DE2-A9BF-7D62D4FE9AC1}"/>
              </a:ext>
            </a:extLst>
          </xdr:cNvPr>
          <xdr:cNvGraphicFramePr/>
        </xdr:nvGraphicFramePr>
        <xdr:xfrm>
          <a:off x="8260080" y="3371850"/>
          <a:ext cx="531876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4F4A014-371A-4A78-A3A8-EE59F3959228}"/>
              </a:ext>
            </a:extLst>
          </xdr:cNvPr>
          <xdr:cNvSpPr txBox="1"/>
        </xdr:nvSpPr>
        <xdr:spPr>
          <a:xfrm>
            <a:off x="10828020" y="4728210"/>
            <a:ext cx="80772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ysClr val="windowText" lastClr="000000"/>
                </a:solidFill>
              </a:rPr>
              <a:t>lenders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99C3260-9DA2-41B4-ACD4-C8CD4F2EE207}"/>
              </a:ext>
            </a:extLst>
          </xdr:cNvPr>
          <xdr:cNvSpPr txBox="1"/>
        </xdr:nvSpPr>
        <xdr:spPr>
          <a:xfrm>
            <a:off x="10820400" y="5177790"/>
            <a:ext cx="80772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chemeClr val="bg1"/>
                </a:solidFill>
              </a:rPr>
              <a:t>borrowers</a:t>
            </a:r>
          </a:p>
        </xdr:txBody>
      </xdr:sp>
    </xdr:grpSp>
    <xdr:clientData/>
  </xdr:twoCellAnchor>
  <xdr:twoCellAnchor>
    <xdr:from>
      <xdr:col>9</xdr:col>
      <xdr:colOff>251460</xdr:colOff>
      <xdr:row>37</xdr:row>
      <xdr:rowOff>57150</xdr:rowOff>
    </xdr:from>
    <xdr:to>
      <xdr:col>18</xdr:col>
      <xdr:colOff>251460</xdr:colOff>
      <xdr:row>55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CAA9D6-F160-4674-9FDE-F5A01EBC3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Childress" refreshedDate="44116.898733912036" createdVersion="6" refreshedVersion="6" minRefreshableVersion="3" recordCount="1168" xr:uid="{30F6F63B-1312-4198-8DEE-E5BE35F405AD}">
  <cacheSource type="worksheet">
    <worksheetSource name="tvl_data"/>
  </cacheSource>
  <cacheFields count="25">
    <cacheField name="date" numFmtId="14">
      <sharedItems containsSemiMixedTypes="0" containsNonDate="0" containsDate="1" containsString="0" minDate="2017-08-02T00:00:00" maxDate="2020-10-13T00:00:00" count="1168">
        <d v="2020-10-12T00:00:00"/>
        <d v="2020-10-11T00:00:00"/>
        <d v="2020-10-10T00:00:00"/>
        <d v="2020-10-09T00:00:00"/>
        <d v="2020-10-08T00:00:00"/>
        <d v="2020-10-07T00:00:00"/>
        <d v="2020-10-06T00:00:00"/>
        <d v="2020-10-05T00:00:00"/>
        <d v="2020-10-04T00:00:00"/>
        <d v="2020-10-03T00:00:00"/>
        <d v="2020-10-02T00:00:00"/>
        <d v="2020-10-01T00:00:00"/>
        <d v="2020-09-30T00:00:00"/>
        <d v="2020-09-29T00:00:00"/>
        <d v="2020-09-28T00:00:00"/>
        <d v="2020-09-27T00:00:00"/>
        <d v="2020-09-26T00:00:00"/>
        <d v="2020-09-25T00:00:00"/>
        <d v="2020-09-24T00:00:00"/>
        <d v="2020-09-23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09-13T00:00:00"/>
        <d v="2020-09-12T00:00:00"/>
        <d v="2020-09-11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31T00:00:00"/>
        <d v="2020-08-30T00:00:00"/>
        <d v="2020-08-29T00:00:00"/>
        <d v="2020-08-28T00:00:00"/>
        <d v="2020-08-27T00:00:00"/>
        <d v="2020-08-26T00:00:00"/>
        <d v="2020-08-25T00:00:00"/>
        <d v="2020-08-24T00:00:00"/>
        <d v="2020-08-23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4T00:00:00"/>
        <d v="2020-08-03T00:00:00"/>
        <d v="2020-08-02T00:00:00"/>
        <d v="2020-08-01T00:00:00"/>
        <d v="2020-07-31T00:00:00"/>
        <d v="2020-07-30T00:00:00"/>
        <d v="2020-07-29T00:00:00"/>
        <d v="2020-07-28T00:00:00"/>
        <d v="2020-07-27T00:00:00"/>
        <d v="2020-07-26T00:00:00"/>
        <d v="2020-07-25T00:00:00"/>
        <d v="2020-07-24T00:00:00"/>
        <d v="2020-07-23T00:00:00"/>
        <d v="2020-07-22T00:00:00"/>
        <d v="2020-07-21T00:00:00"/>
        <d v="2020-07-20T00:00:00"/>
        <d v="2020-07-19T00:00:00"/>
        <d v="2020-07-18T00:00:00"/>
        <d v="2020-07-17T00:00:00"/>
        <d v="2020-07-16T00:00:00"/>
        <d v="2020-07-15T00:00:00"/>
        <d v="2020-07-14T00:00:00"/>
        <d v="2020-07-13T00:00:00"/>
        <d v="2020-07-12T00:00:00"/>
        <d v="2020-07-11T00:00:00"/>
        <d v="2020-07-10T00:00:00"/>
        <d v="2020-07-09T00:00:00"/>
        <d v="2020-07-08T00:00:00"/>
        <d v="2020-07-07T00:00:00"/>
        <d v="2020-07-06T00:00:00"/>
        <d v="2020-07-05T00:00:00"/>
        <d v="2020-07-04T00:00:00"/>
        <d v="2020-07-03T00:00:00"/>
        <d v="2020-07-02T00:00:00"/>
        <d v="2020-07-01T00:00:00"/>
        <d v="2020-06-30T00:00:00"/>
        <d v="2020-06-29T00:00:00"/>
        <d v="2020-06-28T00:00:00"/>
        <d v="2020-06-27T00:00:00"/>
        <d v="2020-06-26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7T00:00:00"/>
        <d v="2020-06-16T00:00:00"/>
        <d v="2020-06-15T00:00:00"/>
        <d v="2020-06-14T00:00:00"/>
        <d v="2020-06-13T00:00:00"/>
        <d v="2020-06-12T00:00:00"/>
        <d v="2020-06-11T00:00:00"/>
        <d v="2020-06-10T00:00:00"/>
        <d v="2020-06-09T00:00:00"/>
        <d v="2020-06-08T00:00:00"/>
        <d v="2020-06-07T00:00:00"/>
        <d v="2020-06-06T00:00:00"/>
        <d v="2020-06-05T00:00:00"/>
        <d v="2020-06-04T00:00:00"/>
        <d v="2020-06-03T00:00:00"/>
        <d v="2020-06-02T00:00:00"/>
        <d v="2020-06-01T00:00:00"/>
        <d v="2020-05-31T00:00:00"/>
        <d v="2020-05-30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0-05-18T00:00:00"/>
        <d v="2020-05-17T00:00:00"/>
        <d v="2020-05-16T00:00:00"/>
        <d v="2020-05-15T00:00:00"/>
        <d v="2020-05-14T00:00:00"/>
        <d v="2020-05-13T00:00:00"/>
        <d v="2020-05-12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9T00:00:00"/>
        <d v="2020-04-18T00:00:00"/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8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2T00:00:00"/>
        <d v="2020-02-01T00:00:00"/>
        <d v="2020-01-31T00:00:00"/>
        <d v="2020-01-30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6T00:00:00"/>
        <d v="2020-01-05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10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7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4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5T00:00:00"/>
        <d v="2019-05-04T00:00:00"/>
        <d v="2019-05-03T00:00:00"/>
        <d v="2019-05-02T00:00:00"/>
        <d v="2019-05-01T00:00:00"/>
        <d v="2019-04-30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8T00:00:00"/>
        <d v="2019-04-17T00:00:00"/>
        <d v="2019-04-16T00:00:00"/>
        <d v="2019-04-15T00:00:00"/>
        <d v="2019-04-14T00:00:00"/>
        <d v="2019-04-13T00:00:00"/>
        <d v="2019-04-12T00:00:00"/>
        <d v="2019-04-11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8T00:00:00"/>
        <d v="2019-03-17T00:00:00"/>
        <d v="2019-03-16T00:00:00"/>
        <d v="2019-03-15T00:00:00"/>
        <d v="2019-03-14T00:00:00"/>
        <d v="2019-03-13T00:00:00"/>
        <d v="2019-03-12T00:00:00"/>
        <d v="2019-03-11T00:00:00"/>
        <d v="2019-03-10T00:00:00"/>
        <d v="2019-03-09T00:00:00"/>
        <d v="2019-03-08T00:00:00"/>
        <d v="2019-03-07T00:00:00"/>
        <d v="2019-03-06T00:00:00"/>
        <d v="2019-03-05T00:00:00"/>
        <d v="2019-03-04T00:00:00"/>
        <d v="2019-03-03T00:00:00"/>
        <d v="2019-03-02T00:00:00"/>
        <d v="2019-03-01T00:00:00"/>
        <d v="2019-02-28T00:00:00"/>
        <d v="2019-02-27T00:00:00"/>
        <d v="2019-02-26T00:00:00"/>
        <d v="2019-02-25T00:00:00"/>
        <d v="2019-02-24T00:00:00"/>
        <d v="2019-02-23T00:00:00"/>
        <d v="2019-02-22T00:00:00"/>
        <d v="2019-02-21T00:00:00"/>
        <d v="2019-02-20T00:00:00"/>
        <d v="2019-02-19T00:00:00"/>
        <d v="2019-02-18T00:00:00"/>
        <d v="2019-02-17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20T00:00:00"/>
        <d v="2019-01-19T00:00:00"/>
        <d v="2019-01-18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9T00:00:00"/>
        <d v="2019-01-08T00:00:00"/>
        <d v="2019-01-07T00:00:00"/>
        <d v="2019-01-06T00:00:00"/>
        <d v="2019-01-05T00:00:00"/>
        <d v="2019-01-04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6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1-08T00:00:00"/>
        <d v="2018-11-07T00:00:00"/>
        <d v="2018-11-06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9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1T00:00:00"/>
        <d v="2018-10-20T00:00:00"/>
        <d v="2018-10-19T00:00:00"/>
        <d v="2018-10-18T00:00:00"/>
        <d v="2018-10-17T00:00:00"/>
        <d v="2018-10-16T00:00:00"/>
        <d v="2018-10-15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7T00:00:00"/>
        <d v="2018-09-26T00:00:00"/>
        <d v="2018-09-25T00:00:00"/>
        <d v="2018-09-24T00:00:00"/>
        <d v="2018-09-23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6T00:00:00"/>
        <d v="2018-09-05T00:00:00"/>
        <d v="2018-09-04T00:00:00"/>
        <d v="2018-09-03T00:00:00"/>
        <d v="2018-09-02T00:00:00"/>
        <d v="2018-09-01T00:00:00"/>
        <d v="2018-08-31T00:00:00"/>
        <d v="2018-08-30T00:00:00"/>
        <d v="2018-08-29T00:00:00"/>
        <d v="2018-08-28T00:00:00"/>
        <d v="2018-08-27T00:00:00"/>
        <d v="2018-08-26T00:00:00"/>
        <d v="2018-08-25T00:00:00"/>
        <d v="2018-08-24T00:00:00"/>
        <d v="2018-08-23T00:00:00"/>
        <d v="2018-08-22T00:00:00"/>
        <d v="2018-08-21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30T00:00:00"/>
        <d v="2018-07-29T00:00:00"/>
        <d v="2018-07-28T00:00:00"/>
        <d v="2018-07-27T00:00:00"/>
        <d v="2018-07-26T00:00:00"/>
        <d v="2018-07-25T00:00:00"/>
        <d v="2018-07-24T00:00:00"/>
        <d v="2018-07-23T00:00:00"/>
        <d v="2018-07-22T00:00:00"/>
        <d v="2018-07-21T00:00:00"/>
        <d v="2018-07-20T00:00:00"/>
        <d v="2018-07-19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30T00:00:00"/>
        <d v="2018-06-29T00:00:00"/>
        <d v="2018-06-28T00:00:00"/>
        <d v="2018-06-27T00:00:00"/>
        <d v="2018-06-26T00:00:00"/>
        <d v="2018-06-25T00:00:00"/>
        <d v="2018-06-24T00:00:00"/>
        <d v="2018-06-23T00:00:00"/>
        <d v="2018-06-22T00:00:00"/>
        <d v="2018-06-21T00:00:00"/>
        <d v="2018-06-20T00:00:00"/>
        <d v="2018-06-19T00:00:00"/>
        <d v="2018-06-18T00:00:00"/>
        <d v="2018-06-17T00:00:00"/>
        <d v="2018-06-16T00:00:00"/>
        <d v="2018-06-15T00:00:00"/>
        <d v="2018-06-14T00:00:00"/>
        <d v="2018-06-13T00:00:00"/>
        <d v="2018-06-12T00:00:00"/>
        <d v="2018-06-11T00:00:00"/>
        <d v="2018-06-10T00:00:00"/>
        <d v="2018-06-09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9T00:00:00"/>
        <d v="2018-05-28T00:00:00"/>
        <d v="2018-05-27T00:00:00"/>
        <d v="2018-05-26T00:00:00"/>
        <d v="2018-05-25T00:00:00"/>
        <d v="2018-05-24T00:00:00"/>
        <d v="2018-05-23T00:00:00"/>
        <d v="2018-05-22T00:00:00"/>
        <d v="2018-05-21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8-04-06T00:00:00"/>
        <d v="2018-04-05T00:00:00"/>
        <d v="2018-04-04T00:00:00"/>
        <d v="2018-04-03T00:00:00"/>
        <d v="2018-04-02T00:00:00"/>
        <d v="2018-04-01T00:00:00"/>
        <d v="2018-03-31T00:00:00"/>
        <d v="2018-03-30T00:00:00"/>
        <d v="2018-03-29T00:00:00"/>
        <d v="2018-03-28T00:00:00"/>
        <d v="2018-03-27T00:00:00"/>
        <d v="2018-03-26T00:00:00"/>
        <d v="2018-03-25T00:00:00"/>
        <d v="2018-03-24T00:00:00"/>
        <d v="2018-03-23T00:00:00"/>
        <d v="2018-03-22T00:00:00"/>
        <d v="2018-03-21T00:00:00"/>
        <d v="2018-03-20T00:00:00"/>
        <d v="2018-03-19T00:00:00"/>
        <d v="2018-03-18T00:00:00"/>
        <d v="2018-03-17T00:00:00"/>
        <d v="2018-03-16T00:00:00"/>
        <d v="2018-03-15T00:00:00"/>
        <d v="2018-03-14T00:00:00"/>
        <d v="2018-03-13T00:00:00"/>
        <d v="2018-03-12T00:00:00"/>
        <d v="2018-03-11T00:00:00"/>
        <d v="2018-03-10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2T00:00:00"/>
        <d v="2018-03-01T00:00:00"/>
        <d v="2018-02-28T00:00:00"/>
        <d v="2018-02-27T00:00:00"/>
        <d v="2018-02-26T00:00:00"/>
        <d v="2018-02-25T00:00:00"/>
        <d v="2018-02-24T00:00:00"/>
        <d v="2018-02-23T00:00:00"/>
        <d v="2018-02-22T00:00:00"/>
        <d v="2018-02-21T00:00:00"/>
        <d v="2018-02-20T00:00:00"/>
        <d v="2018-02-19T00:00:00"/>
        <d v="2018-02-18T00:00:00"/>
        <d v="2018-02-17T00:00:00"/>
        <d v="2018-02-16T00:00:00"/>
        <d v="2018-02-15T00:00:00"/>
        <d v="2018-02-14T00:00:00"/>
        <d v="2018-02-13T00:00:00"/>
        <d v="2018-02-12T00:00:00"/>
        <d v="2018-02-11T00:00:00"/>
        <d v="2018-02-10T00:00:00"/>
        <d v="2018-02-09T00:00:00"/>
        <d v="2018-02-08T00:00:00"/>
        <d v="2018-02-07T00:00:00"/>
        <d v="2018-02-06T00:00:00"/>
        <d v="2018-02-05T00:00:00"/>
        <d v="2018-02-04T00:00:00"/>
        <d v="2018-02-03T00:00:00"/>
        <d v="2018-02-02T00:00:00"/>
        <d v="2018-02-01T00:00:00"/>
        <d v="2018-01-31T00:00:00"/>
        <d v="2018-01-30T00:00:00"/>
        <d v="2018-01-29T00:00:00"/>
        <d v="2018-01-28T00:00:00"/>
        <d v="2018-01-27T00:00:00"/>
        <d v="2018-01-26T00:00:00"/>
        <d v="2018-01-25T00:00:00"/>
        <d v="2018-01-24T00:00:00"/>
        <d v="2018-01-23T00:00:00"/>
        <d v="2018-01-22T00:00:00"/>
        <d v="2018-01-21T00:00:00"/>
        <d v="2018-01-20T00:00:00"/>
        <d v="2018-01-19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1T00:00:00"/>
        <d v="2018-01-10T00:00:00"/>
        <d v="2018-01-09T00:00:00"/>
        <d v="2018-01-08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7-12-31T00:00:00"/>
        <d v="2017-12-30T00:00:00"/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5T00:00:00"/>
        <d v="2017-10-24T00:00:00"/>
        <d v="2017-10-23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5T00:00:00"/>
        <d v="2017-10-14T00:00:00"/>
        <d v="2017-10-13T00:00:00"/>
        <d v="2017-10-12T00:00:00"/>
        <d v="2017-10-11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7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6T00:00:00"/>
        <d v="2017-09-05T00:00:00"/>
        <d v="2017-09-04T00:00:00"/>
        <d v="2017-09-03T00:00:00"/>
        <d v="2017-09-02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9T00:00:00"/>
        <d v="2017-08-08T00:00:00"/>
        <d v="2017-08-07T00:00:00"/>
        <d v="2017-08-06T00:00:00"/>
        <d v="2017-08-05T00:00:00"/>
        <d v="2017-08-04T00:00:00"/>
        <d v="2017-08-03T00:00:00"/>
        <d v="2017-08-02T00:00:00"/>
      </sharedItems>
      <fieldGroup par="19" base="0">
        <rangePr groupBy="days" startDate="2017-08-02T00:00:00" endDate="2020-10-13T00:00:00"/>
        <groupItems count="368">
          <s v="&lt;8/2/2017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3/2020"/>
        </groupItems>
      </fieldGroup>
    </cacheField>
    <cacheField name="count" numFmtId="0">
      <sharedItems containsSemiMixedTypes="0" containsString="0" containsNumber="1" containsInteger="1" minValue="1" maxValue="1"/>
    </cacheField>
    <cacheField name="tvlUSD_all" numFmtId="0">
      <sharedItems containsSemiMixedTypes="0" containsString="0" containsNumber="1" minValue="0" maxValue="11233290101.174101"/>
    </cacheField>
    <cacheField name="tvlETH_all" numFmtId="0">
      <sharedItems containsSemiMixedTypes="0" containsString="0" containsNumber="1" minValue="0" maxValue="32910104.854249701"/>
    </cacheField>
    <cacheField name="BTC_all" numFmtId="0">
      <sharedItems containsSemiMixedTypes="0" containsString="0" containsNumber="1" minValue="0" maxValue="143782.723745"/>
    </cacheField>
    <cacheField name="ETH_all" numFmtId="0">
      <sharedItems containsSemiMixedTypes="0" containsString="0" containsNumber="1" minValue="0" maxValue="8894350.3488416392"/>
    </cacheField>
    <cacheField name="DAI_all" numFmtId="0">
      <sharedItems containsSemiMixedTypes="0" containsString="0" containsNumber="1" minValue="0" maxValue="965964915.98462498"/>
    </cacheField>
    <cacheField name="tvlUSD_comp" numFmtId="0">
      <sharedItems containsString="0" containsBlank="1" containsNumber="1" containsInteger="1" minValue="93223" maxValue="911615582"/>
    </cacheField>
    <cacheField name="tvlETH_comp" numFmtId="0">
      <sharedItems containsString="0" containsBlank="1" containsNumber="1" minValue="435.19443536716301" maxValue="2990650.2351063299"/>
    </cacheField>
    <cacheField name="BTC_comp" numFmtId="0">
      <sharedItems containsString="0" containsBlank="1" containsNumber="1" minValue="0" maxValue="5026.8451260000002"/>
    </cacheField>
    <cacheField name="ETH_comp" numFmtId="0">
      <sharedItems containsString="0" containsBlank="1" containsNumber="1" minValue="5744.3447573904004" maxValue="1066044.719643"/>
    </cacheField>
    <cacheField name="DAI_comp" numFmtId="0">
      <sharedItems containsString="0" containsBlank="1" containsNumber="1" minValue="0" maxValue="289843542.31016201"/>
    </cacheField>
    <cacheField name="tvlUSD" numFmtId="0">
      <sharedItems containsString="0" containsBlank="1" containsNumber="1" containsInteger="1" minValue="0" maxValue="1696875150"/>
    </cacheField>
    <cacheField name="tvlETH" numFmtId="0">
      <sharedItems containsString="0" containsBlank="1" containsNumber="1" minValue="0" maxValue="4447156.3059512395"/>
    </cacheField>
    <cacheField name="BTC" numFmtId="0">
      <sharedItems containsString="0" containsBlank="1" containsNumber="1" minValue="7.6455682999999999" maxValue="17892.690218"/>
    </cacheField>
    <cacheField name="ETH" numFmtId="0">
      <sharedItems containsString="0" containsBlank="1" containsNumber="1" minValue="2056.2298257391999" maxValue="531857.27411799994"/>
    </cacheField>
    <cacheField name="DAI" numFmtId="0">
      <sharedItems containsString="0" containsBlank="1" containsNumber="1" minValue="26423.3911243154" maxValue="30671586.893410001"/>
    </cacheField>
    <cacheField name="Months" numFmtId="0" databaseField="0">
      <fieldGroup base="0">
        <rangePr groupBy="months" startDate="2017-08-02T00:00:00" endDate="2020-10-13T00:00:00"/>
        <groupItems count="14">
          <s v="&lt;8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3/2020"/>
        </groupItems>
      </fieldGroup>
    </cacheField>
    <cacheField name="Quarters" numFmtId="0" databaseField="0">
      <fieldGroup base="0">
        <rangePr groupBy="quarters" startDate="2017-08-02T00:00:00" endDate="2020-10-13T00:00:00"/>
        <groupItems count="6">
          <s v="&lt;8/2/2017"/>
          <s v="Qtr1"/>
          <s v="Qtr2"/>
          <s v="Qtr3"/>
          <s v="Qtr4"/>
          <s v="&gt;10/13/2020"/>
        </groupItems>
      </fieldGroup>
    </cacheField>
    <cacheField name="Years" numFmtId="0" databaseField="0">
      <fieldGroup base="0">
        <rangePr groupBy="years" startDate="2017-08-02T00:00:00" endDate="2020-10-13T00:00:00"/>
        <groupItems count="6">
          <s v="&lt;8/2/2017"/>
          <s v="2017"/>
          <s v="2018"/>
          <s v="2019"/>
          <s v="2020"/>
          <s v="&gt;10/13/2020"/>
        </groupItems>
      </fieldGroup>
    </cacheField>
    <cacheField name="avg_tvlUSD_all" numFmtId="0" formula="tvlUSD_all/count" databaseField="0"/>
    <cacheField name="avg_tvlUSD_comp" numFmtId="0" formula="tvlUSD_comp/count" databaseField="0"/>
    <cacheField name="avg_tvlUSD_lend" numFmtId="0" formula="tvlUSD/count" databaseField="0"/>
    <cacheField name="avg_tvlUSD_others" numFmtId="0" formula="avg_tvlUSD_all-avg_tvlUSD_comp-avg_tvlUSD_lend" databaseField="0"/>
    <cacheField name="tvlUSD_others" numFmtId="0" formula="tvlUSD_all -tvlUSD_comp -tvlUSD" databaseField="0"/>
  </cacheFields>
  <extLst>
    <ext xmlns:x14="http://schemas.microsoft.com/office/spreadsheetml/2009/9/main" uri="{725AE2AE-9491-48be-B2B4-4EB974FC3084}">
      <x14:pivotCacheDefinition pivotCacheId="70342280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Childress" refreshedDate="44119.680176967595" createdVersion="6" refreshedVersion="6" minRefreshableVersion="3" recordCount="972" xr:uid="{F1B929CD-DF8E-47EE-AB6D-4DDA7BF92A4C}">
  <cacheSource type="worksheet">
    <worksheetSource name="commit_data"/>
  </cacheSource>
  <cacheFields count="7">
    <cacheField name="timestamp" numFmtId="0">
      <sharedItems/>
    </cacheField>
    <cacheField name="date" numFmtId="14">
      <sharedItems containsSemiMixedTypes="0" containsNonDate="0" containsDate="1" containsString="0" minDate="2017-01-18T00:00:00" maxDate="2020-10-15T00:00:00" count="272">
        <d v="2020-09-02T00:00:00"/>
        <d v="2020-07-24T00:00:00"/>
        <d v="2020-06-12T00:00:00"/>
        <d v="2020-05-29T00:00:00"/>
        <d v="2020-05-08T00:00:00"/>
        <d v="2020-05-05T00:00:00"/>
        <d v="2020-04-22T00:00:00"/>
        <d v="2020-04-09T00:00:00"/>
        <d v="2020-03-30T00:00:00"/>
        <d v="2020-03-25T00:00:00"/>
        <d v="2020-09-30T00:00:00"/>
        <d v="2020-09-01T00:00:00"/>
        <d v="2020-04-23T00:00:00"/>
        <d v="2020-04-06T00:00:00"/>
        <d v="2020-02-07T00:00:00"/>
        <d v="2020-01-31T00:00:00"/>
        <d v="2020-01-29T00:00:00"/>
        <d v="2020-01-28T00:00:00"/>
        <d v="2020-01-27T00:00:00"/>
        <d v="2020-01-11T00:00:00"/>
        <d v="2020-01-09T00:00:00"/>
        <d v="2020-01-08T00:00:00"/>
        <d v="2019-11-02T00:00:00"/>
        <d v="2019-10-30T00:00:00"/>
        <d v="2019-10-24T00:00:00"/>
        <d v="2020-09-25T00:00:00"/>
        <d v="2020-09-22T00:00:00"/>
        <d v="2020-09-23T00:00:00"/>
        <d v="2020-07-30T00:00:00"/>
        <d v="2020-07-01T00:00:00"/>
        <d v="2020-06-30T00:00:00"/>
        <d v="2020-06-29T00:00:00"/>
        <d v="2020-06-26T00:00:00"/>
        <d v="2020-03-19T00:00:00"/>
        <d v="2020-03-18T00:00:00"/>
        <d v="2020-03-17T00:00:00"/>
        <d v="2020-03-13T00:00:00"/>
        <d v="2020-03-11T00:00:00"/>
        <d v="2020-03-10T00:00:00"/>
        <d v="2020-03-06T00:00:00"/>
        <d v="2020-03-05T00:00:00"/>
        <d v="2020-03-04T00:00:00"/>
        <d v="2020-03-03T00:00:00"/>
        <d v="2019-07-19T00:00:00"/>
        <d v="2020-02-28T00:00:00"/>
        <d v="2020-07-02T00:00:00"/>
        <d v="2020-06-04T00:00:00"/>
        <d v="2020-05-11T00:00:00"/>
        <d v="2020-04-21T00:00:00"/>
        <d v="2020-03-23T00:00:00"/>
        <d v="2020-03-16T00:00:00"/>
        <d v="2020-03-14T00:00:00"/>
        <d v="2019-04-18T00:00:00"/>
        <d v="2019-02-22T00:00:00"/>
        <d v="2019-02-21T00:00:00"/>
        <d v="2019-02-20T00:00:00"/>
        <d v="2020-05-27T00:00:00"/>
        <d v="2019-04-25T00:00:00"/>
        <d v="2019-04-24T00:00:00"/>
        <d v="2019-04-23T00:00:00"/>
        <d v="2019-06-04T00:00:00"/>
        <d v="2019-05-31T00:00:00"/>
        <d v="2019-05-30T00:00:00"/>
        <d v="2019-05-28T00:00:00"/>
        <d v="2019-05-27T00:00:00"/>
        <d v="2019-05-24T00:00:00"/>
        <d v="2019-05-22T00:00:00"/>
        <d v="2019-05-16T00:00:00"/>
        <d v="2019-05-14T00:00:00"/>
        <d v="2019-05-13T00:00:00"/>
        <d v="2019-05-10T00:00:00"/>
        <d v="2019-05-08T00:00:00"/>
        <d v="2019-05-04T00:00:00"/>
        <d v="2019-05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20-09-09T00:00:00"/>
        <d v="2020-09-04T00:00:00"/>
        <d v="2020-09-03T00:00:00"/>
        <d v="2018-07-26T00:00:00"/>
        <d v="2018-07-25T00:00:00"/>
        <d v="2018-07-24T00:00:00"/>
        <d v="2018-07-15T00:00:00"/>
        <d v="2018-07-03T00:00:00"/>
        <d v="2018-07-01T00:00:00"/>
        <d v="2018-06-29T00:00:00"/>
        <d v="2018-06-28T00:00:00"/>
        <d v="2018-06-27T00:00:00"/>
        <d v="2018-06-18T00:00:00"/>
        <d v="2018-06-08T00:00:00"/>
        <d v="2018-06-06T00:00:00"/>
        <d v="2018-05-30T00:00:00"/>
        <d v="2018-05-25T00:00:00"/>
        <d v="2018-05-18T00:00:00"/>
        <d v="2018-05-09T00:00:00"/>
        <d v="2018-05-08T00:00:00"/>
        <d v="2020-10-14T00:00:00"/>
        <d v="2020-10-03T00:00:00"/>
        <d v="2020-10-02T00:00:00"/>
        <d v="2020-09-29T00:00:00"/>
        <d v="2020-09-20T00:00:00"/>
        <d v="2020-09-18T00:00:00"/>
        <d v="2020-09-15T00:00:00"/>
        <d v="2020-08-05T00:00:00"/>
        <d v="2020-08-06T00:00:00"/>
        <d v="2020-07-29T00:00:00"/>
        <d v="2020-07-03T00:00:00"/>
        <d v="2020-06-10T00:00:00"/>
        <d v="2020-09-16T00:00:00"/>
        <d v="2020-09-10T00:00:00"/>
        <d v="2018-09-26T00:00:00"/>
        <d v="2020-10-13T00:00:00"/>
        <d v="2020-09-21T00:00:00"/>
        <d v="2020-09-14T00:00:00"/>
        <d v="2020-08-27T00:00:00"/>
        <d v="2020-08-19T00:00:00"/>
        <d v="2020-08-17T00:00:00"/>
        <d v="2020-07-09T00:00:00"/>
        <d v="2020-07-08T00:00:00"/>
        <d v="2020-06-25T00:00:00"/>
        <d v="2020-06-23T00:00:00"/>
        <d v="2020-06-16T00:00:00"/>
        <d v="2020-04-30T00:00:00"/>
        <d v="2020-04-25T00:00:00"/>
        <d v="2020-04-24T00:00:00"/>
        <d v="2020-04-01T00:00:00"/>
        <d v="2020-03-31T00:00:00"/>
        <d v="2020-03-24T00:00:00"/>
        <d v="2020-03-02T00:00:00"/>
        <d v="2020-02-26T00:00:00"/>
        <d v="2019-11-05T00:00:00"/>
        <d v="2019-09-23T00:00:00"/>
        <d v="2019-09-20T00:00:00"/>
        <d v="2019-09-16T00:00:00"/>
        <d v="2019-05-05T00:00:00"/>
        <d v="2019-05-02T00:00:00"/>
        <d v="2019-04-26T00:00:00"/>
        <d v="2019-04-17T00:00:00"/>
        <d v="2019-04-15T00:00:00"/>
        <d v="2019-04-12T00:00:00"/>
        <d v="2020-06-11T00:00:00"/>
        <d v="2020-06-09T00:00:00"/>
        <d v="2020-06-08T00:00:00"/>
        <d v="2020-06-07T00:00:00"/>
        <d v="2020-06-05T00:00:00"/>
        <d v="2020-06-03T00:00:00"/>
        <d v="2020-05-24T00:00:00"/>
        <d v="2020-05-20T00:00:00"/>
        <d v="2020-05-13T00:00:00"/>
        <d v="2020-05-12T00:00:00"/>
        <d v="2019-11-14T00:00:00"/>
        <d v="2019-11-13T00:00:00"/>
        <d v="2019-10-31T00:00:00"/>
        <d v="2019-08-29T00:00:00"/>
        <d v="2019-06-19T00:00:00"/>
        <d v="2019-11-07T00:00:00"/>
        <d v="2019-11-06T00:00:00"/>
        <d v="2019-11-04T00:00:00"/>
        <d v="2019-06-28T00:00:00"/>
        <d v="2019-06-25T00:00:00"/>
        <d v="2019-04-29T00:00:00"/>
        <d v="2019-12-16T00:00:00"/>
        <d v="2019-12-15T00:00:00"/>
        <d v="2019-12-13T00:00:00"/>
        <d v="2019-12-11T00:00:00"/>
        <d v="2019-12-09T00:00:00"/>
        <d v="2019-12-06T00:00:00"/>
        <d v="2019-11-21T00:00:00"/>
        <d v="2019-11-20T00:00:00"/>
        <d v="2019-11-19T00:00:00"/>
        <d v="2019-11-18T00:00:00"/>
        <d v="2019-11-15T00:00:00"/>
        <d v="2019-11-11T00:00:00"/>
        <d v="2020-07-28T00:00:00"/>
        <d v="2020-07-14T00:00:00"/>
        <d v="2020-06-02T00:00:00"/>
        <d v="2020-05-26T00:00:00"/>
        <d v="2020-05-25T00:00:00"/>
        <d v="2020-05-22T00:00:00"/>
        <d v="2020-06-24T00:00:00"/>
        <d v="2020-05-21T00:00:00"/>
        <d v="2020-05-19T00:00:00"/>
        <d v="2020-05-18T00:00:00"/>
        <d v="2020-05-15T00:00:00"/>
        <d v="2020-05-14T00:00:00"/>
        <d v="2020-05-06T00:00:00"/>
        <d v="2020-04-05T00:00:00"/>
        <d v="2020-04-03T00:00:00"/>
        <d v="2020-02-14T00:00:00"/>
        <d v="2020-02-12T00:00:00"/>
        <d v="2020-01-30T00:00:00"/>
        <d v="2020-01-06T00:00:00"/>
        <d v="2019-12-12T00:00:00"/>
        <d v="2019-12-10T00:00:00"/>
        <d v="2019-11-25T00:00:00"/>
        <d v="2019-10-09T00:00:00"/>
        <d v="2020-08-21T00:00:00"/>
        <d v="2020-08-13T00:00:00"/>
        <d v="2020-08-07T00:00:00"/>
        <d v="2020-08-04T00:00:00"/>
        <d v="2020-07-31T00:00:00"/>
        <d v="2020-07-04T00:00:00"/>
        <d v="2020-08-23T00:00:00"/>
        <d v="2018-11-25T00:00:00"/>
        <d v="2018-11-21T00:00:00"/>
        <d v="2018-11-20T00:00:00"/>
        <d v="2018-11-19T00:00:00"/>
        <d v="2018-11-17T00:00:00"/>
        <d v="2018-11-16T00:00:00"/>
        <d v="2018-11-15T00:00:00"/>
        <d v="2018-11-14T00:00:00"/>
        <d v="2018-02-02T00:00:00"/>
        <d v="2018-01-24T00:00:00"/>
        <d v="2018-01-19T00:00:00"/>
        <d v="2017-12-04T00:00:00"/>
        <d v="2017-12-01T00:00:00"/>
        <d v="2017-11-30T00:00:00"/>
        <d v="2017-09-21T00:00:00"/>
        <d v="2017-07-28T00:00:00"/>
        <d v="2017-07-24T00:00:00"/>
        <d v="2017-07-14T00:00:00"/>
        <d v="2017-06-19T00:00:00"/>
        <d v="2017-06-08T00:00:00"/>
        <d v="2017-05-18T00:00:00"/>
        <d v="2017-02-28T00:00:00"/>
        <d v="2017-02-13T00:00:00"/>
        <d v="2017-01-31T00:00:00"/>
        <d v="2017-01-18T00:00:00"/>
        <d v="2018-12-19T00:00:00"/>
        <d v="2018-10-30T00:00:00"/>
        <d v="2018-10-29T00:00:00"/>
        <d v="2018-08-03T00:00:00"/>
        <d v="2018-08-01T00:00:00"/>
        <d v="2018-07-16T00:00:00"/>
        <d v="2018-01-11T00:00:00"/>
        <d v="2020-08-14T00:00:00"/>
        <d v="2020-07-27T00:00:00"/>
        <d v="2020-07-23T00:00:00"/>
        <d v="2020-04-17T00:00:00"/>
        <d v="2020-04-15T00:00:00"/>
        <d v="2020-02-22T00:00:00"/>
        <d v="2019-01-26T00:00:00"/>
        <d v="2019-01-24T00:00:00"/>
        <d v="2019-01-23T00:00:00"/>
        <d v="2019-01-22T00:00:00"/>
        <d v="2018-05-23T00:00:00"/>
        <d v="2018-05-22T00:00:00"/>
        <d v="2018-05-20T00:00:00"/>
        <d v="2018-05-15T00:00:00"/>
        <d v="2018-04-20T00:00:00"/>
        <d v="2020-04-28T00:00:00"/>
        <d v="2020-02-27T00:00:00"/>
        <d v="2020-02-13T00:00:00"/>
        <d v="2020-02-11T00:00:00"/>
        <d v="2020-02-10T00:00:00"/>
        <d v="2020-01-23T00:00:00"/>
        <d v="2020-01-22T00:00:00"/>
        <d v="2020-01-16T00:00:00"/>
        <d v="2020-01-10T00:00:00"/>
        <d v="2020-08-26T00:00:00"/>
        <d v="2019-05-23T00:00:00"/>
        <d v="2019-05-21T00:00:00"/>
        <d v="2019-05-20T00:00:00"/>
        <d v="2019-05-19T00:00:00"/>
        <d v="2019-05-18T00:00:00"/>
        <d v="2019-05-17T00:00:00"/>
        <d v="2019-05-15T00:00:00"/>
      </sharedItems>
      <fieldGroup par="6" base="1">
        <rangePr groupBy="months" startDate="2017-01-18T00:00:00" endDate="2020-10-15T00:00:00"/>
        <groupItems count="14">
          <s v="&lt;1/18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5/2020"/>
        </groupItems>
      </fieldGroup>
    </cacheField>
    <cacheField name="username" numFmtId="0">
      <sharedItems count="2">
        <s v="aave"/>
        <s v="compound-finance"/>
      </sharedItems>
    </cacheField>
    <cacheField name="repo" numFmtId="0">
      <sharedItems count="42">
        <s v="aave-js"/>
        <s v="aave-protocol"/>
        <s v="aave-token"/>
        <s v="aip"/>
        <s v="DeFi-Pulse-Adapters"/>
        <s v="dlp-docs-abi"/>
        <s v="ethlondon-flash"/>
        <s v="flashloan-box"/>
        <s v="genesis-migration"/>
        <s v="liquidation-ui"/>
        <s v="loanlord-bot"/>
        <s v="markets-adapters"/>
        <s v="proto-governance"/>
        <s v="safety-module"/>
        <s v="split-croatia-workshop"/>
        <s v="uniswap-frontend"/>
        <s v="0x-monorepo"/>
        <s v="autonomous-proposals"/>
        <s v="cloud-builders-community"/>
        <s v="compound-config"/>
        <s v="compound-eureka"/>
        <s v="compound-js"/>
        <s v="compound-money-market"/>
        <s v="compound-protocol"/>
        <s v="compound-v2-subgraph"/>
        <s v="eth-contract-metadata"/>
        <s v="ethereumjs-util"/>
        <s v="ethereumjs-vm"/>
        <s v="etherscan"/>
        <s v="ganache-cli"/>
        <s v="ganache-core"/>
        <s v="open-oracle"/>
        <s v="quest"/>
        <s v="QuickBorrow"/>
        <s v="redis"/>
        <s v="redix_stream"/>
        <s v="saddle"/>
        <s v="solidity"/>
        <s v="solidity-coverage"/>
        <s v="solidity-parser-antlr"/>
        <s v="token-list"/>
        <s v="tokens"/>
      </sharedItems>
    </cacheField>
    <cacheField name="committer" numFmtId="0">
      <sharedItems count="74">
        <s v="kyzia.ru@gmail.com"/>
        <s v="ernesto.boado.moreira@gmail.com"/>
        <s v="noreply@github.com"/>
        <s v="emilio@ethlend.io"/>
        <s v="david@truong.vc"/>
        <s v="david@aave.com"/>
        <s v="argeares97@gmail.com"/>
        <s v="m.pilkey@gmail.com"/>
        <s v="ivan.herger@gmail.com"/>
        <s v="kongliangzhong@gmail.com"/>
        <s v="18844062006@163.com"/>
        <s v="kevin.zhang@ddex.io"/>
        <s v="frangellaemilio@gmail.com"/>
        <s v="37953689+The-3D@users.noreply.github.com"/>
        <s v="cds.sudama@gmail.com"/>
        <s v="david@themobilecompany.com"/>
        <s v="anibal.eduardo@protonmail.ch"/>
        <s v="noahwz@gmail.com"/>
        <s v="c@martinkrung.org"/>
        <s v="me@fabioberger.com"/>
        <s v="jacob@dekz.net"/>
        <s v="joshua@webcoders.com.au"/>
        <s v="abandeali1@gmail.com"/>
        <s v="mchl.zhu.96@gmail.com"/>
        <s v="antonina.norair@gmail.com"/>
        <s v="jasonhall@google.com"/>
        <s v="bendory@google.com"/>
        <s v="johnlabarge@google.com"/>
        <s v="tom@unspecified.me"/>
        <s v="derek@fanai.io"/>
        <s v="me@steven.mx"/>
        <s v="jflatow@gmail.com"/>
        <s v="hayesgm@gmail.com"/>
        <s v="torrey@compound.finance"/>
        <s v="geoff@compound.finance"/>
        <s v="adam.bavosa@gmail.com"/>
        <s v="kajpustd@gmail.com"/>
        <s v="arman.it37@gmail.com"/>
        <s v="mikeraymcdonald@gmail.com"/>
        <s v="david.sato64@gmail.com"/>
        <s v="mick@mickdegraaf.nl"/>
        <s v="angelangelov97@gmail.com"/>
        <s v="efmino@uc.cl"/>
        <s v="kumavis@users.noreply.github.com"/>
        <s v="ev@ethereum.org"/>
        <s v="Holger.Drewes@gmail.com"/>
        <s v="1591639+s1na@users.noreply.github.com"/>
        <s v="email@patriciopalladino.com"/>
        <s v="ryan@ryanio.com"/>
        <s v="itz.s1na@gmail.com"/>
        <s v="david@davidmurdoch.com"/>
        <s v="contact@palkeo.com"/>
        <s v="cashlion@protonmail.com"/>
        <s v="davidmurdoch@users.noreply.github.com"/>
        <s v="43416138+nicholasjpaterno@users.noreply.github.com"/>
        <s v="coburn@compound.finance"/>
        <s v="github+dockerlibrarybot@infosiftr.com"/>
        <s v="michael-k@users.noreply.github.com"/>
        <s v="admwiggin@gmail.com"/>
        <s v="jeff@jeffutter.com"/>
        <s v="maxcwolff@gmail.com"/>
        <s v="shellygr151@gmail.com"/>
        <s v="chris@ethereum.org"/>
        <s v="bshastry@ethereum.org"/>
        <s v="guptamudit@ymail.com"/>
        <s v="alex@rtfs.hu"/>
        <s v="christophergewecke@gmail.com"/>
        <s v="vrdragicevic@gmail.com"/>
        <s v="maurelian@protonmail.ch"/>
        <s v="victorio.franco@gmail.com"/>
        <s v="goncalo05@gmail.com"/>
        <s v="3277207+kolya182@users.noreply.github.com"/>
        <s v="1641795+vikmeup@users.noreply.github.com"/>
        <s v="kolya182@gmail.com"/>
      </sharedItems>
    </cacheField>
    <cacheField name="Quarters" numFmtId="0" databaseField="0">
      <fieldGroup base="1">
        <rangePr groupBy="quarters" startDate="2017-01-18T00:00:00" endDate="2020-10-15T00:00:00"/>
        <groupItems count="6">
          <s v="&lt;1/18/2017"/>
          <s v="Qtr1"/>
          <s v="Qtr2"/>
          <s v="Qtr3"/>
          <s v="Qtr4"/>
          <s v="&gt;10/15/2020"/>
        </groupItems>
      </fieldGroup>
    </cacheField>
    <cacheField name="Years" numFmtId="0" databaseField="0">
      <fieldGroup base="1">
        <rangePr groupBy="years" startDate="2017-01-18T00:00:00" endDate="2020-10-15T00:00:00"/>
        <groupItems count="6">
          <s v="&lt;1/18/2017"/>
          <s v="2017"/>
          <s v="2018"/>
          <s v="2019"/>
          <s v="2020"/>
          <s v="&gt;10/15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Childress" refreshedDate="44119.933589930559" createdVersion="6" refreshedVersion="6" minRefreshableVersion="3" recordCount="124" xr:uid="{3C2D73A5-BC14-43DE-81A7-4FF9828EAF8C}">
  <cacheSource type="worksheet">
    <worksheetSource name="user_data"/>
  </cacheSource>
  <cacheFields count="6">
    <cacheField name="timestamp" numFmtId="0">
      <sharedItems containsDate="1" containsMixedTypes="1" minDate="2020-01-06T00:00:00" maxDate="2020-12-11T00:00:00"/>
    </cacheField>
    <cacheField name="date" numFmtId="0">
      <sharedItems containsSemiMixedTypes="0" containsNonDate="0" containsDate="1" containsString="0" minDate="2020-03-16T00:00:00" maxDate="2020-10-13T00:00:00" count="31"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</sharedItems>
      <fieldGroup par="5" base="1">
        <rangePr groupBy="days" startDate="2020-03-16T00:00:00" endDate="2020-10-13T00:00:00"/>
        <groupItems count="368">
          <s v="&lt;3/16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3/2020"/>
        </groupItems>
      </fieldGroup>
    </cacheField>
    <cacheField name="count" numFmtId="0">
      <sharedItems containsSemiMixedTypes="0" containsString="0" containsNumber="1" containsInteger="1" minValue="51" maxValue="12250"/>
    </cacheField>
    <cacheField name="protocol" numFmtId="0">
      <sharedItems count="2">
        <s v="comp"/>
        <s v="aave"/>
      </sharedItems>
    </cacheField>
    <cacheField name="category" numFmtId="0">
      <sharedItems count="2">
        <s v="borrower"/>
        <s v="lender"/>
      </sharedItems>
    </cacheField>
    <cacheField name="Months" numFmtId="0" databaseField="0">
      <fieldGroup base="1">
        <rangePr groupBy="months" startDate="2020-03-16T00:00:00" endDate="2020-10-13T00:00:00"/>
        <groupItems count="14">
          <s v="&lt;3/16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3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Childress" refreshedDate="44119.961538657408" createdVersion="6" refreshedVersion="6" minRefreshableVersion="3" recordCount="31" xr:uid="{22E072BC-0D6F-41D0-B2C3-E10C472E31E1}">
  <cacheSource type="worksheet">
    <worksheetSource name="flash_data"/>
  </cacheSource>
  <cacheFields count="5">
    <cacheField name="timestamp" numFmtId="0">
      <sharedItems containsDate="1" containsMixedTypes="1" minDate="2020-01-06T00:00:00" maxDate="2020-12-11T00:00:00"/>
    </cacheField>
    <cacheField name="week" numFmtId="0">
      <sharedItems containsSemiMixedTypes="0" containsNonDate="0" containsDate="1" containsString="0" minDate="2020-03-16T00:00:00" maxDate="2020-10-13T00:00:00" count="31"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</sharedItems>
      <fieldGroup par="4" base="1">
        <rangePr groupBy="days" startDate="2020-03-16T00:00:00" endDate="2020-10-13T00:00:00"/>
        <groupItems count="368">
          <s v="&lt;3/16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3/2020"/>
        </groupItems>
      </fieldGroup>
    </cacheField>
    <cacheField name="$Total Flash Loans" numFmtId="11">
      <sharedItems containsSemiMixedTypes="0" containsString="0" containsNumber="1" containsInteger="1" minValue="1.9534829752892E+22" maxValue="1.13810577334123E+26"/>
    </cacheField>
    <cacheField name="Flash Loan Volume" numFmtId="0">
      <sharedItems containsSemiMixedTypes="0" containsString="0" containsNumber="1" containsInteger="1" minValue="61" maxValue="424"/>
    </cacheField>
    <cacheField name="Months" numFmtId="0" databaseField="0">
      <fieldGroup base="1">
        <rangePr groupBy="months" startDate="2020-03-16T00:00:00" endDate="2020-10-13T00:00:00"/>
        <groupItems count="14">
          <s v="&lt;3/16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3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8">
  <r>
    <x v="0"/>
    <n v="1"/>
    <n v="10905755163.010401"/>
    <n v="29561922.259349301"/>
    <n v="143782.723745"/>
    <n v="8469019.9239373691"/>
    <n v="859296291.37731695"/>
    <n v="828937578"/>
    <n v="2226232.2492278698"/>
    <n v="4193.8260330000003"/>
    <n v="816429.653009"/>
    <n v="278583575.34978497"/>
    <n v="1132386846"/>
    <n v="3031419.7456832998"/>
    <n v="15436.955808999999"/>
    <n v="304956.79083200003"/>
    <n v="7263110.900045"/>
  </r>
  <r>
    <x v="1"/>
    <n v="1"/>
    <n v="10732521216.956699"/>
    <n v="29419010.349672999"/>
    <n v="142642.91386099899"/>
    <n v="8338525.6913855802"/>
    <n v="847453339.57467306"/>
    <n v="825401893"/>
    <n v="2230454.2317462"/>
    <n v="3407.1610350000001"/>
    <n v="802717.92370399996"/>
    <n v="271050787.48888302"/>
    <n v="1137047574"/>
    <n v="3072603.2913581501"/>
    <n v="16269.252777"/>
    <n v="286170.82995799999"/>
    <n v="10204315.357488001"/>
  </r>
  <r>
    <x v="2"/>
    <n v="1"/>
    <n v="10651120859.7355"/>
    <n v="29591701.5834748"/>
    <n v="141683.019586999"/>
    <n v="8228842.7252420001"/>
    <n v="848632854.44000494"/>
    <n v="818467324"/>
    <n v="2242253.3669387898"/>
    <n v="2838.9445380000002"/>
    <n v="787701.96727000002"/>
    <n v="271523957.85884398"/>
    <n v="1181711359"/>
    <n v="3237387.9760013102"/>
    <n v="16348.918887"/>
    <n v="281651.608863"/>
    <n v="9083363.8871550001"/>
  </r>
  <r>
    <x v="3"/>
    <n v="1"/>
    <n v="10487598667.266701"/>
    <n v="30292390.4251986"/>
    <n v="140647.909789"/>
    <n v="8268605.0132314796"/>
    <n v="843510254.28742301"/>
    <n v="826030824"/>
    <n v="2352492.8772819098"/>
    <n v="2613.8456460000002"/>
    <n v="793002.71767399996"/>
    <n v="270174599.78947002"/>
    <n v="1184257299"/>
    <n v="3372703.2694443599"/>
    <n v="17040.686564"/>
    <n v="288755.452865"/>
    <n v="11890984.113828"/>
  </r>
  <r>
    <x v="4"/>
    <n v="1"/>
    <n v="10183845638.7514"/>
    <n v="30266700.243209101"/>
    <n v="139863.43913699899"/>
    <n v="8174279.7354055401"/>
    <n v="828948985.33280897"/>
    <n v="781794304"/>
    <n v="2290838.0578427599"/>
    <n v="2661.5153359999999"/>
    <n v="756481.62158499996"/>
    <n v="264675128.549234"/>
    <n v="1154267076"/>
    <n v="3382269.3937351601"/>
    <n v="16788.956104000001"/>
    <n v="311092.10206800001"/>
    <n v="14308206.233198"/>
  </r>
  <r>
    <x v="5"/>
    <n v="1"/>
    <n v="10327005583.2064"/>
    <n v="30665357.893812001"/>
    <n v="140074.09469699999"/>
    <n v="8161630.4893993596"/>
    <n v="844143777.78519201"/>
    <n v="770342163"/>
    <n v="2255958.5410138499"/>
    <n v="2586.9578729999998"/>
    <n v="714607.78774699999"/>
    <n v="268944513.82516497"/>
    <n v="1208441685"/>
    <n v="3538939.54080885"/>
    <n v="16587.272927999999"/>
    <n v="292602.40476200002"/>
    <n v="13554177.960417001"/>
  </r>
  <r>
    <x v="6"/>
    <n v="1"/>
    <n v="10769765319.398899"/>
    <n v="30991764.233597301"/>
    <n v="140890.57813399899"/>
    <n v="8296870.8073477997"/>
    <n v="824432538.81492901"/>
    <n v="764063446"/>
    <n v="2169217.4034011802"/>
    <n v="2575.9541009999998"/>
    <n v="709452.941628"/>
    <n v="254496587.246806"/>
    <n v="1189858765"/>
    <n v="3378073.3185702502"/>
    <n v="16439.097271999999"/>
    <n v="285121.973749"/>
    <n v="12840807.104436001"/>
  </r>
  <r>
    <x v="7"/>
    <n v="1"/>
    <n v="10921806773.595501"/>
    <n v="31367495.9014767"/>
    <n v="141662.46282799999"/>
    <n v="8394713.9662580807"/>
    <n v="826408237.89375401"/>
    <n v="774968270"/>
    <n v="2196559.8197329999"/>
    <n v="2394.1417280000001"/>
    <n v="700727.38821500004"/>
    <n v="256798245.83263201"/>
    <n v="1330563185"/>
    <n v="3771330.7020776002"/>
    <n v="13693.162673000001"/>
    <n v="395173.60399199999"/>
    <n v="12128761.530208999"/>
  </r>
  <r>
    <x v="8"/>
    <n v="1"/>
    <n v="10853870453.4079"/>
    <n v="31671519.857196301"/>
    <n v="140376.31526500001"/>
    <n v="8473272.1305576302"/>
    <n v="820564110.15598595"/>
    <n v="768555240"/>
    <n v="2212752.2529006898"/>
    <n v="2277.7109180000002"/>
    <n v="694952.41142100003"/>
    <n v="254815807.33390301"/>
    <n v="1332167761"/>
    <n v="3835452.62718452"/>
    <n v="11799.465372000001"/>
    <n v="437482.36714599998"/>
    <n v="12138493.622230001"/>
  </r>
  <r>
    <x v="9"/>
    <n v="1"/>
    <n v="10804401718.684799"/>
    <n v="31570209.652687699"/>
    <n v="138374.43723000001"/>
    <n v="8459440.1290873792"/>
    <n v="813285167.62168705"/>
    <n v="767384480"/>
    <n v="2211801.35466205"/>
    <n v="2221.8164889999998"/>
    <n v="681530.59420799999"/>
    <n v="252902811.060574"/>
    <n v="1381842657"/>
    <n v="3982829.3904020698"/>
    <n v="12142.776433000001"/>
    <n v="448990.26644500002"/>
    <n v="11975669.231803"/>
  </r>
  <r>
    <x v="10"/>
    <n v="1"/>
    <n v="10989711979.741501"/>
    <n v="31440560.7694261"/>
    <n v="137238.31932499999"/>
    <n v="8400134.7685523797"/>
    <n v="832507907.10042703"/>
    <n v="789256487"/>
    <n v="2227713.13613141"/>
    <n v="2200.1764229999999"/>
    <n v="675659.00457200001"/>
    <n v="258171741.60833099"/>
    <n v="1470909143"/>
    <n v="4151709.4555307701"/>
    <n v="12464.207866000001"/>
    <n v="448090.23995000002"/>
    <n v="10861216.631119"/>
  </r>
  <r>
    <x v="11"/>
    <n v="1"/>
    <n v="11106910666.263"/>
    <n v="31202096.016278099"/>
    <n v="136514.053808"/>
    <n v="8322439.9746518098"/>
    <n v="887300805.73289096"/>
    <n v="818925204"/>
    <n v="2267109.2519793999"/>
    <n v="2210.1324570000002"/>
    <n v="681015.82788300002"/>
    <n v="282162759.14348203"/>
    <n v="1490140500"/>
    <n v="4125298.9867670601"/>
    <n v="11058.275511"/>
    <n v="475384.11702599999"/>
    <n v="14036887.193608999"/>
  </r>
  <r>
    <x v="12"/>
    <n v="1"/>
    <n v="11233290101.174101"/>
    <n v="31634301.440506201"/>
    <n v="135849.07472"/>
    <n v="8370132.7500543399"/>
    <n v="914888841.30488706"/>
    <n v="829824763"/>
    <n v="2303213.4197451998"/>
    <n v="2064.645618"/>
    <n v="689627.61123599997"/>
    <n v="281099482.20203799"/>
    <n v="1536551874"/>
    <n v="4264764.14554941"/>
    <n v="6718.2045600000001"/>
    <n v="531857.27411799994"/>
    <n v="10862512.10335"/>
  </r>
  <r>
    <x v="13"/>
    <n v="1"/>
    <n v="11219682700.111799"/>
    <n v="32040768.5096559"/>
    <n v="134754.981356"/>
    <n v="8394429.0886107404"/>
    <n v="927564805.01857495"/>
    <n v="814965363"/>
    <n v="2294255.2868644702"/>
    <n v="1947.943043"/>
    <n v="682397.53150899999"/>
    <n v="279787249.83900702"/>
    <n v="1579718863"/>
    <n v="4447156.3059512395"/>
    <n v="7093.8955990000004"/>
    <n v="529764.76165500004"/>
    <n v="9917995.44967"/>
  </r>
  <r>
    <x v="14"/>
    <n v="1"/>
    <n v="11119511633.1922"/>
    <n v="31505131.669040199"/>
    <n v="129792.82203700001"/>
    <n v="8144810.1424732897"/>
    <n v="951912868.14676297"/>
    <n v="868662020"/>
    <n v="2425684.9012873098"/>
    <n v="1885.4548560000001"/>
    <n v="667229.96304399997"/>
    <n v="282071225.69617999"/>
    <n v="1515724745"/>
    <n v="4232567.4932283303"/>
    <n v="5715.8279709999997"/>
    <n v="383539.65149600001"/>
    <n v="11575009.008825"/>
  </r>
  <r>
    <x v="15"/>
    <n v="1"/>
    <n v="11087539154.7925"/>
    <n v="31587322.625298299"/>
    <n v="129258.458925"/>
    <n v="8231874.3056326304"/>
    <n v="965964915.98462498"/>
    <n v="808543207"/>
    <n v="2270232.2251860099"/>
    <n v="1914.6027549999999"/>
    <n v="679955.858305"/>
    <n v="285580768.69403499"/>
    <n v="1540145961"/>
    <n v="4324430.6078899298"/>
    <n v="13199.605922000001"/>
    <n v="360975.52880899998"/>
    <n v="8788610.3307009991"/>
  </r>
  <r>
    <x v="16"/>
    <n v="1"/>
    <n v="10875020009.5926"/>
    <n v="31106798.993997801"/>
    <n v="127267.947266"/>
    <n v="8127300.0802879604"/>
    <n v="964865126.71355104"/>
    <n v="816448833"/>
    <n v="2300698.3768703998"/>
    <n v="1526.0156059999999"/>
    <n v="680976.012904"/>
    <n v="289843542.31016201"/>
    <n v="1458600625"/>
    <n v="4110239.31298785"/>
    <n v="12994.653992"/>
    <n v="286430.62964599999"/>
    <n v="8353055.5094419997"/>
  </r>
  <r>
    <x v="17"/>
    <n v="1"/>
    <n v="10556391750.247601"/>
    <n v="30575526.8600935"/>
    <n v="122592.078448"/>
    <n v="8055333.10339572"/>
    <n v="964947062.79778504"/>
    <n v="751895816"/>
    <n v="2145086.77393586"/>
    <n v="1507.707408"/>
    <n v="695615.05978100002"/>
    <n v="287319970.92442101"/>
    <n v="1397907995"/>
    <n v="3988097.6691772202"/>
    <n v="12079.111598"/>
    <n v="192853.24178499999"/>
    <n v="10302936.071663"/>
  </r>
  <r>
    <x v="18"/>
    <n v="1"/>
    <n v="10562655772.7845"/>
    <n v="32910104.854249701"/>
    <n v="119352.10778999999"/>
    <n v="8057886.2841606503"/>
    <n v="910476212.931633"/>
    <n v="706736061"/>
    <n v="2168567.2322798399"/>
    <n v="1241.9817660000001"/>
    <n v="739226.91561400006"/>
    <n v="269418189.68760502"/>
    <n v="1307247283"/>
    <n v="4011191.4176127599"/>
    <n v="11762.429196999999"/>
    <n v="216159.16000900001"/>
    <n v="14237176.499838"/>
  </r>
  <r>
    <x v="19"/>
    <n v="1"/>
    <n v="10018297398.0912"/>
    <n v="29388494.911095701"/>
    <n v="117522.73671300001"/>
    <n v="8164048.9433654696"/>
    <n v="840706060.81542897"/>
    <n v="719899204"/>
    <n v="2077991.0056575399"/>
    <n v="1431.996472"/>
    <n v="785187.73139199999"/>
    <n v="241045976.63904101"/>
    <n v="1231111316"/>
    <n v="3553606.15402378"/>
    <n v="11560.447918"/>
    <n v="233589.120452"/>
    <n v="12543498.274667"/>
  </r>
  <r>
    <x v="20"/>
    <n v="1"/>
    <n v="9784033358.1736393"/>
    <n v="29065670.706480399"/>
    <n v="116696.532429"/>
    <n v="8083710.4916663095"/>
    <n v="821840788.67851305"/>
    <n v="699439023"/>
    <n v="2043589.7358733099"/>
    <n v="1517.5217560000001"/>
    <n v="754475.26590999996"/>
    <n v="230878087.832578"/>
    <n v="1170789993"/>
    <n v="3420761.9733535899"/>
    <n v="10361.505322000001"/>
    <n v="212707.56314300001"/>
    <n v="16314217.807217"/>
  </r>
  <r>
    <x v="21"/>
    <n v="1"/>
    <n v="10190767516.467699"/>
    <n v="27851075.460798498"/>
    <n v="82164.821261999998"/>
    <n v="8138301.0075135399"/>
    <n v="788693027.36467099"/>
    <n v="714435431"/>
    <n v="1919596.51512708"/>
    <n v="1949.610122"/>
    <n v="768099.49381799996"/>
    <n v="209808504.64825499"/>
    <n v="1278142091"/>
    <n v="3434204.12434843"/>
    <n v="10485.056906"/>
    <n v="222929.26436999999"/>
    <n v="10393195.100617001"/>
  </r>
  <r>
    <x v="22"/>
    <n v="1"/>
    <n v="10497236559.8888"/>
    <n v="27674249.3401094"/>
    <n v="116016.396064999"/>
    <n v="8153478.0504592704"/>
    <n v="712725398.98604798"/>
    <n v="701714272"/>
    <n v="1819468.1255995999"/>
    <n v="1991.7854580000001"/>
    <n v="824176.28329299996"/>
    <n v="180622223.623072"/>
    <n v="1318210717"/>
    <n v="3417975.7746259701"/>
    <n v="10524.072805"/>
    <n v="230071.434863"/>
    <n v="5618268.4093869999"/>
  </r>
  <r>
    <x v="23"/>
    <n v="1"/>
    <n v="10367692166.2318"/>
    <n v="27351588.711812399"/>
    <n v="112800.196966"/>
    <n v="8224472.0723769497"/>
    <n v="642577634.41247904"/>
    <n v="686610905"/>
    <n v="1782155.1249772799"/>
    <n v="2402.4847909999999"/>
    <n v="838027.07740499999"/>
    <n v="161532401.375586"/>
    <n v="1298468856"/>
    <n v="3370282.8042671299"/>
    <n v="10417.736444"/>
    <n v="223935.85748100001"/>
    <n v="7269241.6148070004"/>
  </r>
  <r>
    <x v="24"/>
    <n v="1"/>
    <n v="10335969284.553801"/>
    <n v="26855826.814666301"/>
    <n v="106644.786706999"/>
    <n v="8533950.2698756307"/>
    <n v="608773999.24607301"/>
    <n v="656884425"/>
    <n v="1687824.5201572401"/>
    <n v="1679.4958690000001"/>
    <n v="873507.61137699999"/>
    <n v="143112469.37533399"/>
    <n v="1361422302"/>
    <n v="3498091.68272566"/>
    <n v="16291.968439"/>
    <n v="201485.967397"/>
    <n v="6750579.436032"/>
  </r>
  <r>
    <x v="25"/>
    <n v="1"/>
    <n v="9103927342.9723797"/>
    <n v="25240929.518022802"/>
    <n v="105257.88761799999"/>
    <n v="8870583.4570568893"/>
    <n v="633523772.47261202"/>
    <n v="658848886"/>
    <n v="1803237.50171059"/>
    <n v="1679.4958690000001"/>
    <n v="873507.61137699999"/>
    <n v="143112469.37533399"/>
    <n v="1402956414"/>
    <n v="3839823.7786353501"/>
    <n v="16291.968439"/>
    <n v="201485.967397"/>
    <n v="6750579.436032"/>
  </r>
  <r>
    <x v="26"/>
    <n v="1"/>
    <n v="9198477069.0399494"/>
    <n v="25512278.973895401"/>
    <n v="101141.32997599999"/>
    <n v="8894350.3488416392"/>
    <n v="565935884.84938395"/>
    <n v="669096146"/>
    <n v="1832788.6323170899"/>
    <n v="3123.738488"/>
    <n v="933764.97633800004"/>
    <n v="142645420.507002"/>
    <n v="1384861314"/>
    <n v="3793413.0824225401"/>
    <n v="16870.878574999999"/>
    <n v="259280.994179"/>
    <n v="12998518.370445"/>
  </r>
  <r>
    <x v="27"/>
    <n v="1"/>
    <n v="9587431202.5587101"/>
    <n v="25639687.5194925"/>
    <n v="100816.27010199999"/>
    <n v="8817344.6108575203"/>
    <n v="572260295.91212499"/>
    <n v="670148628"/>
    <n v="1771239.9312805601"/>
    <n v="3123.738488"/>
    <n v="933764.97633800004"/>
    <n v="142645420.507002"/>
    <n v="1482079845"/>
    <n v="3917219.0960750598"/>
    <n v="16870.878574999999"/>
    <n v="259280.994179"/>
    <n v="12998518.370445"/>
  </r>
  <r>
    <x v="28"/>
    <n v="1"/>
    <n v="9323191136.8030605"/>
    <n v="25538787.659401599"/>
    <n v="98491.945395999996"/>
    <n v="8540120.7346476801"/>
    <n v="681094888.99922502"/>
    <n v="640706231"/>
    <n v="1734685.8833085101"/>
    <n v="3243.2365949999999"/>
    <n v="955012.68236700003"/>
    <n v="111198637.858464"/>
    <n v="1510254588"/>
    <n v="4088952.45160416"/>
    <n v="17777.566758000001"/>
    <n v="214106.53146100001"/>
    <n v="4880753.1349520003"/>
  </r>
  <r>
    <x v="29"/>
    <n v="1"/>
    <n v="10443616356.909"/>
    <n v="27041967.097815201"/>
    <n v="96089.886476999993"/>
    <n v="8479718.0823883191"/>
    <n v="653889395.21560895"/>
    <n v="644814809"/>
    <n v="1651550.3649821901"/>
    <n v="3243.2365949999999"/>
    <n v="955012.68236700003"/>
    <n v="111198637.858464"/>
    <n v="1565986769"/>
    <n v="4010928.3840893302"/>
    <n v="17777.566758000001"/>
    <n v="214106.53146100001"/>
    <n v="4880753.1349520003"/>
  </r>
  <r>
    <x v="30"/>
    <n v="1"/>
    <n v="9392773126.9186993"/>
    <n v="25245275.717890799"/>
    <n v="92042.177817999996"/>
    <n v="8479705.3238661401"/>
    <n v="599316580.53660095"/>
    <n v="629849206"/>
    <n v="1673128.45264975"/>
    <n v="2756.814871"/>
    <n v="918258.54786100006"/>
    <n v="113342868.38080201"/>
    <n v="1500333900"/>
    <n v="3985479.87780581"/>
    <n v="17810.439480000001"/>
    <n v="147393.335701"/>
    <n v="2030344.71272"/>
  </r>
  <r>
    <x v="31"/>
    <n v="1"/>
    <n v="9244704829.1322308"/>
    <n v="25197308.562336501"/>
    <n v="94471.961610999904"/>
    <n v="7373812.7270644596"/>
    <n v="494153847.86604899"/>
    <n v="614696306"/>
    <n v="1657712.32167417"/>
    <n v="2756.814871"/>
    <n v="918258.54786100006"/>
    <n v="113342868.38080201"/>
    <n v="1548282764"/>
    <n v="4175407.2543890402"/>
    <n v="17810.439480000001"/>
    <n v="147393.335701"/>
    <n v="2030344.71272"/>
  </r>
  <r>
    <x v="32"/>
    <n v="1"/>
    <n v="8518506680.62008"/>
    <n v="24366658.4863551"/>
    <n v="95223.579679999995"/>
    <n v="7468885.7717137598"/>
    <n v="446883166.372868"/>
    <n v="601608023"/>
    <n v="1699553.7120741201"/>
    <n v="2338.2264850000001"/>
    <n v="883155.19716800004"/>
    <n v="140375516.91102701"/>
    <n v="1442875157"/>
    <n v="4076148.81349228"/>
    <n v="17262.800069000001"/>
    <n v="150567.15101900001"/>
    <n v="4679702.0224580001"/>
  </r>
  <r>
    <x v="33"/>
    <n v="1"/>
    <n v="8032091228.74963"/>
    <n v="24074364.525271598"/>
    <n v="90704.223683000004"/>
    <n v="5856381.8268091204"/>
    <n v="378011958.23416603"/>
    <n v="589070930"/>
    <n v="1739108.7919225299"/>
    <n v="2338.2264850000001"/>
    <n v="883155.19716800004"/>
    <n v="140375516.91102701"/>
    <n v="1323011673"/>
    <n v="3905915.4257203499"/>
    <n v="17262.800069000001"/>
    <n v="150567.15101900001"/>
    <n v="4679702.0224580001"/>
  </r>
  <r>
    <x v="34"/>
    <n v="1"/>
    <n v="8315982251.2062702"/>
    <n v="23908764.539790399"/>
    <n v="88357.142376000003"/>
    <n v="5781164.2568543097"/>
    <n v="365375387.13768297"/>
    <n v="609393224"/>
    <n v="1725837.5077881599"/>
    <n v="2259.4313999999999"/>
    <n v="852698.877385"/>
    <n v="138515730.60759199"/>
    <n v="1369199400"/>
    <n v="3877653.3559897998"/>
    <n v="16396.677108"/>
    <n v="141240.32479000001"/>
    <n v="3316852.1237309999"/>
  </r>
  <r>
    <x v="35"/>
    <n v="1"/>
    <n v="8242322227.2066603"/>
    <n v="23519312.135785799"/>
    <n v="88272.420968000006"/>
    <n v="5944157.9182337197"/>
    <n v="370608956.412884"/>
    <n v="609579663"/>
    <n v="1714421.37192035"/>
    <n v="2259.4313999999999"/>
    <n v="852698.877385"/>
    <n v="138515730.60759199"/>
    <n v="1385446939"/>
    <n v="3896520.8094273801"/>
    <n v="16396.677108"/>
    <n v="141240.32479000001"/>
    <n v="3316852.1237309999"/>
  </r>
  <r>
    <x v="36"/>
    <n v="1"/>
    <n v="7740856973.2575798"/>
    <n v="23245336.932911102"/>
    <n v="85577.249777000005"/>
    <n v="5926536.9388555698"/>
    <n v="385965482.33205903"/>
    <n v="624970502"/>
    <n v="1849517.6289544499"/>
    <n v="2298.0730950000002"/>
    <n v="828136.45522600005"/>
    <n v="133232393.963328"/>
    <n v="1327067253"/>
    <n v="3927280.2018288798"/>
    <n v="17704.888312999999"/>
    <n v="80107.744225999995"/>
    <n v="2212291.3209759998"/>
  </r>
  <r>
    <x v="37"/>
    <n v="1"/>
    <n v="9035324249.4992199"/>
    <n v="23534459.175008301"/>
    <n v="85837.337476999994"/>
    <n v="5793059.1625391496"/>
    <n v="385894979.01850802"/>
    <n v="646469448"/>
    <n v="1663543.00712796"/>
    <n v="2298.0730950000002"/>
    <n v="828136.45522600005"/>
    <n v="133232393.963328"/>
    <n v="1475397119"/>
    <n v="3796601.01129667"/>
    <n v="17704.888312999999"/>
    <n v="80107.744225999995"/>
    <n v="2212291.3209759998"/>
  </r>
  <r>
    <x v="38"/>
    <n v="1"/>
    <n v="8783888986.2652206"/>
    <n v="22988670.429179002"/>
    <n v="83350.529194999894"/>
    <n v="5781503.1831181496"/>
    <n v="449363240.04005897"/>
    <n v="655979263"/>
    <n v="1690886.1013017099"/>
    <n v="1649.167682"/>
    <n v="828301.65917899995"/>
    <n v="136425938.36805499"/>
    <n v="1383542678"/>
    <n v="3566291.2179404502"/>
    <n v="17569.511622999999"/>
    <n v="56664.301105999999"/>
    <n v="3709900.4876290001"/>
  </r>
  <r>
    <x v="39"/>
    <n v="1"/>
    <n v="9537133174.8493805"/>
    <n v="21967624.503731899"/>
    <n v="82827.921743999905"/>
    <n v="5074259.0238346998"/>
    <n v="438817008.83775401"/>
    <n v="730576231"/>
    <n v="1657424.6942988699"/>
    <n v="1649.167682"/>
    <n v="828301.65917899995"/>
    <n v="136425938.36805499"/>
    <n v="1513924291"/>
    <n v="3434570.4099457702"/>
    <n v="17569.511622999999"/>
    <n v="56664.301105999999"/>
    <n v="3709900.4876290001"/>
  </r>
  <r>
    <x v="40"/>
    <n v="1"/>
    <n v="9732925578.7590294"/>
    <n v="20879877.445864499"/>
    <n v="77272.483720999997"/>
    <n v="5063340.4728165902"/>
    <n v="431487492.96292698"/>
    <n v="778292032"/>
    <n v="1644221.04573782"/>
    <n v="1137.8082730000001"/>
    <n v="805399.81316699996"/>
    <n v="146067271.373564"/>
    <n v="1559508420"/>
    <n v="3294620.0908418698"/>
    <n v="17892.690218"/>
    <n v="114396.986699"/>
    <n v="2912407.5973880002"/>
  </r>
  <r>
    <x v="41"/>
    <n v="1"/>
    <n v="9659385859.2618408"/>
    <n v="22591762.942653701"/>
    <n v="77002.597773000001"/>
    <n v="5115822.13548721"/>
    <n v="442661628.13000602"/>
    <n v="766735386"/>
    <n v="1766549.2846116601"/>
    <n v="1137.8082730000001"/>
    <n v="805399.81316699996"/>
    <n v="146067271.373564"/>
    <n v="1519125624"/>
    <n v="3500047.5174527098"/>
    <n v="17892.690218"/>
    <n v="114396.986699"/>
    <n v="2912407.5973880002"/>
  </r>
  <r>
    <x v="42"/>
    <n v="1"/>
    <n v="9377941795.3967705"/>
    <n v="22223397.170119401"/>
    <n v="73593.619821"/>
    <n v="5173547.2419814803"/>
    <n v="439315245.805188"/>
    <n v="784803313"/>
    <n v="1830914.7839678901"/>
    <n v="1169.848041"/>
    <n v="796440.25633999996"/>
    <n v="130007635.12401"/>
    <n v="1696875150"/>
    <n v="3958741.9512877902"/>
    <n v="14869.897376000001"/>
    <n v="145718.03998599999"/>
    <n v="3093894.6833509998"/>
  </r>
  <r>
    <x v="43"/>
    <n v="1"/>
    <n v="8906001222.4972305"/>
    <n v="22550338.8866749"/>
    <n v="72549.453815999994"/>
    <n v="5564187.8789731897"/>
    <n v="496899755.540649"/>
    <n v="792284738"/>
    <n v="1973311.9252801901"/>
    <n v="1175.9528780000001"/>
    <n v="788978.88412900001"/>
    <n v="141582833.88915101"/>
    <n v="1662898429"/>
    <n v="4141714.6425902802"/>
    <n v="14955.835314"/>
    <n v="64807.891603999997"/>
    <n v="3215053.565105"/>
  </r>
  <r>
    <x v="44"/>
    <n v="1"/>
    <n v="8564002447.5954399"/>
    <n v="21948787.9858924"/>
    <n v="70321.486810000002"/>
    <n v="5615924.7898580004"/>
    <n v="494502397.72298503"/>
    <n v="801701066"/>
    <n v="2019652.5154301501"/>
    <n v="1174.040602"/>
    <n v="772058.80060199997"/>
    <n v="134069449.056401"/>
    <n v="1550517295"/>
    <n v="3906077.0751983798"/>
    <n v="14792.262833000001"/>
    <n v="90628.612276999993"/>
    <n v="4534859.1787679996"/>
  </r>
  <r>
    <x v="45"/>
    <n v="1"/>
    <n v="7341491035.7103701"/>
    <n v="19471523.574253298"/>
    <n v="67175.561497999995"/>
    <n v="5007586.2687293403"/>
    <n v="454385112.85078698"/>
    <n v="758119048"/>
    <n v="1972419.2111561999"/>
    <n v="1098.1020100000001"/>
    <n v="840737.31566700002"/>
    <n v="144895832.74028"/>
    <n v="1457799992"/>
    <n v="3792798.3973358301"/>
    <n v="13635.157519"/>
    <n v="239147.16808999999"/>
    <n v="2256690.0551590002"/>
  </r>
  <r>
    <x v="46"/>
    <n v="1"/>
    <n v="7489652581.0247498"/>
    <n v="19644704.745239299"/>
    <n v="63409.299896999997"/>
    <n v="4848302.3515499597"/>
    <n v="472680956.39241701"/>
    <n v="798326845"/>
    <n v="2054366.55944415"/>
    <n v="909.349693"/>
    <n v="726023.41906999995"/>
    <n v="150008288.86789799"/>
    <n v="1486505706"/>
    <n v="3825284.8841996901"/>
    <n v="12243.589717000001"/>
    <n v="160491.07026099999"/>
    <n v="5219880.4983599996"/>
  </r>
  <r>
    <x v="47"/>
    <n v="1"/>
    <n v="7112289089.29673"/>
    <n v="18803182.4751346"/>
    <n v="61368.482235000003"/>
    <n v="6520212.8968963102"/>
    <n v="560114739.23465097"/>
    <n v="790522868"/>
    <n v="2047562.3394115199"/>
    <n v="1119.7117499999999"/>
    <n v="745402.37216100004"/>
    <n v="168358160.89573401"/>
    <n v="1434993397"/>
    <n v="3716829.1468089502"/>
    <n v="9661.0501199999999"/>
    <n v="185562.367046"/>
    <n v="17875831.176716"/>
  </r>
  <r>
    <x v="48"/>
    <n v="1"/>
    <n v="7080549505.4539804"/>
    <n v="17693550.357195199"/>
    <n v="59737.157231999998"/>
    <n v="6723870.34103096"/>
    <n v="532812652.80303198"/>
    <n v="821373287"/>
    <n v="2009525.0941919"/>
    <n v="1330.8882249999999"/>
    <n v="832096.48592699994"/>
    <n v="167778278.20408201"/>
    <n v="1392333042"/>
    <n v="3406402.7058765902"/>
    <n v="9191.2850789999993"/>
    <n v="149830.22651899999"/>
    <n v="8963190.5171680003"/>
  </r>
  <r>
    <x v="49"/>
    <n v="1"/>
    <n v="6940006301.5135803"/>
    <n v="18108955.682979099"/>
    <n v="58686.381014999897"/>
    <n v="6563406.2793126702"/>
    <n v="589810790.17578995"/>
    <n v="793142580"/>
    <n v="2025803.48385778"/>
    <n v="1310.800559"/>
    <n v="843406.76745499996"/>
    <n v="176794696.936609"/>
    <n v="1334790891"/>
    <n v="3409253.3995709"/>
    <n v="8077.5168059999996"/>
    <n v="118365.21030200001"/>
    <n v="3980416.5392410001"/>
  </r>
  <r>
    <x v="50"/>
    <n v="1"/>
    <n v="6998169989.8790598"/>
    <n v="18079817.312360901"/>
    <n v="55727.480497999997"/>
    <n v="6182687.3000785597"/>
    <n v="596528774.54608405"/>
    <n v="804180625"/>
    <n v="2033635.00151729"/>
    <n v="1158.2571820000001"/>
    <n v="864981.69709200005"/>
    <n v="189987106.38811699"/>
    <n v="1368386578"/>
    <n v="3460415.1780295302"/>
    <n v="7847.4587670000001"/>
    <n v="125878.692776"/>
    <n v="4906066.2106699999"/>
  </r>
  <r>
    <x v="51"/>
    <n v="1"/>
    <n v="6719355069.2797699"/>
    <n v="17681687.349987101"/>
    <n v="52595.249797999997"/>
    <n v="6843280.7261447599"/>
    <n v="645436491.28976405"/>
    <n v="781044278"/>
    <n v="2011445.4751480799"/>
    <n v="1046.6761590000001"/>
    <n v="889425.10479000001"/>
    <n v="188649197.93924999"/>
    <n v="1285466878"/>
    <n v="3310499.2995106801"/>
    <n v="5458.7660720000003"/>
    <n v="132732.85305100001"/>
    <n v="8705699.7488359995"/>
  </r>
  <r>
    <x v="52"/>
    <n v="1"/>
    <n v="6957295876.3461304"/>
    <n v="17084398.3005624"/>
    <n v="51686.372828"/>
    <n v="6633682.7824406"/>
    <n v="652080685.92082202"/>
    <n v="795222000"/>
    <n v="1911499.44714196"/>
    <n v="1050.9367219999999"/>
    <n v="933047.26686800004"/>
    <n v="197984058.38414401"/>
    <n v="1286055831"/>
    <n v="3091331.7412624299"/>
    <n v="4782.458509"/>
    <n v="158256.74802999999"/>
    <n v="10003536.502578"/>
  </r>
  <r>
    <x v="53"/>
    <n v="1"/>
    <n v="6582572698.7983503"/>
    <n v="16510199.1363023"/>
    <n v="52180.965254000002"/>
    <n v="6473864.2873873701"/>
    <n v="627207283.415411"/>
    <n v="720683210"/>
    <n v="1768330.7814992"/>
    <n v="752.75940200000002"/>
    <n v="962283.53290899994"/>
    <n v="206556915.69260699"/>
    <n v="1206117122"/>
    <n v="2959433.4977303399"/>
    <n v="4947.8921319999999"/>
    <n v="141910.817614"/>
    <n v="14754478.492629999"/>
  </r>
  <r>
    <x v="54"/>
    <n v="1"/>
    <n v="6522562024.7669601"/>
    <n v="15725317.5579175"/>
    <n v="53028.853521999998"/>
    <n v="6422616.2486481899"/>
    <n v="625935187.78418899"/>
    <n v="730170103"/>
    <n v="1720841.1373759699"/>
    <n v="802.80211499999996"/>
    <n v="946744.00991300005"/>
    <n v="204505488.59223601"/>
    <n v="1125388225"/>
    <n v="2652278.34602059"/>
    <n v="4210.8481760000004"/>
    <n v="202179.96987599999"/>
    <n v="17123971.885669999"/>
  </r>
  <r>
    <x v="55"/>
    <n v="1"/>
    <n v="6530674886.3454199"/>
    <n v="15485492.1413489"/>
    <n v="53546.690979519903"/>
    <n v="6028115.2398746898"/>
    <n v="624173561.09414697"/>
    <n v="748111988"/>
    <n v="1735798.9466112901"/>
    <n v="924.08880499999998"/>
    <n v="938466.21088100004"/>
    <n v="213883435.191697"/>
    <n v="1134211703"/>
    <n v="2631642.7364904"/>
    <n v="4375.2508930000004"/>
    <n v="201285.09003399999"/>
    <n v="17465391.845522001"/>
  </r>
  <r>
    <x v="56"/>
    <n v="1"/>
    <n v="6355642626.4162102"/>
    <n v="15158228.977790199"/>
    <n v="51880.657910000002"/>
    <n v="5510624.1606910704"/>
    <n v="582796726.61307299"/>
    <n v="766876676"/>
    <n v="1790972.8765267699"/>
    <n v="999.565428"/>
    <n v="936817.51115799998"/>
    <n v="207433648.35913301"/>
    <n v="1079622064"/>
    <n v="2521362.1616572002"/>
    <n v="5550.4601540000003"/>
    <n v="201310.24671899999"/>
    <n v="15149345.82722"/>
  </r>
  <r>
    <x v="57"/>
    <n v="1"/>
    <n v="6020949671.7491302"/>
    <n v="14269919.031061601"/>
    <n v="43223.455720999897"/>
    <n v="5152204.8994062403"/>
    <n v="529973244.06655699"/>
    <n v="742596237"/>
    <n v="1721363.55354659"/>
    <n v="973.777781"/>
    <n v="930481.76854099997"/>
    <n v="189316646.68619901"/>
    <n v="1026677947"/>
    <n v="2379874.7032916001"/>
    <n v="5593.2216989999997"/>
    <n v="181639.50051099999"/>
    <n v="4473126.8847549995"/>
  </r>
  <r>
    <x v="58"/>
    <n v="1"/>
    <n v="5831779375.5348997"/>
    <n v="13696501.4853417"/>
    <n v="40513.826550999998"/>
    <n v="5022363.4350021305"/>
    <n v="570730617.421839"/>
    <n v="791861598"/>
    <n v="1817905.8242843"/>
    <n v="954.42537500000003"/>
    <n v="909698.22834599996"/>
    <n v="216737718.43997499"/>
    <n v="957475175"/>
    <n v="2198111.0103537701"/>
    <n v="5318.7380279999998"/>
    <n v="170737.14669299999"/>
    <n v="20271498.549474999"/>
  </r>
  <r>
    <x v="59"/>
    <n v="1"/>
    <n v="5053397290.4962397"/>
    <n v="12312881.898884401"/>
    <n v="37210.083251999997"/>
    <n v="4692111.2079051901"/>
    <n v="545365415.77151299"/>
    <n v="911615582"/>
    <n v="2163815.7654877701"/>
    <n v="1099.9509760000001"/>
    <n v="907012.10490200005"/>
    <n v="215610347.33588099"/>
    <n v="529581014"/>
    <n v="1257016.4111084701"/>
    <n v="5056.2547249999998"/>
    <n v="156292.57503400001"/>
    <n v="22810379.974422999"/>
  </r>
  <r>
    <x v="60"/>
    <n v="1"/>
    <n v="4783939365.9667797"/>
    <n v="12665933.661859101"/>
    <n v="36834.185579999998"/>
    <n v="4643428.9915587101"/>
    <n v="546616322.97906697"/>
    <n v="827500814"/>
    <n v="2134990.1029438302"/>
    <n v="883.67109800000003"/>
    <n v="899493.87971000001"/>
    <n v="213271597.33427399"/>
    <n v="543319762"/>
    <n v="1401789.93782089"/>
    <n v="6002.4802099999997"/>
    <n v="170131.47156899999"/>
    <n v="30671586.893410001"/>
  </r>
  <r>
    <x v="61"/>
    <n v="1"/>
    <n v="4742352836.2364798"/>
    <n v="12818667.255914399"/>
    <n v="36611.4089429999"/>
    <n v="4609405.2737203902"/>
    <n v="536661711.384615"/>
    <n v="843228008"/>
    <n v="2221476.3896938702"/>
    <n v="888.43593599999997"/>
    <n v="903823.05135199998"/>
    <n v="212798614.07384399"/>
    <n v="539574410"/>
    <n v="1421503.7936666801"/>
    <n v="5196.6212750000004"/>
    <n v="156564.899947"/>
    <n v="29060698.872618001"/>
  </r>
  <r>
    <x v="62"/>
    <n v="1"/>
    <n v="4868145062.9994602"/>
    <n v="12603248.820790499"/>
    <n v="36645.843745999999"/>
    <n v="4560324.8580518104"/>
    <n v="517474804.26105899"/>
    <n v="856732327"/>
    <n v="2167954.67128903"/>
    <n v="676.32376299999999"/>
    <n v="903009.97154900001"/>
    <n v="198914219.798585"/>
    <n v="545139060"/>
    <n v="1379470.2667139"/>
    <n v="3575.1662249999999"/>
    <n v="144094.00907"/>
    <n v="27894504.284756001"/>
  </r>
  <r>
    <x v="63"/>
    <n v="1"/>
    <n v="4702250346.8147802"/>
    <n v="12266737.601970101"/>
    <n v="34669.140159000002"/>
    <n v="4432498.5697614998"/>
    <n v="472218768.39618403"/>
    <n v="810652463"/>
    <n v="2079555.85398389"/>
    <n v="695.57479599999999"/>
    <n v="891734.789873"/>
    <n v="195794879.526512"/>
    <n v="586631413"/>
    <n v="1504877.66918064"/>
    <n v="4745.4627220000002"/>
    <n v="132388.13925899999"/>
    <n v="25552363.108087"/>
  </r>
  <r>
    <x v="64"/>
    <n v="1"/>
    <n v="4664131202.3321199"/>
    <n v="12050263.223004"/>
    <n v="34159.406023000003"/>
    <n v="4430557.2534597795"/>
    <n v="481691834.913302"/>
    <n v="812632736"/>
    <n v="2064248.57367846"/>
    <n v="588.569839"/>
    <n v="915092.56564799999"/>
    <n v="207033583.211741"/>
    <n v="565325669"/>
    <n v="1436039.4975487001"/>
    <n v="5921.6837880000003"/>
    <n v="141155.620192"/>
    <n v="25596803.484469"/>
  </r>
  <r>
    <x v="65"/>
    <n v="1"/>
    <n v="4517722011.5742197"/>
    <n v="12117667.5673538"/>
    <n v="32502.448602"/>
    <n v="4443885.4493111698"/>
    <n v="478047061.331873"/>
    <n v="777264935"/>
    <n v="2048992.8164707101"/>
    <n v="2221.3545060000001"/>
    <n v="950400.77510700002"/>
    <n v="202948547.88126799"/>
    <n v="523658486"/>
    <n v="1380446.26456477"/>
    <n v="1466.531508"/>
    <n v="142674.28374000001"/>
    <n v="25211301.160473999"/>
  </r>
  <r>
    <x v="66"/>
    <n v="1"/>
    <n v="4569155135.5358696"/>
    <n v="11824625.38053"/>
    <n v="31498.180319999999"/>
    <n v="4456109.99237624"/>
    <n v="460386650.16673201"/>
    <n v="799813083"/>
    <n v="2032406.8889284099"/>
    <n v="349.61138299999999"/>
    <n v="992826.74941299995"/>
    <n v="196013155.52791399"/>
    <n v="514119455"/>
    <n v="1306430.14509694"/>
    <n v="3110.2866549999999"/>
    <n v="144210.53130900001"/>
    <n v="25164817.160741001"/>
  </r>
  <r>
    <x v="67"/>
    <n v="1"/>
    <n v="4597474302.74891"/>
    <n v="11728185.2515282"/>
    <n v="28819.354750999999"/>
    <n v="4567239.4397489699"/>
    <n v="481106717.015818"/>
    <n v="823322936"/>
    <n v="2062638.88165146"/>
    <n v="613.56667000000004"/>
    <n v="1025205.358718"/>
    <n v="201019437.143334"/>
    <n v="481558886"/>
    <n v="1206430.7195109699"/>
    <n v="3625.8112219999998"/>
    <n v="136093.306507"/>
    <n v="23677115.389329001"/>
  </r>
  <r>
    <x v="68"/>
    <n v="1"/>
    <n v="4398654701.8455801"/>
    <n v="11518241.245146099"/>
    <n v="26658.155231000001"/>
    <n v="4532398.28191364"/>
    <n v="525580373.019122"/>
    <n v="816928141"/>
    <n v="2100774.4001851501"/>
    <n v="804.97932000000003"/>
    <n v="1012646.648577"/>
    <n v="247468472.123027"/>
    <n v="485981223"/>
    <n v="1249726.7030112799"/>
    <n v="2434.3405240000002"/>
    <n v="125519.14876700001"/>
    <n v="1957532.1257269999"/>
  </r>
  <r>
    <x v="69"/>
    <n v="1"/>
    <n v="4344557030.7208996"/>
    <n v="11448413.017047299"/>
    <n v="25994.7247399999"/>
    <n v="4406575.3409222998"/>
    <n v="525768844.90158999"/>
    <n v="810050939"/>
    <n v="2095483.19579894"/>
    <n v="850.34545400000002"/>
    <n v="955440.79605200002"/>
    <n v="255621916.03128001"/>
    <n v="481790719"/>
    <n v="1246322.0606875799"/>
    <n v="2803.3801100000001"/>
    <n v="87803.436482000005"/>
    <n v="5329297.7295310004"/>
  </r>
  <r>
    <x v="70"/>
    <n v="1"/>
    <n v="4229211556.8432698"/>
    <n v="11595472.520049499"/>
    <n v="25772.889563999899"/>
    <n v="4475506.9933243897"/>
    <n v="486309143.24900198"/>
    <n v="751839481"/>
    <n v="2023358.3104580401"/>
    <n v="815.51240700000005"/>
    <n v="998114.975661"/>
    <n v="254608278.61091501"/>
    <n v="532812563"/>
    <n v="1433910.7675332299"/>
    <n v="2779.9129979999998"/>
    <n v="83387.036718999996"/>
    <n v="5953097.7842579996"/>
  </r>
  <r>
    <x v="71"/>
    <n v="1"/>
    <n v="4251461792.1864901"/>
    <n v="11209472.2875681"/>
    <n v="24876.500550999899"/>
    <n v="4460803.4499575105"/>
    <n v="459240388.82206601"/>
    <n v="762798800"/>
    <n v="1971922.5499573399"/>
    <n v="900.48366099999998"/>
    <n v="967249.89818100003"/>
    <n v="252137757.55324599"/>
    <n v="493909415"/>
    <n v="1276812.5920947101"/>
    <n v="2810.6439879999998"/>
    <n v="122249.10892699999"/>
    <n v="3264458.139525"/>
  </r>
  <r>
    <x v="72"/>
    <n v="1"/>
    <n v="4046490232.8014202"/>
    <n v="11914274.9473258"/>
    <n v="21781.2764399999"/>
    <n v="4453709.7702120803"/>
    <n v="442544133.68202102"/>
    <n v="698263732"/>
    <n v="2015365.63627442"/>
    <n v="828.93947500000002"/>
    <n v="949316.46265600005"/>
    <n v="213350711.27688101"/>
    <n v="491379310"/>
    <n v="1418244.89854821"/>
    <n v="3616.194328"/>
    <n v="118471.946102"/>
    <n v="5262005.8010860002"/>
  </r>
  <r>
    <x v="73"/>
    <n v="1"/>
    <n v="3949737824.04916"/>
    <n v="11938630.984905099"/>
    <n v="21645.019550000001"/>
    <n v="4396596.2477538101"/>
    <n v="411720905.08043599"/>
    <n v="738807260"/>
    <n v="2208361.2613959"/>
    <n v="1617.6173570000001"/>
    <n v="958363.67700200004"/>
    <n v="213804250.05504599"/>
    <n v="461063179"/>
    <n v="1378159.25571663"/>
    <n v="3637.062934"/>
    <n v="112063.94934200001"/>
    <n v="3859582.8573019998"/>
  </r>
  <r>
    <x v="74"/>
    <n v="1"/>
    <n v="3836686905.7996702"/>
    <n v="12178889.957620399"/>
    <n v="21585.346503000001"/>
    <n v="4373150.4992771205"/>
    <n v="422408141.81417602"/>
    <n v="773225338"/>
    <n v="2427328.0113011999"/>
    <n v="1615.3536059999999"/>
    <n v="966963.47894499998"/>
    <n v="212832819.66780901"/>
    <n v="419934730"/>
    <n v="1318269.4396484001"/>
    <n v="3579.9922329999999"/>
    <n v="108446.597127"/>
    <n v="4145800.5482339999"/>
  </r>
  <r>
    <x v="75"/>
    <n v="1"/>
    <n v="3729049156.4832301"/>
    <n v="11929313.4415235"/>
    <n v="21357.659889999999"/>
    <n v="4259670.8342897901"/>
    <n v="420417694.609483"/>
    <n v="790473582"/>
    <n v="2500628.20537154"/>
    <n v="1796.2129789999999"/>
    <n v="984794.51845700003"/>
    <n v="201428023.041529"/>
    <n v="388463195"/>
    <n v="1228886.1314099501"/>
    <n v="2506.445796"/>
    <n v="85897.624834000002"/>
    <n v="3298308.693951"/>
  </r>
  <r>
    <x v="76"/>
    <n v="1"/>
    <n v="3646502003.7637501"/>
    <n v="11508872.0280811"/>
    <n v="20297.299447000001"/>
    <n v="4237240.11811997"/>
    <n v="423936698.74813902"/>
    <n v="782608208"/>
    <n v="2441835.28237129"/>
    <n v="1919.7016839999999"/>
    <n v="979986.43648999999"/>
    <n v="217284716.69459799"/>
    <n v="373483979"/>
    <n v="1165316.6271450799"/>
    <n v="2507.442982"/>
    <n v="84449.194824999999"/>
    <n v="4070822.635665"/>
  </r>
  <r>
    <x v="77"/>
    <n v="1"/>
    <n v="3689061232.8194499"/>
    <n v="12022778.3863995"/>
    <n v="19395.187689389899"/>
    <n v="4194246.9008001802"/>
    <n v="414841813.248501"/>
    <n v="722414009"/>
    <n v="2330442.9465466598"/>
    <n v="1925.685792"/>
    <n v="986114.38373500004"/>
    <n v="219157827.417438"/>
    <n v="468353814"/>
    <n v="1510867.4924997501"/>
    <n v="2525.9019899999998"/>
    <n v="84434.111430999998"/>
    <n v="4741011.1333990004"/>
  </r>
  <r>
    <x v="78"/>
    <n v="1"/>
    <n v="3718037825.5095301"/>
    <n v="12442200.5798734"/>
    <n v="19085.896055519999"/>
    <n v="4177294.92019141"/>
    <n v="370435735.23316503"/>
    <n v="587882207"/>
    <n v="1947984.3831803501"/>
    <n v="1931.629052"/>
    <n v="978528.94616699999"/>
    <n v="218705691.726583"/>
    <n v="608994196"/>
    <n v="2017940.2763511001"/>
    <n v="2475.1082200000001"/>
    <n v="82480.054963999995"/>
    <n v="6066464.417568"/>
  </r>
  <r>
    <x v="79"/>
    <n v="1"/>
    <n v="3588570203.3491702"/>
    <n v="13035188.971989401"/>
    <n v="18870.088150949901"/>
    <n v="4203530.30300094"/>
    <n v="292934219.58768898"/>
    <n v="583535177"/>
    <n v="2098217.1694653099"/>
    <n v="1946.1951690000001"/>
    <n v="1029671.96626"/>
    <n v="173692900.54515299"/>
    <n v="557774994"/>
    <n v="2005591.2912157001"/>
    <n v="2832.2653260000002"/>
    <n v="80904.966652000003"/>
    <n v="4607616.3633059999"/>
  </r>
  <r>
    <x v="80"/>
    <n v="1"/>
    <n v="3542209544.2534499"/>
    <n v="13043264.2167401"/>
    <n v="18928.2065980999"/>
    <n v="4096226.4598303498"/>
    <n v="285838872.65364701"/>
    <n v="557842795"/>
    <n v="2032732.5547498399"/>
    <n v="1983.1253630000001"/>
    <n v="1003325.357437"/>
    <n v="151546577.898983"/>
    <n v="582086293"/>
    <n v="2121073.8366796598"/>
    <n v="2834.5684670000001"/>
    <n v="79894.738326999999"/>
    <n v="3059323.3691489999"/>
  </r>
  <r>
    <x v="81"/>
    <n v="1"/>
    <n v="3344262537.6683798"/>
    <n v="12885961.029663701"/>
    <n v="18917.753579999899"/>
    <n v="3949698.28909908"/>
    <n v="290013599.79897898"/>
    <n v="572424967"/>
    <n v="2179753.1205970799"/>
    <n v="1947.6487159999999"/>
    <n v="952898.57344399998"/>
    <n v="171232362.009168"/>
    <n v="519869544"/>
    <n v="1979625.84821598"/>
    <n v="2833.687617"/>
    <n v="77956.204014999996"/>
    <n v="2521784.2567039998"/>
  </r>
  <r>
    <x v="82"/>
    <n v="1"/>
    <n v="3087100018.5798402"/>
    <n v="12769320.658389101"/>
    <n v="18906.346643999899"/>
    <n v="3822552.0448956601"/>
    <n v="283755383.731098"/>
    <n v="571497569"/>
    <n v="2334167.4930566899"/>
    <n v="5026.8451260000002"/>
    <n v="982085.74023200001"/>
    <n v="143362340.85153499"/>
    <n v="483341145"/>
    <n v="1974110.21483417"/>
    <n v="2864.4754440000002"/>
    <n v="76624.139018999995"/>
    <n v="1291238.1309779999"/>
  </r>
  <r>
    <x v="83"/>
    <n v="1"/>
    <n v="2984910497.4002199"/>
    <n v="12780670.519864701"/>
    <n v="19099.267816999902"/>
    <n v="3749768.0132697099"/>
    <n v="272319718.329575"/>
    <n v="579165401"/>
    <n v="2447867.2907861299"/>
    <n v="4488.744369"/>
    <n v="930922.14698600001"/>
    <n v="153313989.35425499"/>
    <n v="428285452"/>
    <n v="1810166.7455621299"/>
    <n v="2819.4842239999998"/>
    <n v="70566.5484"/>
    <n v="1135594.0708039999"/>
  </r>
  <r>
    <x v="84"/>
    <n v="1"/>
    <n v="2892777333.2586002"/>
    <n v="12313100.453609901"/>
    <n v="19227.991179000001"/>
    <n v="3721685.6018923498"/>
    <n v="265327412.82954699"/>
    <n v="638260228"/>
    <n v="2680751.93414255"/>
    <n v="3960.3257629999998"/>
    <n v="907885.02043000003"/>
    <n v="162057077.62421799"/>
    <n v="359688284"/>
    <n v="1510724.0287286299"/>
    <n v="2778.759908"/>
    <n v="70247.118388999996"/>
    <n v="1019787.281691"/>
  </r>
  <r>
    <x v="85"/>
    <n v="1"/>
    <n v="2748925809.2220502"/>
    <n v="11799674.034879699"/>
    <n v="19615.569924999902"/>
    <n v="3700228.7920967001"/>
    <n v="270161375.794191"/>
    <n v="676549036"/>
    <n v="2863820.8432102902"/>
    <n v="3755.1633459999998"/>
    <n v="910045.72840300004"/>
    <n v="149096258.172593"/>
    <n v="247835840"/>
    <n v="1049084.9983067999"/>
    <n v="2920.0192820000002"/>
    <n v="68129.173072999998"/>
    <n v="2171803.822681"/>
  </r>
  <r>
    <x v="86"/>
    <n v="1"/>
    <n v="2671140388.8291702"/>
    <n v="11689185.095552299"/>
    <n v="19692.284161"/>
    <n v="3680581.8339264099"/>
    <n v="267719693.18217599"/>
    <n v="693262631"/>
    <n v="2990650.2351063299"/>
    <n v="1649.907944"/>
    <n v="894269.34514300001"/>
    <n v="138805088.856594"/>
    <n v="234886357"/>
    <n v="1013271.02799706"/>
    <n v="5433.8931659999998"/>
    <n v="64944.747519999997"/>
    <n v="4401287.7459709998"/>
  </r>
  <r>
    <x v="87"/>
    <n v="1"/>
    <n v="2655118976.1162801"/>
    <n v="11477791.316944299"/>
    <n v="19487.055815"/>
    <n v="3657032.32933664"/>
    <n v="217069902.898507"/>
    <n v="697836791"/>
    <n v="2973187.2992203101"/>
    <n v="1775.5757160000001"/>
    <n v="890782.972374"/>
    <n v="86842011.154104993"/>
    <n v="227358205"/>
    <n v="968677.112180989"/>
    <n v="5483.9998480000004"/>
    <n v="62800.481428999999"/>
    <n v="20794156.758257002"/>
  </r>
  <r>
    <x v="88"/>
    <n v="1"/>
    <n v="2644306553.9675002"/>
    <n v="11240916.5270213"/>
    <n v="19516.740511999898"/>
    <n v="3730462.86532509"/>
    <n v="279545729.58660001"/>
    <n v="697701897"/>
    <n v="2922923.74109761"/>
    <n v="1821.7368839999999"/>
    <n v="972911.24508300005"/>
    <n v="44730387.408506997"/>
    <n v="217043057"/>
    <n v="909271.29032258003"/>
    <n v="5829.0613739999999"/>
    <n v="60065.160000999997"/>
    <n v="1502433.574091"/>
  </r>
  <r>
    <x v="89"/>
    <n v="1"/>
    <n v="2607375869.24998"/>
    <n v="11012776.1692743"/>
    <n v="19377.617630000001"/>
    <n v="3707394.6820771499"/>
    <n v="259864625.64232299"/>
    <n v="702342854"/>
    <n v="2922531.8492010599"/>
    <n v="1855.9375230000001"/>
    <n v="953789.28677600005"/>
    <n v="30813067.984441999"/>
    <n v="206287271"/>
    <n v="858385.78145805595"/>
    <n v="5625.2158799999997"/>
    <n v="57692.274685999997"/>
    <n v="1955076.431173"/>
  </r>
  <r>
    <x v="90"/>
    <n v="1"/>
    <n v="2540578332.2503099"/>
    <n v="10779073.415823"/>
    <n v="18468.604393000001"/>
    <n v="3713155.0793324099"/>
    <n v="218994089.60523999"/>
    <n v="690522079"/>
    <n v="2876815.72720076"/>
    <n v="1842.3561070000001"/>
    <n v="971940.41512799996"/>
    <n v="29328630.5279749"/>
    <n v="183518244"/>
    <n v="764563.77952755895"/>
    <n v="4006.4580890000002"/>
    <n v="46847.688581000002"/>
    <n v="783901.96672799997"/>
  </r>
  <r>
    <x v="91"/>
    <n v="1"/>
    <n v="2552206924.0214801"/>
    <n v="10725777.044985499"/>
    <n v="16935.629509999999"/>
    <n v="3765418.2636061502"/>
    <n v="202198660.58195499"/>
    <n v="698960570"/>
    <n v="2884690.7552620699"/>
    <n v="1828.39615"/>
    <n v="1043204.513968"/>
    <n v="35848809.319900997"/>
    <n v="191894091"/>
    <n v="791969.00949236401"/>
    <n v="2723.6130520000002"/>
    <n v="47498.769076999997"/>
    <n v="3692209.713457"/>
  </r>
  <r>
    <x v="92"/>
    <n v="1"/>
    <n v="2546396926.3684602"/>
    <n v="10822274.682804599"/>
    <n v="16421.297822"/>
    <n v="3799753.6138804802"/>
    <n v="213816131.20013499"/>
    <n v="689408365"/>
    <n v="2877330.4048414002"/>
    <n v="1823.670488"/>
    <n v="1027214.732526"/>
    <n v="43005239.970430002"/>
    <n v="178242725"/>
    <n v="743917.883973288"/>
    <n v="2657.6433820000002"/>
    <n v="45593.295322999998"/>
    <n v="4948649.1824740004"/>
  </r>
  <r>
    <x v="93"/>
    <n v="1"/>
    <n v="2482784076.4877"/>
    <n v="10478069.861651801"/>
    <n v="16320.535121999999"/>
    <n v="3667208.3035882898"/>
    <n v="197043762.36976501"/>
    <n v="677107837"/>
    <n v="2804688.2486952199"/>
    <n v="1836.4361739999999"/>
    <n v="959841.98266099999"/>
    <n v="63885658.105869003"/>
    <n v="161301915"/>
    <n v="668138.16170988302"/>
    <n v="2541.6137229999999"/>
    <n v="41621.053395000003"/>
    <n v="2403294.7496770001"/>
  </r>
  <r>
    <x v="94"/>
    <n v="1"/>
    <n v="2454438493.0889001"/>
    <n v="10333040.231357099"/>
    <n v="15856.006058999999"/>
    <n v="3588009.7049766099"/>
    <n v="185213296.73592299"/>
    <n v="661907971"/>
    <n v="2734591.9066308602"/>
    <n v="1833.785674"/>
    <n v="920658.51532999997"/>
    <n v="87779375.905993"/>
    <n v="153636496"/>
    <n v="634730.41107209201"/>
    <n v="2013.0906170000001"/>
    <n v="30588.229801000001"/>
    <n v="512373.78159000003"/>
  </r>
  <r>
    <x v="95"/>
    <n v="1"/>
    <n v="2471698978.6186399"/>
    <n v="10230309.8148298"/>
    <n v="15605.149949000001"/>
    <n v="3581209.4170065699"/>
    <n v="185010148.65928"/>
    <n v="664612520"/>
    <n v="2698824.4944367702"/>
    <n v="1753.7849229999999"/>
    <n v="914046.88093400002"/>
    <n v="94547419.028838903"/>
    <n v="158433322"/>
    <n v="643357.92252091202"/>
    <n v="1732.2000869999999"/>
    <n v="29373.207020999998"/>
    <n v="667747.645318"/>
  </r>
  <r>
    <x v="96"/>
    <n v="1"/>
    <n v="2343758110.7431202"/>
    <n v="9984342.4734775592"/>
    <n v="15553.24948"/>
    <n v="3566435.9418302602"/>
    <n v="169178090.821758"/>
    <n v="640377888"/>
    <n v="2674705.0705872499"/>
    <n v="1736.151728"/>
    <n v="913228.59842900001"/>
    <n v="85211978.320308"/>
    <n v="154307451"/>
    <n v="644505.26689499605"/>
    <n v="1734.584989"/>
    <n v="30900.394647000001"/>
    <n v="707587.80173499999"/>
  </r>
  <r>
    <x v="97"/>
    <n v="1"/>
    <n v="2322943680.5964098"/>
    <n v="9820924.78813559"/>
    <n v="15350.188781000001"/>
    <n v="3526198.48794602"/>
    <n v="162597796.34320101"/>
    <n v="671759732"/>
    <n v="2790627.0023263502"/>
    <n v="1734.0097410000001"/>
    <n v="908737.04304899997"/>
    <n v="85798362.563826993"/>
    <n v="146805050"/>
    <n v="609858.13393153797"/>
    <n v="1720.2345299999999"/>
    <n v="29635.697967"/>
    <n v="715447.33342000004"/>
  </r>
  <r>
    <x v="98"/>
    <n v="1"/>
    <n v="2201361037.4535899"/>
    <n v="9751242.0986038297"/>
    <n v="15282.738292"/>
    <n v="3537866.1078051599"/>
    <n v="158803868.845907"/>
    <n v="637698403"/>
    <n v="2782279.2452006899"/>
    <n v="1545.8311510000001"/>
    <n v="912580.35493300005"/>
    <n v="83691231.445159003"/>
    <n v="126491025"/>
    <n v="551880.56282722496"/>
    <n v="1889.1672590000001"/>
    <n v="31560.808046999999"/>
    <n v="498282.65805799997"/>
  </r>
  <r>
    <x v="99"/>
    <n v="1"/>
    <n v="2187521885.0707998"/>
    <n v="9593391.1047717799"/>
    <n v="15016.479595000001"/>
    <n v="3540177.5615155101"/>
    <n v="152482269.53622499"/>
    <n v="630538513"/>
    <n v="2725356.6433264101"/>
    <n v="1433.7237990000001"/>
    <n v="912773.220202"/>
    <n v="79462431.800394997"/>
    <n v="129201242"/>
    <n v="558442.43603042804"/>
    <n v="1090.355677"/>
    <n v="31107.556837"/>
    <n v="469776.98287399998"/>
  </r>
  <r>
    <x v="100"/>
    <n v="1"/>
    <n v="2154286447.9822402"/>
    <n v="9597779.3519415297"/>
    <n v="14789.690656999899"/>
    <n v="3494167.6092616599"/>
    <n v="141305500.86885899"/>
    <n v="624301168"/>
    <n v="2748530.2808840298"/>
    <n v="1450.317102"/>
    <n v="906028.24788200005"/>
    <n v="75410952.257711902"/>
    <n v="124500655"/>
    <n v="548122.98582372104"/>
    <n v="946.39417500000002"/>
    <n v="30598.755696"/>
    <n v="467339.31610300002"/>
  </r>
  <r>
    <x v="101"/>
    <n v="1"/>
    <n v="2046289702.39501"/>
    <n v="9107750.4066470303"/>
    <n v="14479.0307179999"/>
    <n v="3341970.9190615001"/>
    <n v="128627053.045748"/>
    <n v="611929653"/>
    <n v="2690155.4182969099"/>
    <n v="1515.413867"/>
    <n v="854896.83982899995"/>
    <n v="82150351.242413998"/>
    <n v="119715830"/>
    <n v="526292.82982371305"/>
    <n v="940.42296599999997"/>
    <n v="30608.560989000001"/>
    <n v="492243.12029699999"/>
  </r>
  <r>
    <x v="102"/>
    <n v="1"/>
    <n v="2037459457.34635"/>
    <n v="8861174.1690286007"/>
    <n v="14346.395635000001"/>
    <n v="3283925.8565175999"/>
    <n v="123537426.071235"/>
    <n v="596220443"/>
    <n v="2560424.4739328302"/>
    <n v="1520.240603"/>
    <n v="847652.02934799995"/>
    <n v="73312103.137038901"/>
    <n v="121156966"/>
    <n v="520299.60491282301"/>
    <n v="922.85724600000003"/>
    <n v="30533.469191"/>
    <n v="488935.078935"/>
  </r>
  <r>
    <x v="103"/>
    <n v="1"/>
    <n v="1895153676.7464299"/>
    <n v="8458109.6838118695"/>
    <n v="14344.467506000001"/>
    <n v="3238774.2364157699"/>
    <n v="105990071.615054"/>
    <n v="564930596"/>
    <n v="2487804.2804298"/>
    <n v="1523.453831"/>
    <n v="810876.55738400004"/>
    <n v="70156119.586695999"/>
    <n v="115015469"/>
    <n v="506497.57354236301"/>
    <n v="661.173585"/>
    <n v="30301.330941"/>
    <n v="722406.84158000001"/>
  </r>
  <r>
    <x v="104"/>
    <n v="1"/>
    <n v="2002293766.07072"/>
    <n v="8893243.1102534793"/>
    <n v="14142.933972000001"/>
    <n v="3282124.24527553"/>
    <n v="105611580.74289"/>
    <n v="639542361"/>
    <n v="2804764.3233049698"/>
    <n v="1554.6175599999999"/>
    <n v="857101.91358499997"/>
    <n v="69268620.966525003"/>
    <n v="158724559"/>
    <n v="696099.28515042504"/>
    <n v="624.051378"/>
    <n v="32489.686407000001"/>
    <n v="543557.36059399997"/>
  </r>
  <r>
    <x v="105"/>
    <n v="1"/>
    <n v="1944528479.97364"/>
    <n v="8699534.5155021604"/>
    <n v="14008.207597999901"/>
    <n v="3180289.5256239302"/>
    <n v="104569619.81975301"/>
    <n v="635735044"/>
    <n v="2807768.9426728999"/>
    <n v="1603.5152539999999"/>
    <n v="795489.92405499995"/>
    <n v="63274608.161555"/>
    <n v="115184596"/>
    <n v="508720.94337956002"/>
    <n v="615.56440799999996"/>
    <n v="30706.147298"/>
    <n v="473485.403965"/>
  </r>
  <r>
    <x v="106"/>
    <n v="1"/>
    <n v="1927261853.5625"/>
    <n v="8754433.94771065"/>
    <n v="13931.165950999901"/>
    <n v="3351906.0668810601"/>
    <n v="99363882.056586295"/>
    <n v="628278253"/>
    <n v="2817517.6151396902"/>
    <n v="1619.6472879999999"/>
    <n v="962067.06307699997"/>
    <n v="55949341.665379003"/>
    <n v="112053287"/>
    <n v="502503.64141889702"/>
    <n v="559.67019300000004"/>
    <n v="30223.132644000001"/>
    <n v="499012.72852499998"/>
  </r>
  <r>
    <x v="107"/>
    <n v="1"/>
    <n v="1928935426.9469099"/>
    <n v="8454743.1575303897"/>
    <n v="12281.868813999999"/>
    <n v="3257308.81881529"/>
    <n v="95198612.213325903"/>
    <n v="625814924"/>
    <n v="2707631.7397135799"/>
    <n v="1417.3138300000001"/>
    <n v="916010.20193099999"/>
    <n v="53509421.143968999"/>
    <n v="110938750"/>
    <n v="479984.208021459"/>
    <n v="562.32946900000002"/>
    <n v="28090.024877"/>
    <n v="824913.93285999994"/>
  </r>
  <r>
    <x v="108"/>
    <n v="1"/>
    <n v="1910509453.5804999"/>
    <n v="8248890.2045163997"/>
    <n v="11775.471594999901"/>
    <n v="3229128.74086736"/>
    <n v="92917625.359070003"/>
    <n v="616459482"/>
    <n v="2626584.9254367198"/>
    <n v="1392.7548839999999"/>
    <n v="892951.10887700005"/>
    <n v="51680852.260761"/>
    <n v="116430088"/>
    <n v="496080.47720494203"/>
    <n v="574.89664000000005"/>
    <n v="31348.385030000001"/>
    <n v="628060.268423"/>
  </r>
  <r>
    <x v="109"/>
    <n v="1"/>
    <n v="1816280032.69698"/>
    <n v="7805851.9474464897"/>
    <n v="11471.609774999901"/>
    <n v="3221244.44990385"/>
    <n v="83167202.340813503"/>
    <n v="561693412"/>
    <n v="2380561.1866920898"/>
    <n v="2334.9476989999998"/>
    <n v="910228.84983199998"/>
    <n v="44915952.695451997"/>
    <n v="123911383"/>
    <n v="525159.49565585901"/>
    <n v="177.89182299999999"/>
    <n v="32130.094807000001"/>
    <n v="389995.19601499999"/>
  </r>
  <r>
    <x v="110"/>
    <n v="1"/>
    <n v="1758111718.0229101"/>
    <n v="7343622.0484753698"/>
    <n v="11261.541078"/>
    <n v="3281309.2974080299"/>
    <n v="61880592.642341003"/>
    <n v="592014395"/>
    <n v="2436172.9764207201"/>
    <n v="2519.2152860000001"/>
    <n v="1017263.648469"/>
    <n v="24366034.597016901"/>
    <n v="126468956"/>
    <n v="520426.961853421"/>
    <n v="170.417034"/>
    <n v="31417.442919000001"/>
    <n v="88596.640306000001"/>
  </r>
  <r>
    <x v="111"/>
    <n v="1"/>
    <n v="1695553879.5918"/>
    <n v="7118034.5571818398"/>
    <n v="10972.925702999901"/>
    <n v="3284488.1025407701"/>
    <n v="35341459.3491496"/>
    <n v="577005640"/>
    <n v="2385700.9840403502"/>
    <n v="2582.408723"/>
    <n v="1036745.68983"/>
    <n v="509557.682233"/>
    <n v="123178414"/>
    <n v="509296.34499297099"/>
    <n v="176.99139199999999"/>
    <n v="31306.67452"/>
    <m/>
  </r>
  <r>
    <x v="112"/>
    <n v="1"/>
    <n v="1690408621.2702899"/>
    <n v="7440196.6357661998"/>
    <n v="10608.031014"/>
    <n v="3232937.2272165599"/>
    <n v="38891663.416819103"/>
    <n v="608713948"/>
    <n v="2649231.6142229098"/>
    <n v="2479.5404020000001"/>
    <n v="1028749.381534"/>
    <n v="509948.42916100001"/>
    <n v="129647463"/>
    <n v="564248.87060974003"/>
    <n v="170.14206799999999"/>
    <n v="32438.699331"/>
    <m/>
  </r>
  <r>
    <x v="113"/>
    <n v="1"/>
    <n v="1608015849.0062399"/>
    <n v="7075856.8168977303"/>
    <n v="10132.077268999999"/>
    <n v="3423435.22500626"/>
    <n v="51411415.551307298"/>
    <n v="511267185"/>
    <n v="2222031.3138337098"/>
    <n v="2297.6034060000002"/>
    <n v="1066044.719643"/>
    <n v="12016253.0493499"/>
    <n v="108618009"/>
    <n v="472067.49098178901"/>
    <n v="357.37226900000002"/>
    <n v="32802.212704999998"/>
    <n v="1893998.5887810001"/>
  </r>
  <r>
    <x v="114"/>
    <n v="1"/>
    <n v="1518437138.47978"/>
    <n v="6721604.9075483996"/>
    <n v="9671.9553039999992"/>
    <n v="3467106.9669185001"/>
    <n v="52269787.902593002"/>
    <n v="433071037"/>
    <n v="1884146.34326734"/>
    <n v="2275.355591"/>
    <n v="1042963.964417"/>
    <n v="12434399.077578999"/>
    <n v="98631331"/>
    <n v="429111.72938873101"/>
    <n v="347.995496"/>
    <n v="32663.849440000002"/>
    <n v="2002301.171686"/>
  </r>
  <r>
    <x v="115"/>
    <n v="1"/>
    <n v="1420010367.1005599"/>
    <n v="6260774.2848487403"/>
    <n v="9412.0834269999905"/>
    <n v="3438606.1767847599"/>
    <n v="54039964.956050202"/>
    <n v="339613547"/>
    <n v="1469743.13844289"/>
    <n v="2335.7442289999999"/>
    <n v="1033823.265539"/>
    <n v="14258822.1899"/>
    <n v="96797742"/>
    <n v="418910.90145843202"/>
    <n v="325.80325599999998"/>
    <n v="31892.087691000001"/>
    <n v="1586771.043633"/>
  </r>
  <r>
    <x v="116"/>
    <n v="1"/>
    <n v="1276753360.72894"/>
    <n v="5595259.40853291"/>
    <n v="8945.3110809999998"/>
    <n v="3428408.2497415901"/>
    <n v="50335347.050304301"/>
    <n v="239736623"/>
    <n v="1029000.8713194201"/>
    <n v="2242.265821"/>
    <n v="1045940.9655629999"/>
    <n v="15979432.397031"/>
    <n v="85198325"/>
    <n v="365689.43686153297"/>
    <n v="337.96160700000001"/>
    <n v="31850.04376"/>
    <n v="1146881.081737"/>
  </r>
  <r>
    <x v="117"/>
    <n v="1"/>
    <n v="1197551941.43629"/>
    <n v="5211758.6372728404"/>
    <n v="8370.8133120000002"/>
    <n v="3376804.8906105398"/>
    <n v="47232755.103788503"/>
    <n v="171327814"/>
    <n v="729147.61033323396"/>
    <n v="1738.65769"/>
    <n v="1005813.569655"/>
    <n v="16346272.633908"/>
    <n v="85256368"/>
    <n v="362839.37523939199"/>
    <n v="293.06435900000002"/>
    <n v="30849.084523000001"/>
    <n v="870168.13053600001"/>
  </r>
  <r>
    <x v="118"/>
    <n v="1"/>
    <n v="1123360839.4210701"/>
    <n v="4981611.8026680499"/>
    <n v="7504.9282059999996"/>
    <n v="3256571.3417988201"/>
    <n v="40866935.385017"/>
    <n v="117245553"/>
    <n v="507820.30925155903"/>
    <n v="1599.888766"/>
    <n v="917215.48690300004"/>
    <n v="13158907.136278"/>
    <n v="81365358"/>
    <n v="352414.05925155903"/>
    <n v="304.61377499999998"/>
    <n v="31299.010546000001"/>
    <n v="1546249.862133"/>
  </r>
  <r>
    <x v="119"/>
    <n v="1"/>
    <n v="1116034146.2435901"/>
    <n v="4911038.8628647504"/>
    <n v="7323.7743870000004"/>
    <n v="3257121.6148910401"/>
    <n v="40641739.472838603"/>
    <n v="97743632"/>
    <n v="420059.44389531098"/>
    <n v="1671.9839260000001"/>
    <n v="928939.675055"/>
    <n v="14076717.267796"/>
    <n v="81338839"/>
    <n v="349558.80785594502"/>
    <n v="140.34104500000001"/>
    <n v="31836.582705000001"/>
    <n v="1680582.9214659999"/>
  </r>
  <r>
    <x v="120"/>
    <n v="1"/>
    <n v="1136439425.65955"/>
    <n v="4898584.24"/>
    <n v="6296.0737600000002"/>
    <n v="3363974.7880285801"/>
    <n v="37784756.515822202"/>
    <n v="90402936"/>
    <n v="380643.94105263101"/>
    <n v="1605.403722"/>
    <n v="982808.629342"/>
    <n v="10901900.376794999"/>
    <n v="87101741"/>
    <n v="366744.172631578"/>
    <n v="22.611879999999999"/>
    <n v="21948.183078999999"/>
    <n v="1911403.379552"/>
  </r>
  <r>
    <x v="121"/>
    <n v="1"/>
    <n v="1147307782.7213399"/>
    <n v="4928742.6149003096"/>
    <n v="5935.8971030000002"/>
    <n v="3324208.0539178699"/>
    <n v="42877139.176313102"/>
    <n v="94967726"/>
    <n v="398605.355718782"/>
    <n v="1020.257332"/>
    <n v="963698.91230199998"/>
    <n v="14156084.8844069"/>
    <n v="87884632"/>
    <n v="368875.68520461698"/>
    <n v="719.24043099999994"/>
    <n v="16713.062861999999"/>
    <n v="2081689.5754470001"/>
  </r>
  <r>
    <x v="122"/>
    <n v="1"/>
    <n v="1105942462.2326901"/>
    <n v="4902652.8619674398"/>
    <n v="5925.7420359999996"/>
    <n v="3097504.9822384301"/>
    <n v="39851330.756342001"/>
    <n v="88227697"/>
    <n v="382004.23016972601"/>
    <n v="1538.5030200000001"/>
    <n v="723279.16625500005"/>
    <n v="13885573.346873"/>
    <n v="81071169"/>
    <n v="351018.22393487999"/>
    <n v="36.790475999999998"/>
    <n v="32869.641245999999"/>
    <n v="1226935.1731990001"/>
  </r>
  <r>
    <x v="123"/>
    <n v="1"/>
    <n v="1117755966.5230801"/>
    <n v="4664140.3933064602"/>
    <n v="5912.5582400000003"/>
    <n v="2852365.48484059"/>
    <n v="38465370.884108298"/>
    <n v="90656442"/>
    <n v="369107.29204836901"/>
    <n v="810.18365600000004"/>
    <n v="622263.90546799998"/>
    <n v="14191541.658419"/>
    <n v="88062576"/>
    <n v="358546.37840478797"/>
    <n v="40.365546000000002"/>
    <n v="30154.113291000001"/>
    <n v="685283.41953099996"/>
  </r>
  <r>
    <x v="124"/>
    <n v="1"/>
    <n v="1122790463.40275"/>
    <n v="4716468.4212683896"/>
    <n v="6903.4613410000002"/>
    <n v="2807615.4137312099"/>
    <n v="38825684.610480197"/>
    <n v="105314592"/>
    <n v="431741.04046242702"/>
    <n v="868.25868400000002"/>
    <n v="561168.71488700004"/>
    <n v="14405097.263685999"/>
    <n v="81195845"/>
    <n v="332865.35071536899"/>
    <n v="124.54610099999999"/>
    <n v="28451.957799"/>
    <n v="729195.24633500003"/>
  </r>
  <r>
    <x v="125"/>
    <n v="1"/>
    <n v="1150274569.8339601"/>
    <n v="4783732.2829529699"/>
    <n v="5160.1954939999996"/>
    <n v="2789010.0787995998"/>
    <n v="35363564.4543401"/>
    <n v="107129905"/>
    <n v="435027.63339559798"/>
    <n v="173.376668"/>
    <n v="411781.66809200001"/>
    <n v="11390058.5856099"/>
    <n v="73787327"/>
    <n v="299631.79972386901"/>
    <n v="132.496745"/>
    <n v="28729.146242999999"/>
    <n v="1101917.279847"/>
  </r>
  <r>
    <x v="126"/>
    <n v="1"/>
    <n v="1159611841.6594601"/>
    <n v="4871824.3670236701"/>
    <n v="5158.6772080000001"/>
    <n v="2806452.30931147"/>
    <n v="41577934.819287203"/>
    <n v="115044144"/>
    <n v="472092.18269112398"/>
    <n v="169.80886000000001"/>
    <n v="382871.18549300003"/>
    <n v="8345389.408884"/>
    <n v="72963931"/>
    <n v="299412.90574090002"/>
    <n v="134.214968"/>
    <n v="29046.649169"/>
    <n v="1245705.2787810001"/>
  </r>
  <r>
    <x v="127"/>
    <n v="1"/>
    <n v="1164516608.8096399"/>
    <n v="4944158.4014268499"/>
    <n v="5093.6077219999997"/>
    <n v="2750643.3821966499"/>
    <n v="40238915.004331797"/>
    <n v="113945596"/>
    <n v="472626.80326848797"/>
    <n v="168.343468"/>
    <n v="293215.91336800001"/>
    <n v="6099123.858616"/>
    <n v="70001629"/>
    <n v="290354.75963333098"/>
    <n v="126.453664"/>
    <n v="39871.523456000003"/>
    <n v="1281160.142796"/>
  </r>
  <r>
    <x v="128"/>
    <n v="1"/>
    <n v="1155043836.5551901"/>
    <n v="4922567.8491131598"/>
    <n v="5039.38394899999"/>
    <n v="2725312.90436811"/>
    <n v="45206630.067360602"/>
    <n v="111574820"/>
    <n v="464546.67332833703"/>
    <n v="174.119631"/>
    <n v="260324.64156300001"/>
    <n v="5601293.726094"/>
    <n v="68586545"/>
    <n v="285563.09850945103"/>
    <n v="106.274225"/>
    <n v="39675.639983000001"/>
    <n v="1346624.7006949999"/>
  </r>
  <r>
    <x v="129"/>
    <n v="1"/>
    <n v="1138850974.49436"/>
    <n v="4816756.53107577"/>
    <n v="5022.2994289999997"/>
    <n v="2726884.3648732202"/>
    <n v="44076939.5912081"/>
    <n v="113576532"/>
    <n v="469033.78897377598"/>
    <n v="168.869911"/>
    <n v="253226.56396100001"/>
    <n v="4412296.102833"/>
    <n v="67296663"/>
    <n v="277913.12409663398"/>
    <n v="105.950761"/>
    <n v="41515.914703000002"/>
    <n v="1501010.2479099999"/>
  </r>
  <r>
    <x v="130"/>
    <n v="1"/>
    <n v="1112544128.72019"/>
    <n v="4692137.34766139"/>
    <n v="5021.9997480000002"/>
    <n v="2715060.7110856799"/>
    <n v="46479248.681718402"/>
    <n v="113169459"/>
    <n v="465948.03606719302"/>
    <n v="164.42537999999999"/>
    <n v="252449.88427899999"/>
    <n v="6538586.7497379901"/>
    <n v="67908135"/>
    <n v="279595.41749011801"/>
    <n v="104.819557"/>
    <n v="41321.097285000003"/>
    <n v="1531977.1471770001"/>
  </r>
  <r>
    <x v="131"/>
    <n v="1"/>
    <n v="1070251501.46454"/>
    <n v="4624680.4780372595"/>
    <n v="5019.2773399999996"/>
    <n v="2705082.9553359798"/>
    <n v="33193070.655158099"/>
    <n v="100573065"/>
    <n v="423965.36969901301"/>
    <n v="160.56325699999999"/>
    <n v="248534.48591700001"/>
    <n v="5792453.4594130004"/>
    <n v="65575076"/>
    <n v="276431.48132535198"/>
    <n v="103.822247"/>
    <n v="39558.463680000001"/>
    <n v="1630931.5232770001"/>
  </r>
  <r>
    <x v="132"/>
    <n v="1"/>
    <n v="1087922770.52842"/>
    <n v="4570791.1488838801"/>
    <n v="5014.9179699999904"/>
    <n v="2687101.5593497101"/>
    <n v="35144915.259444401"/>
    <n v="104850412"/>
    <n v="429450.796641408"/>
    <n v="151.079565"/>
    <n v="246730.863621"/>
    <n v="5965380.3619630001"/>
    <n v="66476570"/>
    <n v="272277.57526110997"/>
    <n v="103.43304500000001"/>
    <n v="38641.832857000001"/>
    <n v="1491283.245686"/>
  </r>
  <r>
    <x v="133"/>
    <n v="1"/>
    <n v="1053986090.77801"/>
    <n v="4665528.9786223201"/>
    <n v="5004.6287579999998"/>
    <n v="2767421.8909328901"/>
    <n v="36383130.185759202"/>
    <n v="99786127"/>
    <n v="430948.507881667"/>
    <n v="151.21324000000001"/>
    <n v="312391.52100100002"/>
    <n v="5849514.9193449998"/>
    <n v="64085170"/>
    <n v="276766.01166054799"/>
    <n v="104.753045"/>
    <n v="36739.316938000004"/>
    <n v="1716475.4342120001"/>
  </r>
  <r>
    <x v="134"/>
    <n v="1"/>
    <n v="1086170342.6152599"/>
    <n v="4575135.3649514997"/>
    <n v="5004.050405"/>
    <n v="2724172.9178240201"/>
    <n v="37187274.144151397"/>
    <n v="103937024"/>
    <n v="427161.86092388601"/>
    <n v="151.20612299999999"/>
    <n v="314324.26646200003"/>
    <n v="5579106.7104049996"/>
    <n v="64524244"/>
    <n v="265182.65658392198"/>
    <n v="100.34151"/>
    <n v="33461.739061"/>
    <n v="1612361.550669"/>
  </r>
  <r>
    <x v="135"/>
    <n v="1"/>
    <n v="1007747939.82601"/>
    <n v="4709415.9985422697"/>
    <n v="4985.0296230000004"/>
    <n v="2734991.6150995302"/>
    <n v="47333144.041748099"/>
    <n v="95993270"/>
    <n v="437287.12645772501"/>
    <n v="181.73640900000001"/>
    <n v="309349.57663999998"/>
    <n v="15423489.105226999"/>
    <n v="59091478"/>
    <n v="269184.93986880401"/>
    <n v="105.32881"/>
    <n v="33183.176920999998"/>
    <n v="4091856.8287689998"/>
  </r>
  <r>
    <x v="136"/>
    <n v="1"/>
    <n v="1002954496.18009"/>
    <n v="4707535.3210170101"/>
    <n v="4962.85173699999"/>
    <n v="2718444.7139854399"/>
    <n v="45468857.866207398"/>
    <n v="98719571"/>
    <n v="451433.92628498201"/>
    <n v="182.25404399999999"/>
    <n v="309185.56671599997"/>
    <n v="15299840.657683"/>
    <n v="57186687"/>
    <n v="261508.537589171"/>
    <n v="103.580445"/>
    <n v="33398.964677999997"/>
    <n v="2196730.9237219999"/>
  </r>
  <r>
    <x v="137"/>
    <n v="1"/>
    <n v="971330958.50654805"/>
    <n v="4804750.2892123703"/>
    <n v="4959.388747"/>
    <n v="2718144.9612793899"/>
    <n v="45716163.063834101"/>
    <n v="98531534"/>
    <n v="474942.32141135598"/>
    <n v="182.356235"/>
    <n v="308605.18449700001"/>
    <n v="15666177.378546"/>
    <n v="56253931"/>
    <n v="271155.55287766299"/>
    <n v="106.25671199999999"/>
    <n v="33174.567940000001"/>
    <n v="2214049.9692159998"/>
  </r>
  <r>
    <x v="138"/>
    <n v="1"/>
    <n v="952726177.90730798"/>
    <n v="4812280.2618625704"/>
    <n v="4881.301708"/>
    <n v="2698399.8534085299"/>
    <n v="45716725.321254499"/>
    <n v="97622722"/>
    <n v="480521.37231738499"/>
    <n v="182.20078000000001"/>
    <n v="309424.10474799998"/>
    <n v="15448754.578624999"/>
    <n v="55794099"/>
    <n v="274631.32014175999"/>
    <n v="101.026826"/>
    <n v="33239.982118"/>
    <n v="2251508.4008220001"/>
  </r>
  <r>
    <x v="139"/>
    <n v="1"/>
    <n v="962748791.27095699"/>
    <n v="4783798.2229324002"/>
    <n v="4882.2430160000004"/>
    <n v="2691629.9592080601"/>
    <n v="44352812.205626301"/>
    <n v="95576256"/>
    <n v="462794.18942475301"/>
    <n v="180.93857199999999"/>
    <n v="310542.59892900003"/>
    <n v="15080805.825508"/>
    <n v="56648200"/>
    <n v="274298.85725353402"/>
    <n v="101.10104200000001"/>
    <n v="33123.797103999997"/>
    <n v="2326044.0416450002"/>
  </r>
  <r>
    <x v="140"/>
    <n v="1"/>
    <n v="956919824.06623006"/>
    <n v="4770663.8324749703"/>
    <n v="4880.6720779999996"/>
    <n v="2693783.0304601002"/>
    <n v="36119484.085399903"/>
    <n v="95472473"/>
    <n v="463863.92478865001"/>
    <n v="181.365554"/>
    <n v="309301.640144"/>
    <n v="4685159.7103359997"/>
    <n v="56336114"/>
    <n v="273715.45039354701"/>
    <n v="89.137251000000006"/>
    <n v="33311.225673000001"/>
    <n v="2428598.7754779998"/>
  </r>
  <r>
    <x v="141"/>
    <n v="1"/>
    <n v="983027173.83624494"/>
    <n v="4815605.6709150802"/>
    <n v="4883.2419959999997"/>
    <n v="2693951.03878194"/>
    <n v="38631358.211734399"/>
    <n v="102129937"/>
    <n v="487517.00319824298"/>
    <n v="182.96652800000001"/>
    <n v="309963.34650099999"/>
    <n v="6321797.0469079996"/>
    <n v="56517226"/>
    <n v="269784.839371807"/>
    <n v="88.443886000000006"/>
    <n v="32885.270832000002"/>
    <n v="2755732.2124689999"/>
  </r>
  <r>
    <x v="142"/>
    <n v="1"/>
    <n v="990046697.67147005"/>
    <n v="4851393.7571646897"/>
    <n v="4824.19398"/>
    <n v="2680422.85497502"/>
    <n v="41316176.304364003"/>
    <n v="104221619"/>
    <n v="497810.56075659097"/>
    <n v="182.720248"/>
    <n v="308346.44509499997"/>
    <n v="5973818.7577109998"/>
    <n v="58061579"/>
    <n v="277328.902369124"/>
    <n v="89.217718000000005"/>
    <n v="33121.193612000003"/>
    <n v="2861401.539413"/>
  </r>
  <r>
    <x v="143"/>
    <n v="1"/>
    <n v="952605707.00673902"/>
    <n v="4794872.8900382901"/>
    <n v="4821.2439450000002"/>
    <n v="2696657.5759828002"/>
    <n v="38022439.832193397"/>
    <n v="104398696"/>
    <n v="519215.67613268999"/>
    <n v="182.66358700000001"/>
    <n v="308654.10241499997"/>
    <n v="7160889.4893060001"/>
    <n v="54962599"/>
    <n v="273350.56945342402"/>
    <n v="86.772313999999994"/>
    <n v="33104.777142999999"/>
    <n v="2388881.3369399998"/>
  </r>
  <r>
    <x v="144"/>
    <n v="1"/>
    <n v="973086027.43481898"/>
    <n v="4682565.2992346799"/>
    <n v="4811.9026409999997"/>
    <n v="2694005.7313537099"/>
    <n v="38287325.030723102"/>
    <n v="103673626"/>
    <n v="492815.63911203999"/>
    <n v="182.66934900000001"/>
    <n v="308426.13478600001"/>
    <n v="7329768.2299560001"/>
    <n v="57777881"/>
    <n v="274648.86152968497"/>
    <n v="89.801342000000005"/>
    <n v="32878.908812000001"/>
    <n v="2259887.7688799999"/>
  </r>
  <r>
    <x v="145"/>
    <n v="1"/>
    <n v="986652970.07593203"/>
    <n v="4627864.9714606497"/>
    <n v="4811.9412349999902"/>
    <n v="2698830.9420314101"/>
    <n v="37997183.707173496"/>
    <n v="105293235"/>
    <n v="492622.97651352099"/>
    <n v="183.87337400000001"/>
    <n v="318884.901029"/>
    <n v="7544330.9594289996"/>
    <n v="55969507"/>
    <n v="261857.89744549399"/>
    <n v="89.767132000000004"/>
    <n v="33183.799590000002"/>
    <n v="2206827.5247800001"/>
  </r>
  <r>
    <x v="146"/>
    <n v="1"/>
    <n v="980687414.31185603"/>
    <n v="4589859.49390727"/>
    <n v="4812.1012350000001"/>
    <n v="2685912.7675002101"/>
    <n v="35905189.502328098"/>
    <n v="105661660"/>
    <n v="493308.09094728902"/>
    <n v="183.750857"/>
    <n v="320137.24320899998"/>
    <n v="7563524.4053469999"/>
    <n v="53532448"/>
    <n v="249929.72594425501"/>
    <n v="90.347854999999996"/>
    <n v="33559.47077"/>
    <n v="2193130.677751"/>
  </r>
  <r>
    <x v="147"/>
    <n v="1"/>
    <n v="953973349.50583899"/>
    <n v="4629968.7630113699"/>
    <n v="4806.8716029999996"/>
    <n v="2667130.6357154702"/>
    <n v="36192741.357275598"/>
    <n v="106196467"/>
    <n v="514144.11522633699"/>
    <n v="177.77208200000001"/>
    <n v="319970.79550800001"/>
    <n v="7896058.7802499998"/>
    <n v="53071448"/>
    <n v="256942.37714838999"/>
    <n v="90.673867000000001"/>
    <n v="33459.690156999997"/>
    <n v="2103229.5795479999"/>
  </r>
  <r>
    <x v="148"/>
    <n v="1"/>
    <n v="937287593.87335598"/>
    <n v="4678617.1206613099"/>
    <n v="4806.4115589999901"/>
    <n v="2670314.48721882"/>
    <n v="36022675.227871202"/>
    <n v="104230628"/>
    <n v="519050.98351675703"/>
    <n v="173.945369"/>
    <n v="322508.61885000003"/>
    <n v="7337341.04275499"/>
    <n v="53240396"/>
    <n v="265128.21074647602"/>
    <n v="87.131495999999999"/>
    <n v="33391.940873"/>
    <n v="1912830.5708890001"/>
  </r>
  <r>
    <x v="149"/>
    <n v="1"/>
    <n v="918745188.56938398"/>
    <n v="4719421.7979601203"/>
    <n v="4797.24053799999"/>
    <n v="2670305.3261071602"/>
    <n v="35827153.828053899"/>
    <n v="99149478"/>
    <n v="508172.20029726799"/>
    <n v="174.52611200000001"/>
    <n v="321533.25765500002"/>
    <n v="7350288.3241419997"/>
    <n v="52526928"/>
    <n v="269216.995540976"/>
    <n v="87.120992999999999"/>
    <n v="32407.395571000001"/>
    <n v="1912063.458513"/>
  </r>
  <r>
    <x v="150"/>
    <n v="1"/>
    <n v="943922652.22833204"/>
    <n v="4664168.5269177603"/>
    <n v="4789.4540229999902"/>
    <n v="2636704.3285219301"/>
    <n v="36184706.0124356"/>
    <n v="101848048"/>
    <n v="502110.27410767099"/>
    <n v="174.816112"/>
    <n v="320914.35830899997"/>
    <n v="7671264.4922499899"/>
    <n v="52756822"/>
    <n v="260090.82035101499"/>
    <n v="85.640882000000005"/>
    <n v="30374.443163"/>
    <n v="1671564.7750560001"/>
  </r>
  <r>
    <x v="151"/>
    <n v="1"/>
    <n v="934914944.78703797"/>
    <n v="4681629.9740181798"/>
    <n v="4789.1227629999903"/>
    <n v="2617376.1242567799"/>
    <n v="38153634.926711097"/>
    <n v="104955181"/>
    <n v="524408.81882682105"/>
    <n v="177.45052200000001"/>
    <n v="323233.18415099999"/>
    <n v="10295373.698175"/>
    <n v="50794116"/>
    <n v="253792.92495253301"/>
    <n v="92.439851000000004"/>
    <n v="28102.998981000001"/>
    <n v="1764261.3818950001"/>
  </r>
  <r>
    <x v="152"/>
    <n v="1"/>
    <n v="915033360.47157598"/>
    <n v="4780851.3268338405"/>
    <n v="4733.8412309999903"/>
    <n v="2674324.194435"/>
    <n v="38089195.227131903"/>
    <n v="98791126"/>
    <n v="515046.79630884703"/>
    <n v="177.39553000000001"/>
    <n v="323869.21977500001"/>
    <n v="7761081.5217580004"/>
    <n v="48932445"/>
    <n v="255108.935926176"/>
    <n v="92.717276999999996"/>
    <n v="27962.045547000002"/>
    <n v="1704582.049291"/>
  </r>
  <r>
    <x v="153"/>
    <n v="1"/>
    <n v="899982913.98726499"/>
    <n v="4826374.6307000602"/>
    <n v="3237.8807539999998"/>
    <n v="2739293.0882018399"/>
    <n v="38694227.459684499"/>
    <n v="97307452"/>
    <n v="520806.31556411902"/>
    <n v="130.259004"/>
    <n v="323121.87950899999"/>
    <n v="7489911.1928589996"/>
    <n v="50246139"/>
    <n v="268926.02761721198"/>
    <n v="92.753905000000003"/>
    <n v="27876.860365"/>
    <n v="1838162.3410189999"/>
  </r>
  <r>
    <x v="154"/>
    <n v="1"/>
    <n v="914218764.60001898"/>
    <n v="4868489.9559377804"/>
    <n v="3232.0559819999999"/>
    <n v="2805503.45074315"/>
    <n v="37750546.185919002"/>
    <n v="95382722"/>
    <n v="506358.34793226002"/>
    <n v="133.12205033000001"/>
    <n v="323198.25305253098"/>
    <n v="6885804.5389962299"/>
    <n v="50741156"/>
    <n v="269369.62361310102"/>
    <n v="94.279920000000004"/>
    <n v="27995.696055"/>
    <n v="1913939.122559"/>
  </r>
  <r>
    <x v="155"/>
    <n v="1"/>
    <n v="980417853.54877198"/>
    <n v="4699116.03210242"/>
    <n v="3231.3167880000001"/>
    <n v="2780041.22237274"/>
    <n v="36531799.798718996"/>
    <n v="100001048"/>
    <n v="477719.61973916698"/>
    <n v="131.97280759"/>
    <n v="322715.71841047303"/>
    <n v="5654436.1415728601"/>
    <n v="52805927"/>
    <n v="252261.62996225999"/>
    <n v="93.904831000000001"/>
    <n v="26126.430446999999"/>
    <n v="1908946.2117659999"/>
  </r>
  <r>
    <x v="156"/>
    <n v="1"/>
    <n v="981497404.16274703"/>
    <n v="4671474.2267552102"/>
    <n v="3233.7667499999998"/>
    <n v="2766055.7831188599"/>
    <n v="36600220.481917597"/>
    <n v="99843731"/>
    <n v="473641.98766603402"/>
    <n v="132.42521952000001"/>
    <n v="319131.33990186598"/>
    <n v="6319245.9173826901"/>
    <n v="51694170"/>
    <n v="245228.510436432"/>
    <n v="92.181537000000006"/>
    <n v="29185.855327000001"/>
    <n v="1699348.4374009999"/>
  </r>
  <r>
    <x v="157"/>
    <n v="1"/>
    <n v="974345807.39497101"/>
    <n v="4630601.6435371498"/>
    <n v="3231.6366010000002"/>
    <n v="2765604.6773084402"/>
    <n v="36453594.276428699"/>
    <n v="97885979"/>
    <n v="463628.94425235601"/>
    <n v="132.53139922"/>
    <n v="317306.47335892002"/>
    <n v="6740662.6206724904"/>
    <n v="47555632"/>
    <n v="225243.36664614201"/>
    <n v="92.538580999999994"/>
    <n v="31086.736351"/>
    <n v="1351189.5102200001"/>
  </r>
  <r>
    <x v="158"/>
    <n v="1"/>
    <n v="945957240.21961105"/>
    <n v="4772702.9738841597"/>
    <n v="3238.9243799999999"/>
    <n v="2779003.4879388302"/>
    <n v="36302969.948435299"/>
    <n v="95728547"/>
    <n v="481701.53977758699"/>
    <n v="132.84338715000001"/>
    <n v="316586.88410098798"/>
    <n v="6699044.0683899"/>
    <n v="45120595"/>
    <n v="227044.70890152399"/>
    <n v="92.535571000000004"/>
    <n v="31491.531964000002"/>
    <n v="1201844.5424490001"/>
  </r>
  <r>
    <x v="159"/>
    <n v="1"/>
    <n v="938696847.19560802"/>
    <n v="4584895.7911145696"/>
    <n v="3247.1636140000001"/>
    <n v="2785848.9535063701"/>
    <n v="36022658.341605604"/>
    <n v="97790402"/>
    <n v="476375.691738113"/>
    <n v="132.62596846"/>
    <n v="315881.63459079497"/>
    <n v="6830297.1895047203"/>
    <n v="42933336"/>
    <n v="209145.24551831599"/>
    <n v="92.496099000000001"/>
    <n v="33043.173994999997"/>
    <n v="1080976.2929680001"/>
  </r>
  <r>
    <x v="160"/>
    <n v="1"/>
    <n v="934274695.83548796"/>
    <n v="4524169.3035835"/>
    <n v="3244.113648"/>
    <n v="2755825.8612708198"/>
    <n v="35696461.9094676"/>
    <n v="98338238"/>
    <n v="474926.29189606803"/>
    <n v="132.52320735000001"/>
    <n v="315953.41123701702"/>
    <n v="6784670.7826780202"/>
    <n v="43177879"/>
    <n v="208528.34444122401"/>
    <n v="91.539254"/>
    <n v="33050.341221000002"/>
    <n v="999744.13796099997"/>
  </r>
  <r>
    <x v="161"/>
    <n v="1"/>
    <n v="943716202.94334698"/>
    <n v="4496164.6960984599"/>
    <n v="3243.7031550000002"/>
    <n v="2757469.9651177898"/>
    <n v="37521809.489098199"/>
    <n v="100463207"/>
    <n v="477418.65228341898"/>
    <n v="132.98150945"/>
    <n v="316940.79376636998"/>
    <n v="6911425.2571922103"/>
    <n v="41840009"/>
    <n v="198831.00793612999"/>
    <n v="88.874522999999996"/>
    <n v="32518.786237"/>
    <n v="1053426.3059050001"/>
  </r>
  <r>
    <x v="162"/>
    <n v="1"/>
    <n v="948731294.17757297"/>
    <n v="4459792.0191315701"/>
    <n v="2249.4230129999901"/>
    <n v="2763569.09766261"/>
    <n v="38537877.162942499"/>
    <n v="101150704"/>
    <n v="474306.96802025603"/>
    <n v="132.98150942999999"/>
    <n v="315745.714084448"/>
    <n v="7914860.5776569303"/>
    <n v="43130333"/>
    <n v="202242.956953952"/>
    <n v="88.340003999999993"/>
    <n v="32573.244348"/>
    <n v="1101767.381537"/>
  </r>
  <r>
    <x v="163"/>
    <n v="1"/>
    <n v="929038575.84378195"/>
    <n v="4378988.6647860799"/>
    <n v="2245.9030029999999"/>
    <n v="2757023.4059778899"/>
    <n v="30345803.332069799"/>
    <n v="102851047"/>
    <n v="483549.82134461601"/>
    <n v="133.01802089"/>
    <n v="314916.74210130499"/>
    <n v="7232920.3344877297"/>
    <n v="43934807"/>
    <n v="206557.625763986"/>
    <n v="82.553610000000006"/>
    <n v="32522.653263"/>
    <n v="1198388.5876730001"/>
  </r>
  <r>
    <x v="164"/>
    <n v="1"/>
    <n v="905673338.55670202"/>
    <n v="4391257.1117666904"/>
    <n v="2244.4364519999999"/>
    <n v="2805046.35007304"/>
    <n v="30828020.0947516"/>
    <n v="94689596"/>
    <n v="457946.49127049302"/>
    <n v="135.66442042"/>
    <n v="317337.95839066501"/>
    <n v="7484174.2349387696"/>
    <n v="42354290"/>
    <n v="204837.69405619701"/>
    <n v="78.192076"/>
    <n v="32557.550285000001"/>
    <n v="1250936.996541"/>
  </r>
  <r>
    <x v="165"/>
    <n v="1"/>
    <n v="959124686.530496"/>
    <n v="4476479.3472694196"/>
    <n v="2240.2901419999998"/>
    <n v="2854733.7837490998"/>
    <n v="30218465.454812501"/>
    <n v="98461357"/>
    <n v="458407.54690627998"/>
    <n v="136.08108383999999"/>
    <n v="311771.06163420301"/>
    <n v="7471983.88107053"/>
    <n v="44432028"/>
    <n v="206862.647236836"/>
    <n v="76.886945999999995"/>
    <n v="32384.456472999998"/>
    <n v="1113527.7153179999"/>
  </r>
  <r>
    <x v="166"/>
    <n v="1"/>
    <n v="886859291.41133904"/>
    <n v="4529750.4942926997"/>
    <n v="2184.6083050000002"/>
    <n v="2813502.1785139302"/>
    <n v="29123733.834436201"/>
    <n v="94262169"/>
    <n v="480341.26070118201"/>
    <n v="136.24817970999999"/>
    <n v="308125.71824711602"/>
    <n v="7746957.0855696304"/>
    <n v="42450124"/>
    <n v="216317.38687321599"/>
    <n v="72.327376000000001"/>
    <n v="32013.600042999999"/>
    <n v="874517.20946799999"/>
  </r>
  <r>
    <x v="167"/>
    <n v="1"/>
    <n v="885248272.76084006"/>
    <n v="4524285.7142857099"/>
    <n v="2069.6308039999999"/>
    <n v="2816123.2181167598"/>
    <n v="29588625.9132073"/>
    <n v="93936042"/>
    <n v="478923.43224227597"/>
    <n v="149.59800000000001"/>
    <n v="309923.28702522698"/>
    <n v="8179246.52423226"/>
    <n v="39034171"/>
    <n v="199011.78240032599"/>
    <n v="73.971694999999997"/>
    <n v="31968.922450999999"/>
    <n v="833289.52636000002"/>
  </r>
  <r>
    <x v="168"/>
    <n v="1"/>
    <n v="832662797.61138403"/>
    <n v="4249338.9485470001"/>
    <n v="2066.750736"/>
    <n v="2831064.1235374301"/>
    <n v="30301014.992205098"/>
    <n v="79648265"/>
    <n v="405355.31070283399"/>
    <n v="177.42987092000001"/>
    <n v="309131.83547518199"/>
    <n v="8920944.7399877403"/>
    <n v="39348865"/>
    <n v="200258.86813578199"/>
    <n v="68.280354000000003"/>
    <n v="31506.546474999999"/>
    <n v="479275.08098999999"/>
  </r>
  <r>
    <x v="169"/>
    <n v="1"/>
    <n v="840148993.13342702"/>
    <n v="4337035.0442751199"/>
    <n v="2067.2906560000001"/>
    <n v="2792838.939799"/>
    <n v="33186620.0174881"/>
    <n v="91527389"/>
    <n v="471207.727553542"/>
    <n v="181.58058868000001"/>
    <n v="306806.09295967501"/>
    <n v="8357537.0902572097"/>
    <n v="39026224"/>
    <n v="200917.54530477701"/>
    <n v="67.613304999999997"/>
    <n v="27630.935468"/>
    <n v="673607.21973899996"/>
  </r>
  <r>
    <x v="170"/>
    <n v="1"/>
    <n v="821700689.91941094"/>
    <n v="4398498.1902626501"/>
    <n v="2073.460454"/>
    <n v="2800451.9436399201"/>
    <n v="32316401.6637749"/>
    <n v="88760224"/>
    <n v="473842.75037369202"/>
    <n v="181.65456372"/>
    <n v="308467.29099309799"/>
    <n v="9051452.2361283004"/>
    <n v="38306559"/>
    <n v="204497.966047405"/>
    <n v="58.071309999999997"/>
    <n v="26982.586887000001"/>
    <n v="377879.81608999998"/>
  </r>
  <r>
    <x v="171"/>
    <n v="1"/>
    <n v="810336840.20617795"/>
    <n v="4388551.4968118398"/>
    <n v="2082.3475589999998"/>
    <n v="2751516.7131204698"/>
    <n v="31370456.924538199"/>
    <n v="89325437"/>
    <n v="482683.65395006997"/>
    <n v="132.82819142"/>
    <n v="308074.68247391802"/>
    <n v="8901918.0863604899"/>
    <n v="37359239"/>
    <n v="201876.35901869601"/>
    <n v="61.806826000000001"/>
    <n v="28825.064682"/>
    <n v="577986.47127500002"/>
  </r>
  <r>
    <x v="172"/>
    <n v="1"/>
    <n v="823483989.45585299"/>
    <n v="4488577.0799347404"/>
    <n v="2094.1650369999902"/>
    <n v="2803578.99977908"/>
    <n v="23607939.082993802"/>
    <n v="91877843"/>
    <n v="499607.62914627499"/>
    <n v="132.61606171"/>
    <n v="307829.42427310499"/>
    <n v="1537848.3779829501"/>
    <n v="39693636"/>
    <n v="215843.588907014"/>
    <n v="61.637521999999997"/>
    <n v="29112.295747"/>
    <n v="324875.88390100002"/>
  </r>
  <r>
    <x v="173"/>
    <n v="1"/>
    <n v="780185477.81424797"/>
    <n v="4508580.8659056798"/>
    <n v="2096.645035"/>
    <n v="2796878.5546806101"/>
    <n v="24051627.781246699"/>
    <n v="87691040"/>
    <n v="505540.41277527902"/>
    <n v="134.16276447000001"/>
    <n v="304474.54608345497"/>
    <n v="1677512.9559245501"/>
    <n v="39074475"/>
    <n v="225265.04669664401"/>
    <n v="61.823590000000003"/>
    <n v="28503.807191"/>
    <n v="570158.47601600003"/>
  </r>
  <r>
    <x v="174"/>
    <n v="1"/>
    <n v="779269638.49867105"/>
    <n v="4503989.3565498097"/>
    <n v="2096.8050349999999"/>
    <n v="2787096.8172510499"/>
    <n v="23651727.1058193"/>
    <n v="87178845"/>
    <n v="502645.55465867103"/>
    <n v="133.54423641"/>
    <n v="290396.40156972199"/>
    <n v="2058758.8355896701"/>
    <n v="44943841"/>
    <n v="259131.92458486999"/>
    <n v="61.706543000000003"/>
    <n v="27566.509318"/>
    <n v="535508.53748399997"/>
  </r>
  <r>
    <x v="175"/>
    <n v="1"/>
    <n v="811727252.03366995"/>
    <n v="4464935.5300702304"/>
    <n v="2096.8650349999998"/>
    <n v="2756565.9160122802"/>
    <n v="26307219.831633501"/>
    <n v="96207820"/>
    <n v="527918.23968393297"/>
    <n v="134.87884473"/>
    <n v="289095.38693339698"/>
    <n v="1904950.6730728999"/>
    <n v="47258282"/>
    <n v="259318.93107989401"/>
    <n v="59.222048000000001"/>
    <n v="26954.766017000002"/>
    <n v="782265.45110199996"/>
  </r>
  <r>
    <x v="176"/>
    <n v="1"/>
    <n v="822315493.32811904"/>
    <n v="4356224.5627014702"/>
    <n v="2042.053535"/>
    <n v="2690158.8704999499"/>
    <n v="26662028.264678601"/>
    <n v="99862427"/>
    <n v="527730.41800982901"/>
    <n v="138.02587441"/>
    <n v="286804.558955057"/>
    <n v="1873753.95853363"/>
    <n v="42483349"/>
    <n v="224506.41547323301"/>
    <n v="59.505969"/>
    <n v="23935.687059"/>
    <n v="713825.87327900005"/>
  </r>
  <r>
    <x v="177"/>
    <n v="1"/>
    <n v="769968220.38788104"/>
    <n v="4469774.2413713196"/>
    <n v="2042.2835190000001"/>
    <n v="2670535.2147557298"/>
    <n v="26710330.683504999"/>
    <n v="96939153"/>
    <n v="561380.31619179901"/>
    <n v="129.51807059000001"/>
    <n v="286617.88961585698"/>
    <n v="2018030.00866829"/>
    <n v="40239950"/>
    <n v="233031.908732916"/>
    <n v="56.570678999999998"/>
    <n v="23914.421310999998"/>
    <n v="745120.70835199999"/>
  </r>
  <r>
    <x v="178"/>
    <n v="1"/>
    <n v="771579668.61884403"/>
    <n v="4456211.1949757999"/>
    <n v="2042.34498099999"/>
    <n v="2666287.3396780002"/>
    <n v="26647729.3923692"/>
    <n v="96085205"/>
    <n v="553613.76469232503"/>
    <n v="129.51652770999999"/>
    <n v="286069.63618004898"/>
    <n v="1812865.0287629201"/>
    <n v="40248213"/>
    <n v="231897.97764461799"/>
    <n v="54.970678999999997"/>
    <n v="23400.780640000001"/>
    <n v="560195.65972"/>
  </r>
  <r>
    <x v="179"/>
    <n v="1"/>
    <n v="708655833.95138204"/>
    <n v="4543740.0089548398"/>
    <n v="2041.837053"/>
    <n v="2661472.96069249"/>
    <n v="27583591.033104401"/>
    <n v="93341701"/>
    <n v="597042.98963796801"/>
    <n v="130.12079639999999"/>
    <n v="286015.94772297301"/>
    <n v="1922621.90606362"/>
    <n v="36288894"/>
    <n v="232115.223231418"/>
    <n v="54.966816999999999"/>
    <n v="23217.860937000001"/>
    <n v="851862.03751399997"/>
  </r>
  <r>
    <x v="180"/>
    <n v="1"/>
    <n v="732360272.09353602"/>
    <n v="4550996.47284899"/>
    <n v="2040.7370880000001"/>
    <n v="2654982.2805788"/>
    <n v="27327438.511093602"/>
    <n v="95500999"/>
    <n v="591997.26630300004"/>
    <n v="131.83554404"/>
    <n v="282181.48120249202"/>
    <n v="1769663.5085576901"/>
    <n v="37913044"/>
    <n v="235017.629556161"/>
    <n v="54.963813999999999"/>
    <n v="24475.28138"/>
    <n v="564590.54452500003"/>
  </r>
  <r>
    <x v="181"/>
    <n v="1"/>
    <n v="719329292.08129001"/>
    <n v="4579996.5322324503"/>
    <n v="2033.25077699999"/>
    <n v="2651924.7673755302"/>
    <n v="27174312.963573299"/>
    <n v="94905908"/>
    <n v="602768.54874563299"/>
    <n v="131.83788726"/>
    <n v="283011.54536133702"/>
    <n v="1712396.6192682399"/>
    <n v="37458777"/>
    <n v="237909.031438551"/>
    <n v="54.957113999999997"/>
    <n v="26051.263534999998"/>
    <n v="304216.08723599999"/>
  </r>
  <r>
    <x v="182"/>
    <n v="1"/>
    <n v="728402427.19166994"/>
    <n v="4579393.7225636505"/>
    <n v="2027.74295399999"/>
    <n v="2648410.2913138899"/>
    <n v="26619331.896376599"/>
    <n v="96345511"/>
    <n v="604198.61407249398"/>
    <n v="132.51554211999999"/>
    <n v="281310.01603547198"/>
    <n v="1275005.35522676"/>
    <n v="38042043"/>
    <n v="238567.93553242099"/>
    <n v="55.168484999999997"/>
    <n v="25882.704086999998"/>
    <n v="192177.462038"/>
  </r>
  <r>
    <x v="183"/>
    <n v="1"/>
    <n v="722011838.54136705"/>
    <n v="4538442.8490955699"/>
    <n v="2027.7139870000001"/>
    <n v="2641435.5982144"/>
    <n v="27198360.599737499"/>
    <n v="94404382"/>
    <n v="590876.772860987"/>
    <n v="139.80001265000001"/>
    <n v="279795.365377696"/>
    <n v="172800.50553612501"/>
    <n v="37548102"/>
    <n v="235013.46936220801"/>
    <n v="55.165875919999998"/>
    <n v="26426.4000459942"/>
    <n v="209278.636888918"/>
  </r>
  <r>
    <x v="184"/>
    <n v="1"/>
    <n v="716018773.29163802"/>
    <n v="4542398.8692356199"/>
    <n v="2027.803973"/>
    <n v="2655480.2629169798"/>
    <n v="29758043.212191202"/>
    <n v="94186303"/>
    <n v="594986.121288692"/>
    <n v="141.97216574999999"/>
    <n v="286305.71757337998"/>
    <n v="2072247.3011892"/>
    <n v="36900068"/>
    <n v="233102.13518635501"/>
    <n v="54.283630080000002"/>
    <n v="26541.502013273701"/>
    <n v="515142.085236835"/>
  </r>
  <r>
    <x v="185"/>
    <n v="1"/>
    <n v="756080063.44333005"/>
    <n v="4460116.3533834498"/>
    <n v="2027.8458450000001"/>
    <n v="2645505.8157818601"/>
    <n v="31463635.791627899"/>
    <n v="99645278"/>
    <n v="585322.35667293204"/>
    <n v="142.30027268000001"/>
    <n v="297211.70570197399"/>
    <n v="1957632.2235890799"/>
    <n v="38652854"/>
    <n v="227049.189379699"/>
    <n v="48.654069290000002"/>
    <n v="29560.387264923102"/>
    <n v="871418.582743668"/>
  </r>
  <r>
    <x v="186"/>
    <n v="1"/>
    <n v="766170502.10742199"/>
    <n v="4439344.9226863496"/>
    <n v="2026.605693"/>
    <n v="2633919.90630844"/>
    <n v="32383063.034797199"/>
    <n v="100381292"/>
    <n v="579167.38979921502"/>
    <n v="153.43731811999999"/>
    <n v="295452.80669605598"/>
    <n v="2748952.7164946999"/>
    <n v="36940062"/>
    <n v="213132.137087468"/>
    <n v="49.09612259"/>
    <n v="29535.466549599099"/>
    <n v="1070823.7381440999"/>
  </r>
  <r>
    <x v="187"/>
    <n v="1"/>
    <n v="747276515.55975604"/>
    <n v="4547661.4261480598"/>
    <n v="2026.625728"/>
    <n v="2658537.7930493201"/>
    <n v="34049047.959820502"/>
    <n v="99593395"/>
    <n v="603376.92354295403"/>
    <n v="163.47476448"/>
    <n v="283534.46901910799"/>
    <n v="3189748.8579175901"/>
    <n v="34566606"/>
    <n v="209418.42966194099"/>
    <n v="48.319081910000001"/>
    <n v="29657.453349570402"/>
    <n v="1069164.27486672"/>
  </r>
  <r>
    <x v="188"/>
    <n v="1"/>
    <n v="781024895.33302402"/>
    <n v="4569394.9236507704"/>
    <n v="2026.7332100000001"/>
    <n v="2760004.86448674"/>
    <n v="40142967.733634204"/>
    <n v="100879248"/>
    <n v="587942.93041146896"/>
    <n v="168.13723012"/>
    <n v="305611.07949371502"/>
    <n v="3044982.9746929002"/>
    <n v="33238367"/>
    <n v="193719.355402727"/>
    <n v="47.604881910000003"/>
    <n v="29522.802700875"/>
    <n v="968289.50709687395"/>
  </r>
  <r>
    <x v="189"/>
    <n v="1"/>
    <n v="702760804.23456597"/>
    <n v="4906711.6518353699"/>
    <n v="2026.808209"/>
    <n v="2796907.3598807901"/>
    <n v="42091388.734025098"/>
    <n v="94886774"/>
    <n v="659668.89599554997"/>
    <n v="172.86837489000001"/>
    <n v="294169.43551591301"/>
    <n v="3376833.1286865901"/>
    <n v="30636560"/>
    <n v="212990.54505005499"/>
    <n v="47.424485939999997"/>
    <n v="28682.475764102001"/>
    <n v="975281.04381597904"/>
  </r>
  <r>
    <x v="190"/>
    <n v="1"/>
    <n v="706047929.13660598"/>
    <n v="4893175.8694452103"/>
    <n v="2027.148209"/>
    <n v="2795947.9959444902"/>
    <n v="41962632.373863198"/>
    <n v="94736309"/>
    <n v="653714.52525531303"/>
    <n v="172.79517526000001"/>
    <n v="294628.01871356199"/>
    <n v="3792741.3360106898"/>
    <n v="30947985"/>
    <n v="213552.20121446301"/>
    <n v="47.198228790000002"/>
    <n v="28726.515685707"/>
    <n v="903244.416554978"/>
  </r>
  <r>
    <x v="191"/>
    <n v="1"/>
    <n v="691957362.21584404"/>
    <n v="4903166.6478515398"/>
    <n v="2008.4082089999999"/>
    <n v="2804170.2813527398"/>
    <n v="41394672.254669003"/>
    <n v="92362584"/>
    <n v="651679.84195300902"/>
    <n v="175.46854298"/>
    <n v="294480.433163004"/>
    <n v="3919667.6688665999"/>
    <n v="30432402"/>
    <n v="214720.962393283"/>
    <n v="46.880149840000001"/>
    <n v="28679.5326318183"/>
    <n v="924327.91449642403"/>
  </r>
  <r>
    <x v="192"/>
    <n v="1"/>
    <n v="692443933.62593603"/>
    <n v="4901802.79853376"/>
    <n v="2010.30324"/>
    <n v="2804579.9134509801"/>
    <n v="40921365.310876504"/>
    <n v="93656486"/>
    <n v="660203.62329056801"/>
    <n v="173.61922623999999"/>
    <n v="293354.837922609"/>
    <n v="3899467.93915084"/>
    <n v="30176346"/>
    <n v="212719.20203017001"/>
    <n v="46.356892610000003"/>
    <n v="28389.554207735098"/>
    <n v="966531.67727881204"/>
  </r>
  <r>
    <x v="193"/>
    <n v="1"/>
    <n v="672920510.04786503"/>
    <n v="4952499.6189638702"/>
    <n v="2007.725332"/>
    <n v="2804418.3491643299"/>
    <n v="41170401.410810001"/>
    <n v="93260019"/>
    <n v="683373.77445592405"/>
    <n v="183.69779736000001"/>
    <n v="294157.661314703"/>
    <n v="4413878.8464281596"/>
    <n v="29778170"/>
    <n v="218203.04828900099"/>
    <n v="46.756892610000001"/>
    <n v="28159.404512104498"/>
    <n v="989219.57359388401"/>
  </r>
  <r>
    <x v="194"/>
    <n v="1"/>
    <n v="657177362.54551399"/>
    <n v="4908229.4520038599"/>
    <n v="1991.8453319999901"/>
    <n v="2817132.7146131401"/>
    <n v="42079768.287581898"/>
    <n v="89922260"/>
    <n v="668616.70012640301"/>
    <n v="184.8088142"/>
    <n v="295459.76559734601"/>
    <n v="5402869.5975678796"/>
    <n v="29616651"/>
    <n v="220214.52152576399"/>
    <n v="46.80821607"/>
    <n v="27594.852708176699"/>
    <n v="1117588.95659276"/>
  </r>
  <r>
    <x v="195"/>
    <n v="1"/>
    <n v="617738018.75030696"/>
    <n v="4668624.8834060403"/>
    <n v="1990.7853319999999"/>
    <n v="2792682.2902944"/>
    <n v="18053639.6333283"/>
    <n v="90244470"/>
    <n v="678836.09146983596"/>
    <n v="179.07782046"/>
    <n v="293210.02950830798"/>
    <n v="5875150.2893953202"/>
    <n v="28744641"/>
    <n v="216222.664359861"/>
    <n v="46.574116750000002"/>
    <n v="27663.560968880902"/>
    <n v="999789.96127496206"/>
  </r>
  <r>
    <x v="196"/>
    <n v="1"/>
    <n v="614556633.60702801"/>
    <n v="4890068.3197338199"/>
    <n v="1985.0753319999999"/>
    <n v="2783979.8660946102"/>
    <n v="42853505.036563501"/>
    <n v="86747306"/>
    <n v="687216.24019646598"/>
    <n v="177.21143074"/>
    <n v="293300.45803517802"/>
    <n v="7179399.1369046196"/>
    <n v="27635738"/>
    <n v="218931.61688980399"/>
    <n v="55.007489040000003"/>
    <n v="26805.844484588401"/>
    <n v="1027698.17089232"/>
  </r>
  <r>
    <x v="197"/>
    <n v="1"/>
    <n v="634090299.48257303"/>
    <n v="4811437.7821393497"/>
    <n v="1920.2538319999901"/>
    <n v="2757782.9625264299"/>
    <n v="49760294.320359103"/>
    <n v="90663273"/>
    <n v="684406.07684758794"/>
    <n v="245.24382618000001"/>
    <n v="294894.08424133097"/>
    <n v="13401748.5109157"/>
    <n v="29312843"/>
    <n v="221279.10470295101"/>
    <n v="55.095790170000001"/>
    <n v="25818.551420479402"/>
    <n v="630796.97865068598"/>
  </r>
  <r>
    <x v="198"/>
    <n v="1"/>
    <n v="633004940.22928202"/>
    <n v="4779984.6795401601"/>
    <n v="1914.863832"/>
    <n v="2720425.53448322"/>
    <n v="51294931.210198797"/>
    <n v="90070040"/>
    <n v="676760.38770756603"/>
    <n v="183.05219443999999"/>
    <n v="291741.93337982299"/>
    <n v="14768126.065568401"/>
    <n v="29297432"/>
    <n v="220132.481779247"/>
    <n v="55.467702490000001"/>
    <n v="25771.999141573498"/>
    <n v="476325.85945275298"/>
  </r>
  <r>
    <x v="199"/>
    <n v="1"/>
    <n v="655493564.68791497"/>
    <n v="4698287.4919774598"/>
    <n v="1924.6938319999999"/>
    <n v="2706554.5027487399"/>
    <n v="51345463.525303602"/>
    <n v="91994898"/>
    <n v="656028.65292733302"/>
    <n v="183.41330045999999"/>
    <n v="289653.918574401"/>
    <n v="14484682.2970767"/>
    <n v="30143309"/>
    <n v="214956.20765884599"/>
    <n v="55.067702490000002"/>
    <n v="25619.896549967099"/>
    <n v="472425.233205923"/>
  </r>
  <r>
    <x v="200"/>
    <n v="1"/>
    <n v="627148623.82730103"/>
    <n v="4588230.1521438397"/>
    <n v="1919.323832"/>
    <n v="2649730.43974452"/>
    <n v="44972517.1912717"/>
    <n v="82492856"/>
    <n v="600515.80403290305"/>
    <n v="183.64779697"/>
    <n v="290082.906791955"/>
    <n v="13828366.737738799"/>
    <n v="28612093"/>
    <n v="208284.87297080801"/>
    <n v="54.96084097"/>
    <n v="25372.409109087701"/>
    <n v="447237.74521383998"/>
  </r>
  <r>
    <x v="201"/>
    <n v="1"/>
    <n v="634565206.04861605"/>
    <n v="4557811.9728377396"/>
    <n v="1916.7038319999999"/>
    <n v="2650489.7758264299"/>
    <n v="51778898.836091198"/>
    <n v="83238770"/>
    <n v="594987.63402430306"/>
    <n v="180.05768644"/>
    <n v="291465.01292511"/>
    <n v="13255388.7592232"/>
    <n v="29282748"/>
    <n v="209311.99428162901"/>
    <n v="60.110840969999998"/>
    <n v="25377.541246238601"/>
    <n v="427667.310079085"/>
  </r>
  <r>
    <x v="202"/>
    <n v="1"/>
    <n v="616733984.47483599"/>
    <n v="4508070.4568601698"/>
    <n v="1915.7938320000001"/>
    <n v="2642482.0360999899"/>
    <n v="51410435.565873601"/>
    <n v="81105314"/>
    <n v="590028.473737814"/>
    <n v="180.72641465999999"/>
    <n v="300579.18937712401"/>
    <n v="12676074.0615796"/>
    <n v="29076831"/>
    <n v="211529.39764295"/>
    <n v="60.210841039999998"/>
    <n v="24934.107238301"/>
    <n v="418459.19163388398"/>
  </r>
  <r>
    <x v="203"/>
    <n v="1"/>
    <n v="572869937.04912806"/>
    <n v="4638262.8757959204"/>
    <n v="1904.623832"/>
    <n v="2664100.4906547298"/>
    <n v="49362861.257648602"/>
    <n v="76088831"/>
    <n v="613273.40211171098"/>
    <n v="180.07869360000001"/>
    <n v="302976.51917253301"/>
    <n v="12247378.9307965"/>
    <n v="26725152"/>
    <n v="215403.82042395399"/>
    <n v="60.110841039999997"/>
    <n v="28861.684175661401"/>
    <n v="415468.681811894"/>
  </r>
  <r>
    <x v="204"/>
    <n v="1"/>
    <n v="671339119.80105197"/>
    <n v="5046250.5988920396"/>
    <n v="1882.9938320000001"/>
    <n v="2660032.2683988898"/>
    <n v="49201281.857059903"/>
    <n v="111116264"/>
    <n v="831833.08878574602"/>
    <n v="180.37835455999999"/>
    <n v="303656.18023322697"/>
    <n v="11526500.1284867"/>
    <n v="30862493"/>
    <n v="231041.271148375"/>
    <n v="62.707291040000001"/>
    <n v="28818.299316522702"/>
    <n v="403589.960604958"/>
  </r>
  <r>
    <x v="205"/>
    <n v="1"/>
    <n v="609167268.65751004"/>
    <n v="4566774.1752500301"/>
    <n v="1883.5438319999901"/>
    <n v="2664018.2814526302"/>
    <n v="47988325.807428002"/>
    <n v="80262584"/>
    <n v="599063.91998805699"/>
    <n v="181.96502372"/>
    <n v="302398.21394462202"/>
    <n v="11660145.793827601"/>
    <n v="28542811"/>
    <n v="213037.84893267599"/>
    <n v="62.707291040000001"/>
    <n v="29536.1604249702"/>
    <n v="394090.88684788899"/>
  </r>
  <r>
    <x v="206"/>
    <n v="1"/>
    <n v="618180940.16475999"/>
    <n v="4516923.4831951102"/>
    <n v="1881.113832"/>
    <n v="2670565.7069079299"/>
    <n v="47787532.880186997"/>
    <n v="81862899"/>
    <n v="595539.78611959796"/>
    <n v="181.96474710000001"/>
    <n v="302841.29393871099"/>
    <n v="11649863.7504347"/>
    <n v="27252807"/>
    <n v="198259.90833696999"/>
    <n v="62.725380229999999"/>
    <n v="29555.966696178999"/>
    <n v="388823.47028564097"/>
  </r>
  <r>
    <x v="207"/>
    <n v="1"/>
    <n v="563481801.39426899"/>
    <n v="4723161.8248601696"/>
    <n v="1880.0438319999901"/>
    <n v="2714503.4647645401"/>
    <n v="49290509.964455999"/>
    <n v="78304719"/>
    <n v="653683.27072376595"/>
    <n v="181.94250491"/>
    <n v="303758.30532850698"/>
    <n v="11670708.5259069"/>
    <n v="25017574"/>
    <n v="208845.26254278299"/>
    <n v="62.728774199999997"/>
    <n v="30075.622628078701"/>
    <n v="420629.88539316802"/>
  </r>
  <r>
    <x v="208"/>
    <n v="1"/>
    <n v="546127754.08512402"/>
    <n v="4703563.6114207301"/>
    <n v="1879.343832"/>
    <n v="2726677.95608162"/>
    <n v="50158526.567230001"/>
    <n v="71583930"/>
    <n v="613769.44182457298"/>
    <n v="181.03905144999999"/>
    <n v="300874.004169525"/>
    <n v="11998532.8432207"/>
    <n v="23467351"/>
    <n v="201211.96090199699"/>
    <n v="62.809268869999997"/>
    <n v="26168.966860123801"/>
    <n v="456556.61274548998"/>
  </r>
  <r>
    <x v="209"/>
    <n v="1"/>
    <n v="538081760.80769801"/>
    <n v="4812599.7861534301"/>
    <n v="1875.313832"/>
    <n v="2790387.58565614"/>
    <n v="45215746.771369897"/>
    <n v="71160453"/>
    <n v="634059.10184442601"/>
    <n v="165.91104267"/>
    <n v="300442.76685120398"/>
    <n v="5275397.9201489901"/>
    <n v="23949023"/>
    <n v="213392.34607502399"/>
    <n v="62.35516887"/>
    <n v="26357.900264058298"/>
    <n v="308077.87390244898"/>
  </r>
  <r>
    <x v="210"/>
    <n v="1"/>
    <n v="587111477.67024696"/>
    <n v="4674243.1993020801"/>
    <n v="1871.393832"/>
    <n v="2778965.6097708801"/>
    <n v="50207453.006617002"/>
    <n v="77139537"/>
    <n v="611781.56078991201"/>
    <n v="165.63512842"/>
    <n v="297525.72199600399"/>
    <n v="4966057.30908019"/>
    <n v="25527899"/>
    <n v="202457.76032992301"/>
    <n v="54.680154510000001"/>
    <n v="25952.023888479998"/>
    <n v="223949.280904115"/>
  </r>
  <r>
    <x v="211"/>
    <n v="1"/>
    <n v="598636030.334782"/>
    <n v="4842160.6092352299"/>
    <n v="1873.2638320000001"/>
    <n v="2803088.9572451799"/>
    <n v="53176671.368048698"/>
    <n v="87902675"/>
    <n v="708378.39471351402"/>
    <n v="163.92349967999999"/>
    <n v="299334.24682675803"/>
    <n v="5189909.7313661296"/>
    <n v="24011171"/>
    <n v="193498.033685228"/>
    <n v="51.514128700000001"/>
    <n v="25749.716426946801"/>
    <n v="241363.04593966599"/>
  </r>
  <r>
    <x v="212"/>
    <n v="1"/>
    <n v="664613777.54712403"/>
    <n v="4904334.3237478798"/>
    <n v="1873.0538320000001"/>
    <n v="2872684.28477675"/>
    <n v="53177312.541698202"/>
    <n v="93926849"/>
    <n v="690790.97595057695"/>
    <n v="132.54838749000001"/>
    <n v="307008.90983437799"/>
    <n v="3464322.4859714899"/>
    <n v="24915277"/>
    <n v="183240.98698242201"/>
    <n v="51.553902170000001"/>
    <n v="25723.6666414598"/>
    <n v="240992.13226515899"/>
  </r>
  <r>
    <x v="213"/>
    <n v="1"/>
    <n v="562915886.94845402"/>
    <n v="5167329.9121844098"/>
    <n v="1871.9638319999999"/>
    <n v="2917832.1856767498"/>
    <n v="65441681.5599242"/>
    <n v="83366275"/>
    <n v="762589.416392243"/>
    <n v="153.76552695999999"/>
    <n v="313944.898279863"/>
    <n v="3504925.5835541799"/>
    <n v="19735871"/>
    <n v="180533.031467252"/>
    <n v="51.51196513"/>
    <n v="25552.690721833002"/>
    <n v="248062.29633398299"/>
  </r>
  <r>
    <x v="214"/>
    <n v="1"/>
    <n v="899221594.23507297"/>
    <n v="4588695.4351362297"/>
    <n v="1856.873832"/>
    <n v="2767818.6819346799"/>
    <n v="80933021.211756706"/>
    <n v="115859010"/>
    <n v="588953.89385929203"/>
    <n v="176.0717612"/>
    <n v="314710.76161425101"/>
    <n v="2081964.6978319399"/>
    <n v="27578054"/>
    <n v="140189.37576250499"/>
    <n v="54.666143920000003"/>
    <n v="25647.405076568401"/>
    <n v="196209.15039313701"/>
  </r>
  <r>
    <x v="215"/>
    <n v="1"/>
    <n v="916398917.07507706"/>
    <n v="4551205.2199297398"/>
    <n v="1794.275832"/>
    <n v="2776048.4373754002"/>
    <n v="84376057.101925805"/>
    <n v="119991847"/>
    <n v="593695.74489139498"/>
    <n v="172.73691543999999"/>
    <n v="314452.46457957802"/>
    <n v="1990721.92948899"/>
    <n v="27430745"/>
    <n v="135721.85938350399"/>
    <n v="53.759343919999999"/>
    <n v="25618.197101648399"/>
    <n v="117656.356696275"/>
  </r>
  <r>
    <x v="216"/>
    <n v="1"/>
    <n v="936166054.950876"/>
    <n v="4606763.5333921704"/>
    <n v="1793.8858319999999"/>
    <n v="2778737.00135057"/>
    <n v="82458195.709950194"/>
    <n v="133493023"/>
    <n v="654570.08433852997"/>
    <n v="160.70824617"/>
    <n v="303513.37697426602"/>
    <n v="1882158.68311806"/>
    <n v="27237089"/>
    <n v="133554.42286947099"/>
    <n v="51.870614179999997"/>
    <n v="25127.161282864399"/>
    <n v="229168.48676834101"/>
  </r>
  <r>
    <x v="217"/>
    <n v="1"/>
    <n v="891896028.21796703"/>
    <n v="4441760.3722084304"/>
    <n v="1792.6858319999999"/>
    <n v="2671037.1680094399"/>
    <n v="85346240.880021393"/>
    <n v="137463509"/>
    <n v="682201.03722084302"/>
    <n v="133.26655941000001"/>
    <n v="295675.87303878798"/>
    <n v="1395465.88713877"/>
    <n v="26274281"/>
    <n v="130393.454094292"/>
    <n v="51.10870517"/>
    <n v="25141.764485245301"/>
    <n v="127796.14793335"/>
  </r>
  <r>
    <x v="218"/>
    <n v="1"/>
    <n v="1029765117.48488"/>
    <n v="4295148.6408977499"/>
    <n v="1793.9458319999901"/>
    <n v="2676778.1655444698"/>
    <n v="84467249.311182007"/>
    <n v="160312325"/>
    <n v="666302.26517040702"/>
    <n v="133.24457855"/>
    <n v="297799.51129197801"/>
    <n v="786637.13941360498"/>
    <n v="22463695"/>
    <n v="93365.3158769742"/>
    <n v="47.165704480000002"/>
    <n v="31847.032659229"/>
    <n v="101320.20148660299"/>
  </r>
  <r>
    <x v="219"/>
    <n v="1"/>
    <n v="1050724755.2691801"/>
    <n v="4266463.66248482"/>
    <n v="1800.7835906600001"/>
    <n v="2704883.2011647201"/>
    <n v="84719977.657957703"/>
    <n v="164764511"/>
    <n v="666792.84095507895"/>
    <n v="143.79724143999999"/>
    <n v="332400.887416379"/>
    <n v="2141034.6336882301"/>
    <n v="23768670"/>
    <n v="96190.489680291299"/>
    <n v="29.82453765"/>
    <n v="31510.5193685944"/>
    <n v="188268.788385377"/>
  </r>
  <r>
    <x v="220"/>
    <n v="1"/>
    <n v="994961183.03524494"/>
    <n v="4340579.5600765003"/>
    <n v="1763.6258319999999"/>
    <n v="2714596.9106645002"/>
    <n v="83429638.914892003"/>
    <n v="162454594"/>
    <n v="706201.50408624497"/>
    <n v="140.22807080999999"/>
    <n v="382700.53241136699"/>
    <n v="1113893.6844432701"/>
    <n v="22989841"/>
    <n v="99938.449834811297"/>
    <n v="32.312200939999997"/>
    <n v="24238.127511031998"/>
    <n v="176355.881256136"/>
  </r>
  <r>
    <x v="221"/>
    <n v="1"/>
    <n v="995888605.36657798"/>
    <n v="4394151.3932841001"/>
    <n v="1765.365832"/>
    <n v="2727667.8177911299"/>
    <n v="83415446.067451105"/>
    <n v="163424618"/>
    <n v="718286.82313642697"/>
    <n v="174.32975138"/>
    <n v="388587.53973175498"/>
    <n v="2050135.57550219"/>
    <n v="21863168"/>
    <n v="96093.389592123698"/>
    <n v="32.357567539999998"/>
    <n v="23352.302993125999"/>
    <n v="127494.861387931"/>
  </r>
  <r>
    <x v="222"/>
    <n v="1"/>
    <n v="977589920.84205401"/>
    <n v="4347165.17849233"/>
    <n v="1768.4758320000001"/>
    <n v="2655389.9312866102"/>
    <n v="80837633.624174103"/>
    <n v="162107032"/>
    <n v="717986.67729648296"/>
    <n v="192.40423172000001"/>
    <n v="332502.42416076298"/>
    <n v="200800.94298866601"/>
    <n v="21933848"/>
    <n v="97146.992647710096"/>
    <n v="37.902593979999999"/>
    <n v="22915.959000569401"/>
    <n v="69575.862341782195"/>
  </r>
  <r>
    <x v="223"/>
    <n v="1"/>
    <n v="1017471746.2911299"/>
    <n v="4360282.0622252496"/>
    <n v="1771.1858319999999"/>
    <n v="2717390.2552508102"/>
    <n v="82968452.221595004"/>
    <n v="165627671"/>
    <n v="706874.10268447699"/>
    <n v="232.43303508"/>
    <n v="386309.09183174197"/>
    <n v="3774296.5952713401"/>
    <n v="21029088"/>
    <n v="89748.999189108406"/>
    <n v="29.479685750000002"/>
    <n v="18031.257634015299"/>
    <n v="165400.91555208701"/>
  </r>
  <r>
    <x v="224"/>
    <n v="1"/>
    <n v="958254227.22212601"/>
    <n v="4351640.7497851904"/>
    <n v="1776.4158319999999"/>
    <n v="2728397.96153002"/>
    <n v="83459139.918286696"/>
    <n v="158130713"/>
    <n v="715102.93944738305"/>
    <n v="231.72469538999999"/>
    <n v="392390.98604948597"/>
    <n v="6878790.0693703797"/>
    <n v="20519363"/>
    <n v="92793.212137656505"/>
    <n v="29.906112270000001"/>
    <n v="18287.212318949601"/>
    <n v="448571.05510698998"/>
  </r>
  <r>
    <x v="225"/>
    <n v="1"/>
    <n v="981913349.01107895"/>
    <n v="4431250.2471687896"/>
    <n v="1778.1860320000001"/>
    <n v="2835268.1135523398"/>
    <n v="83476461.701513797"/>
    <n v="156887405"/>
    <n v="705048.55743303895"/>
    <n v="239.17468871"/>
    <n v="471673.54317383101"/>
    <n v="5815343.4677627897"/>
    <n v="20320134"/>
    <n v="91318.236563005499"/>
    <n v="27.93721227"/>
    <n v="18170.707853437802"/>
    <n v="351430.15139091102"/>
  </r>
  <r>
    <x v="226"/>
    <n v="1"/>
    <n v="1002757521.61868"/>
    <n v="4379992.2233343404"/>
    <n v="1779.3760319999999"/>
    <n v="2833091.4152929201"/>
    <n v="87306539.005204305"/>
    <n v="160430857"/>
    <n v="698162.91831672401"/>
    <n v="206.67168588000001"/>
    <n v="472504.99422973301"/>
    <n v="8885878.8914309293"/>
    <n v="20342783"/>
    <n v="88527.712259019099"/>
    <n v="25.643197709999999"/>
    <n v="17691.102538686901"/>
    <n v="943857.02670611604"/>
  </r>
  <r>
    <x v="227"/>
    <n v="1"/>
    <n v="1007606926.2988501"/>
    <n v="4394405.07170795"/>
    <n v="1779.726032"/>
    <n v="2844408.84403351"/>
    <n v="86702166.319893196"/>
    <n v="160979233"/>
    <n v="699605.53237722698"/>
    <n v="173.93987849999999"/>
    <n v="476731.26340031601"/>
    <n v="8863821.8608955797"/>
    <n v="19497219"/>
    <n v="84733.676662320693"/>
    <n v="25.50001232"/>
    <n v="17636.961352297301"/>
    <n v="213434.4228148"/>
  </r>
  <r>
    <x v="228"/>
    <n v="1"/>
    <n v="970651358.251701"/>
    <n v="4327440.7292267997"/>
    <n v="1779.6160319999999"/>
    <n v="2849198.5488032401"/>
    <n v="90470879.005535603"/>
    <n v="152722117"/>
    <n v="678252.50699471496"/>
    <n v="175.00395621000001"/>
    <n v="478370.72925756202"/>
    <n v="8929154.2114081793"/>
    <n v="18634128"/>
    <n v="82755.820047075496"/>
    <n v="25.726189640000001"/>
    <n v="17435.2741439087"/>
    <n v="262390.35366927"/>
  </r>
  <r>
    <x v="229"/>
    <n v="1"/>
    <n v="1049088102.01591"/>
    <n v="4239368.4969004104"/>
    <n v="1780.746032"/>
    <n v="2862902.8841663599"/>
    <n v="93987300.876341805"/>
    <n v="167623821"/>
    <n v="674759.765719346"/>
    <n v="175.30416588"/>
    <n v="527861.29845368699"/>
    <n v="9006594.5793247707"/>
    <n v="15588551"/>
    <n v="62750.788986394"/>
    <n v="25.706755470000001"/>
    <n v="17330.500019915398"/>
    <n v="785349.62335260306"/>
  </r>
  <r>
    <x v="230"/>
    <n v="1"/>
    <n v="1113973133.7537301"/>
    <n v="4183394.52177817"/>
    <n v="1784.3470419999901"/>
    <n v="2842202.63721865"/>
    <n v="88913464.377580598"/>
    <n v="176486612"/>
    <n v="660404.92441251304"/>
    <n v="174.25274286999999"/>
    <n v="526710.44668034394"/>
    <n v="8884041.6559843104"/>
    <n v="16508845"/>
    <n v="61775.3517437509"/>
    <n v="25.378874589999999"/>
    <n v="17505.478076936499"/>
    <n v="883293.61716010899"/>
  </r>
  <r>
    <x v="231"/>
    <n v="1"/>
    <n v="1143190417.5720699"/>
    <n v="4166388.1468569501"/>
    <n v="1784.3370420000001"/>
    <n v="2838405.2569121001"/>
    <n v="87257101.462795004"/>
    <n v="183374572"/>
    <n v="665920.65947634005"/>
    <n v="179.09790975000001"/>
    <n v="528476.97873762494"/>
    <n v="8511616.5119096804"/>
    <n v="16180780"/>
    <n v="58760.140901332699"/>
    <n v="22.2075058"/>
    <n v="17482.036731865999"/>
    <n v="198396.09624544901"/>
  </r>
  <r>
    <x v="232"/>
    <n v="1"/>
    <n v="1105012425.5873699"/>
    <n v="4188937.5353947198"/>
    <n v="1784.0870420000001"/>
    <n v="2802662.7019713698"/>
    <n v="85888495.483492002"/>
    <n v="177835848"/>
    <n v="671408.04168082401"/>
    <n v="175.49169706000001"/>
    <n v="527942.60242229502"/>
    <n v="8157501.62199743"/>
    <n v="15595441"/>
    <n v="58879.605089288998"/>
    <n v="22.45466339"/>
    <n v="17451.406699803501"/>
    <n v="211909.849241989"/>
  </r>
  <r>
    <x v="233"/>
    <n v="1"/>
    <n v="1114264036.4497001"/>
    <n v="4191981.0694345501"/>
    <n v="1784.217042"/>
    <n v="2815748.2394081098"/>
    <n v="84232090.988658503"/>
    <n v="179005084"/>
    <n v="670757.61232060497"/>
    <n v="175.45953039"/>
    <n v="526625.00440334296"/>
    <n v="6050482.3637412898"/>
    <n v="15728012"/>
    <n v="58935.106980926997"/>
    <n v="22.08945439"/>
    <n v="17973.9593226834"/>
    <n v="193799.88050122699"/>
  </r>
  <r>
    <x v="234"/>
    <n v="1"/>
    <n v="1082892363.9916899"/>
    <n v="4204537.8842361597"/>
    <n v="1783.92704199999"/>
    <n v="2796646.0165257999"/>
    <n v="85540880.256370693"/>
    <n v="174873724"/>
    <n v="676154.05792058096"/>
    <n v="176.24253894"/>
    <n v="507030.07063673501"/>
    <n v="7283333.7623458495"/>
    <n v="15248290"/>
    <n v="58957.932181108103"/>
    <n v="21.636030130000002"/>
    <n v="17630.9566809274"/>
    <n v="154068.01283808899"/>
  </r>
  <r>
    <x v="235"/>
    <n v="1"/>
    <n v="1086246428.46788"/>
    <n v="4199969.1422191402"/>
    <n v="1783.92704199999"/>
    <n v="2820173.9430382098"/>
    <n v="84945274.877961993"/>
    <n v="172011426"/>
    <n v="662244.65234465199"/>
    <n v="173.50750424"/>
    <n v="505534.73222562502"/>
    <n v="7399343.9389224602"/>
    <n v="14582324"/>
    <n v="56142.003542003498"/>
    <n v="21.022688120000002"/>
    <n v="17289.8781570256"/>
    <n v="167773.28048096201"/>
  </r>
  <r>
    <x v="236"/>
    <n v="1"/>
    <n v="1234764133.63956"/>
    <n v="4389882.4008498499"/>
    <n v="1783.8570420000001"/>
    <n v="3081836.5194387198"/>
    <n v="84173570.578271493"/>
    <n v="168465801"/>
    <n v="596550.28682719497"/>
    <n v="183.25594161000001"/>
    <n v="510609.94193995098"/>
    <n v="5711294.3445530403"/>
    <n v="15371513"/>
    <n v="54431.703257790301"/>
    <n v="20.670654559999999"/>
    <n v="13245.9306291422"/>
    <n v="209988.38344531701"/>
  </r>
  <r>
    <x v="237"/>
    <n v="1"/>
    <n v="1199142249.37976"/>
    <n v="4495574.8206814099"/>
    <n v="1783.448783"/>
    <n v="3098864.2590244501"/>
    <n v="90242856.078425899"/>
    <n v="154859668"/>
    <n v="578525.35863717797"/>
    <n v="165.48473225999999"/>
    <n v="487718.81038499199"/>
    <n v="8736371.0157762393"/>
    <n v="14566604"/>
    <n v="54417.976688583301"/>
    <n v="19.669854310000002"/>
    <n v="12992.4174511983"/>
    <n v="204412.947541011"/>
  </r>
  <r>
    <x v="238"/>
    <n v="1"/>
    <n v="1168333428.7519901"/>
    <n v="4523356.7112928703"/>
    <n v="1783.538783"/>
    <n v="3145009.3048690702"/>
    <n v="90664566.701949701"/>
    <n v="148710302"/>
    <n v="573750.15239785402"/>
    <n v="163.67672859999999"/>
    <n v="486172.372785185"/>
    <n v="9974578.3064310104"/>
    <n v="14275359"/>
    <n v="55076.812377020702"/>
    <n v="20.340026430000002"/>
    <n v="12492.354489105801"/>
    <n v="192358.369703984"/>
  </r>
  <r>
    <x v="239"/>
    <n v="1"/>
    <n v="1178640252.6984301"/>
    <n v="4468851.7935357103"/>
    <n v="1783.4087829999901"/>
    <n v="3132350.7576899999"/>
    <n v="88547353.102349803"/>
    <n v="150570918"/>
    <n v="568535.41005890304"/>
    <n v="164.05571085"/>
    <n v="484973.25961009902"/>
    <n v="9773165.21317604"/>
    <n v="13851130"/>
    <n v="52299.992448270597"/>
    <n v="20.01544908"/>
    <n v="13195.158281278"/>
    <n v="183894.53127687101"/>
  </r>
  <r>
    <x v="240"/>
    <n v="1"/>
    <n v="1266549245.02843"/>
    <n v="4452384.7134650396"/>
    <n v="1783.8387829999999"/>
    <n v="3174078.5382822198"/>
    <n v="87173201.618802294"/>
    <n v="161227022"/>
    <n v="564757.67829620198"/>
    <n v="163.33327299999999"/>
    <n v="490665.69375647203"/>
    <n v="9984489.7902434804"/>
    <n v="14313984"/>
    <n v="50140.058848255503"/>
    <n v="18.723868119999999"/>
    <n v="13124.233059117099"/>
    <n v="188156.394591107"/>
  </r>
  <r>
    <x v="241"/>
    <n v="1"/>
    <n v="1198212189.0943799"/>
    <n v="4485055.6438080296"/>
    <n v="1784.278783"/>
    <n v="3181965.83679173"/>
    <n v="85407920.997521996"/>
    <n v="159528791"/>
    <n v="594879.33400454896"/>
    <n v="162.37584953000001"/>
    <n v="501289.61331480398"/>
    <n v="9681387.8644061796"/>
    <n v="12009511"/>
    <n v="44783.200954618304"/>
    <n v="18.635398930000001"/>
    <n v="14070.7539917001"/>
    <n v="201447.186136948"/>
  </r>
  <r>
    <x v="242"/>
    <n v="1"/>
    <n v="1193987422.7049"/>
    <n v="4510931.9033641899"/>
    <n v="1783.4387830000001"/>
    <n v="3192042.1587694902"/>
    <n v="82485105.746270895"/>
    <n v="160000949"/>
    <n v="602095.841800255"/>
    <n v="175.3077476"/>
    <n v="500158.556409791"/>
    <n v="10446637.139207199"/>
    <n v="11430328"/>
    <n v="43013.200873033697"/>
    <n v="18.428657640000001"/>
    <n v="14594.978101221701"/>
    <n v="192184.87993515801"/>
  </r>
  <r>
    <x v="243"/>
    <n v="1"/>
    <n v="1105126491.5885301"/>
    <n v="4680449.7659116797"/>
    <n v="1783.9087829999901"/>
    <n v="3205824.7711752499"/>
    <n v="79960081.888956904"/>
    <n v="148854646"/>
    <n v="627840.254755578"/>
    <n v="175.42906271000001"/>
    <n v="499669.96887835098"/>
    <n v="10347791.906966699"/>
    <n v="10978955"/>
    <n v="46307.119659201097"/>
    <n v="15.29347941"/>
    <n v="15856.3383771833"/>
    <n v="184379.10477905799"/>
  </r>
  <r>
    <x v="244"/>
    <n v="1"/>
    <n v="1041542421.19275"/>
    <n v="4698290.0377290603"/>
    <n v="1785.998783"/>
    <n v="3185960.3881528899"/>
    <n v="78786681.777027696"/>
    <n v="141855850"/>
    <n v="637153.47646424698"/>
    <n v="186.14824476999999"/>
    <n v="485227.12253611803"/>
    <n v="10369222.757424301"/>
    <n v="10146617"/>
    <n v="45574.097197269097"/>
    <n v="13.870854270000001"/>
    <n v="14129.151669736"/>
    <n v="144173.510486741"/>
  </r>
  <r>
    <x v="245"/>
    <n v="1"/>
    <n v="1049383847.00353"/>
    <n v="4618810.2892199801"/>
    <n v="1724.6314829999999"/>
    <n v="3122613.6935776402"/>
    <n v="80250204.915979207"/>
    <n v="146037016"/>
    <n v="639951.866783523"/>
    <n v="186.55678587"/>
    <n v="420844.46431140299"/>
    <n v="11955977.590570601"/>
    <n v="10128531"/>
    <n v="44384.447852760699"/>
    <n v="13.8463379"/>
    <n v="15377.704959056"/>
    <n v="206700.337516564"/>
  </r>
  <r>
    <x v="246"/>
    <n v="1"/>
    <n v="1052701920.13229"/>
    <n v="4741620.6305780997"/>
    <n v="1723.311483"/>
    <n v="3112875.7915628902"/>
    <n v="85360118.293111801"/>
    <n v="143571208"/>
    <n v="643903.70004933397"/>
    <n v="177.59027664000001"/>
    <n v="392657.062186405"/>
    <n v="15131006.7933277"/>
    <n v="9278590"/>
    <n v="41613.625151365603"/>
    <n v="13.427569950000001"/>
    <n v="15097.9576600688"/>
    <n v="167145.677413244"/>
  </r>
  <r>
    <x v="247"/>
    <n v="1"/>
    <n v="1048342468.2524"/>
    <n v="4723758.6163578397"/>
    <n v="1660.136483"/>
    <n v="3101462.2507428401"/>
    <n v="84001428.437782899"/>
    <n v="141769987"/>
    <n v="636053.600430705"/>
    <n v="178.01391967999999"/>
    <n v="382716.21502011397"/>
    <n v="15192337.8166168"/>
    <n v="9296669"/>
    <n v="41709.672932836802"/>
    <n v="22.765588279999999"/>
    <n v="14771.809407693199"/>
    <n v="153536.91023650701"/>
  </r>
  <r>
    <x v="248"/>
    <n v="1"/>
    <n v="1030233822.02421"/>
    <n v="4855714.86302335"/>
    <n v="1653.426483"/>
    <n v="3097520.2102630599"/>
    <n v="79474305.273869693"/>
    <n v="136925715"/>
    <n v="643417.67304168001"/>
    <n v="22.124132339999999"/>
    <n v="380535.96208515298"/>
    <n v="15552529.251512401"/>
    <n v="8190244"/>
    <n v="38486.180160706703"/>
    <n v="15.196830479999999"/>
    <n v="14495.419666706999"/>
    <n v="136335.231020607"/>
  </r>
  <r>
    <x v="249"/>
    <n v="1"/>
    <n v="1002391434.72475"/>
    <n v="4939983.3652382996"/>
    <n v="1641.7164829999999"/>
    <n v="3108891.1480351002"/>
    <n v="78651643.017489806"/>
    <n v="132185806"/>
    <n v="648828.38069994596"/>
    <n v="155.75120418"/>
    <n v="379439.82640571799"/>
    <n v="14371585.1528365"/>
    <n v="7741429"/>
    <n v="37998.473469788398"/>
    <n v="19.03794323"/>
    <n v="14510.4624268227"/>
    <n v="155711.31468551699"/>
  </r>
  <r>
    <x v="250"/>
    <n v="1"/>
    <n v="945876544.64964104"/>
    <n v="5022754.8257443504"/>
    <n v="1643.7264829999999"/>
    <n v="3147351.3583193002"/>
    <n v="78777849.894167706"/>
    <n v="125063267"/>
    <n v="661395.45718969801"/>
    <n v="161.71458754"/>
    <n v="392238.854283861"/>
    <n v="14110922.9297406"/>
    <n v="7038091"/>
    <n v="37220.852504098497"/>
    <n v="17.999617189999999"/>
    <n v="9710.6168979327995"/>
    <n v="129667.586164989"/>
  </r>
  <r>
    <x v="251"/>
    <n v="1"/>
    <n v="930898166.96704996"/>
    <n v="4928377.0155549599"/>
    <n v="1637.9864829999999"/>
    <n v="3140159.32734964"/>
    <n v="72695829.842846006"/>
    <n v="123872450"/>
    <n v="653163.45900342695"/>
    <n v="148.57291057"/>
    <n v="393694.163049786"/>
    <n v="14243702.983955299"/>
    <n v="6654286"/>
    <n v="35087.192196150798"/>
    <n v="18.186569039999998"/>
    <n v="9242.3214249255998"/>
    <n v="122451.34764560701"/>
  </r>
  <r>
    <x v="252"/>
    <n v="1"/>
    <n v="928359513.835127"/>
    <n v="4946892.3775147302"/>
    <n v="1574.858483"/>
    <n v="3144087.8943324299"/>
    <n v="74333715.472267702"/>
    <n v="122404522"/>
    <n v="649740.01804766699"/>
    <n v="133.63992185999999"/>
    <n v="396079.33849715802"/>
    <n v="14721814.210889401"/>
    <n v="6232633"/>
    <n v="33083.672169435697"/>
    <n v="16.559089839999999"/>
    <n v="8922.8505531537994"/>
    <n v="164013.45608364101"/>
  </r>
  <r>
    <x v="253"/>
    <n v="1"/>
    <n v="922457940.63747394"/>
    <n v="5046812.6546405796"/>
    <n v="1567.32848299999"/>
    <n v="3198153.2549233502"/>
    <n v="73260818.064271897"/>
    <n v="120708174"/>
    <n v="657846.06245571899"/>
    <n v="135.59405551"/>
    <n v="395252.97451549798"/>
    <n v="14530896.9364723"/>
    <n v="5840371"/>
    <n v="31829.369447926299"/>
    <n v="16.39482791"/>
    <n v="9072.4176325424996"/>
    <n v="101335.64426655399"/>
  </r>
  <r>
    <x v="254"/>
    <n v="1"/>
    <n v="906305704.21008897"/>
    <n v="5063880.2805142701"/>
    <n v="1569.32848299999"/>
    <n v="3192761.4749686802"/>
    <n v="73982100.566407502"/>
    <n v="118217552"/>
    <n v="657970.45694884995"/>
    <n v="133.42418678999999"/>
    <n v="394778.02639643103"/>
    <n v="15649683.566627899"/>
    <n v="5501333"/>
    <n v="30619.096120665599"/>
    <n v="15.94803368"/>
    <n v="8613.3762525414004"/>
    <n v="92043.402948183197"/>
  </r>
  <r>
    <x v="255"/>
    <n v="1"/>
    <n v="925204665.48425603"/>
    <n v="5037973.3402039399"/>
    <n v="1571.9984829999901"/>
    <n v="3189986.3588226298"/>
    <n v="73121235.421790898"/>
    <n v="121064418"/>
    <n v="656673.99652853096"/>
    <n v="131.88575016999999"/>
    <n v="393310.59821166802"/>
    <n v="16053228.219595499"/>
    <n v="5308317"/>
    <n v="28793.214363202402"/>
    <n v="16.691304850000002"/>
    <n v="9415.0115620534998"/>
    <n v="98367.562201583802"/>
  </r>
  <r>
    <x v="256"/>
    <n v="1"/>
    <n v="874576491.74818003"/>
    <n v="5053882.3261970496"/>
    <n v="1564.4384829999999"/>
    <n v="3185142.71305562"/>
    <n v="71228000.433962703"/>
    <n v="114705030"/>
    <n v="660134.84116022103"/>
    <n v="137.9187033"/>
    <n v="389641.85797815397"/>
    <n v="15500604.2233673"/>
    <n v="4978321"/>
    <n v="28650.5582412523"/>
    <n v="24.977307239999998"/>
    <n v="9523.6008819607996"/>
    <n v="97795.093497651498"/>
  </r>
  <r>
    <x v="257"/>
    <n v="1"/>
    <n v="891278952.62559295"/>
    <n v="5096040.0569476001"/>
    <n v="1564.098483"/>
    <n v="3194766.9452428399"/>
    <n v="68934613.342984498"/>
    <n v="115669615"/>
    <n v="658710.79157175403"/>
    <n v="149.5783137"/>
    <n v="391809.37182484497"/>
    <n v="13970211.966122"/>
    <n v="5033854"/>
    <n v="28666.594533029602"/>
    <n v="24.177318939999999"/>
    <n v="9371.2621211885998"/>
    <n v="79629.187484673806"/>
  </r>
  <r>
    <x v="258"/>
    <n v="1"/>
    <n v="855228360.78507495"/>
    <n v="5053352.8958210703"/>
    <n v="1564.388483"/>
    <n v="3164976.4433409302"/>
    <n v="65826228.321038298"/>
    <n v="114203421"/>
    <n v="672180.22954679199"/>
    <n v="149.17793073999999"/>
    <n v="386063.00740807701"/>
    <n v="13493519.2947728"/>
    <n v="4707850"/>
    <n v="27709.535020600299"/>
    <n v="23.6954216"/>
    <n v="8777.9089638002006"/>
    <n v="84153.671708786904"/>
  </r>
  <r>
    <x v="259"/>
    <n v="1"/>
    <n v="834314909.75169098"/>
    <n v="4980165.9769294802"/>
    <n v="1493.647483"/>
    <n v="3154409.7869960498"/>
    <n v="64125339.317483597"/>
    <n v="110514288"/>
    <n v="657119.08669282903"/>
    <n v="149.04017056000001"/>
    <n v="379861.904746685"/>
    <n v="12959964.285309"/>
    <n v="4481439"/>
    <n v="26646.682126293199"/>
    <n v="22.167977969999999"/>
    <n v="8799.0928592227992"/>
    <n v="83547.106115855699"/>
  </r>
  <r>
    <x v="260"/>
    <n v="1"/>
    <n v="805609275.63002002"/>
    <n v="4994183.5319542997"/>
    <n v="1502.4674829999999"/>
    <n v="3145644.323899"/>
    <n v="62084430.275296703"/>
    <n v="107675545"/>
    <n v="664869.06452608795"/>
    <n v="150.24777603000001"/>
    <n v="378922.79896205501"/>
    <n v="12040679.0266732"/>
    <n v="4136532"/>
    <n v="25542.031491200902"/>
    <n v="21.932580860000002"/>
    <n v="8620.9108785773005"/>
    <n v="81640.686949409297"/>
  </r>
  <r>
    <x v="261"/>
    <n v="1"/>
    <n v="802232485.81515896"/>
    <n v="4928728.8433292499"/>
    <n v="1502.847483"/>
    <n v="3143762.3619464398"/>
    <n v="60330793.390622802"/>
    <n v="108878577"/>
    <n v="666331.56058751501"/>
    <n v="123.74744185"/>
    <n v="379202.39651840599"/>
    <n v="12404518.513721799"/>
    <n v="4158881"/>
    <n v="25452.148102815099"/>
    <n v="20.54283555"/>
    <n v="8453.2401807148999"/>
    <n v="66955.000199450602"/>
  </r>
  <r>
    <x v="262"/>
    <n v="1"/>
    <n v="805902544.23632896"/>
    <n v="4954683.8375796098"/>
    <n v="1502.6974829999999"/>
    <n v="3144442.3401757898"/>
    <n v="58334694.591619797"/>
    <n v="106755630"/>
    <n v="653819.390004899"/>
    <n v="122.64025728999999"/>
    <n v="382556.449570372"/>
    <n v="12002698.4029782"/>
    <n v="3949684"/>
    <n v="24189.637432631"/>
    <n v="19.8459298"/>
    <n v="8258.3199618503004"/>
    <n v="69114.152153030707"/>
  </r>
  <r>
    <x v="263"/>
    <n v="1"/>
    <n v="835327366.22310996"/>
    <n v="4957135.5639631096"/>
    <n v="1501.837483"/>
    <n v="3143984.5333976001"/>
    <n v="58397491.034168497"/>
    <n v="109174622"/>
    <n v="645392.657838732"/>
    <n v="126.68489311"/>
    <n v="379754.34819216502"/>
    <n v="12346537.9738837"/>
    <n v="4020737"/>
    <n v="23768.840151336"/>
    <n v="17.098342509999998"/>
    <n v="8193.5108421853001"/>
    <n v="66261.303315306606"/>
  </r>
  <r>
    <x v="264"/>
    <n v="1"/>
    <n v="835381958.87070704"/>
    <n v="4948178.2616392197"/>
    <n v="1503.607483"/>
    <n v="3142315.5867319601"/>
    <n v="57468717.776977301"/>
    <n v="108497977"/>
    <n v="640219.37216026406"/>
    <n v="116.63554784999999"/>
    <n v="380999.289587887"/>
    <n v="12075035.7012701"/>
    <n v="3772805"/>
    <n v="22262.376821856298"/>
    <n v="16.98789317"/>
    <n v="6893.1512316522003"/>
    <n v="59181.217170090997"/>
  </r>
  <r>
    <x v="265"/>
    <n v="1"/>
    <n v="815805975.58963597"/>
    <n v="4897387.2121538296"/>
    <n v="1503.5474830000001"/>
    <n v="3123986.95940554"/>
    <n v="55145957.107413903"/>
    <n v="104365142"/>
    <n v="624230.767390394"/>
    <n v="118.67830171999999"/>
    <n v="378283.48725888098"/>
    <n v="10842763.841252601"/>
    <n v="3006996"/>
    <n v="17985.501525210799"/>
    <n v="17.09666992"/>
    <n v="6170.6645473709004"/>
    <n v="72291.643426295399"/>
  </r>
  <r>
    <x v="266"/>
    <n v="1"/>
    <n v="824861473.71162903"/>
    <n v="4948288.1470412398"/>
    <n v="1508.307483"/>
    <n v="3118753.5076049301"/>
    <n v="61449722.293233797"/>
    <n v="113502236"/>
    <n v="678435.36162582098"/>
    <n v="127.09717228"/>
    <n v="377051.43051915301"/>
    <n v="10634080.6962093"/>
    <n v="2956981"/>
    <n v="17674.722056186401"/>
    <n v="16.78012841"/>
    <n v="8078.1170348467003"/>
    <n v="58973.322293469202"/>
  </r>
  <r>
    <x v="267"/>
    <n v="1"/>
    <n v="851162043.45808494"/>
    <n v="4897264.6792409504"/>
    <n v="1507.337483"/>
    <n v="3097048.8933107201"/>
    <n v="59569886.076147102"/>
    <n v="119120009"/>
    <n v="682910.10147336998"/>
    <n v="129.73027246000001"/>
    <n v="376359.30559472501"/>
    <n v="9888720.0607286002"/>
    <n v="2648338"/>
    <n v="15182.812589577399"/>
    <n v="16.437141700000002"/>
    <n v="7544.9690641568004"/>
    <n v="54716.689021946098"/>
  </r>
  <r>
    <x v="268"/>
    <n v="1"/>
    <n v="840070545.97735405"/>
    <n v="4964137.2217642199"/>
    <n v="1509.1494829999999"/>
    <n v="3088548.7578365998"/>
    <n v="61903932.260003"/>
    <n v="119484547"/>
    <n v="703595.25968672696"/>
    <n v="119.28424068"/>
    <n v="376097.00710121798"/>
    <n v="7324208.3343557296"/>
    <n v="2518152"/>
    <n v="14828.3594394064"/>
    <n v="10.909940150000001"/>
    <n v="7383.9948425536004"/>
    <n v="46275.845833435698"/>
  </r>
  <r>
    <x v="269"/>
    <n v="1"/>
    <n v="810279916.31387603"/>
    <n v="4945211.9793250198"/>
    <n v="1511.079483"/>
    <n v="3088053.2709054998"/>
    <n v="56700662.259400897"/>
    <n v="119525798"/>
    <n v="726821.51413803594"/>
    <n v="136.25201616000001"/>
    <n v="374063.66881833097"/>
    <n v="6382824.3358974904"/>
    <n v="2397260"/>
    <n v="14577.439951352901"/>
    <n v="10.88668328"/>
    <n v="6435.9456927255997"/>
    <n v="49754.6539462129"/>
  </r>
  <r>
    <x v="270"/>
    <n v="1"/>
    <n v="807707020.400334"/>
    <n v="4876860.7374879597"/>
    <n v="1509.6694829999999"/>
    <n v="3087685.4645302799"/>
    <n v="54577562.779015802"/>
    <n v="120362891"/>
    <n v="724030.86501443596"/>
    <n v="136.30338089"/>
    <n v="373048.05083758401"/>
    <n v="6541025.7752495697"/>
    <n v="2217877"/>
    <n v="13341.416025024"/>
    <n v="10.538518639999999"/>
    <n v="6380.3130622028002"/>
    <n v="39351.371274887701"/>
  </r>
  <r>
    <x v="271"/>
    <n v="1"/>
    <n v="808443929.70079994"/>
    <n v="4892722.0681338497"/>
    <n v="1509.019483"/>
    <n v="3079564.3575055599"/>
    <n v="54706198.515352003"/>
    <n v="112177380"/>
    <n v="676378.53482062102"/>
    <n v="136.37569391"/>
    <n v="372347.66949338902"/>
    <n v="5921977.95102676"/>
    <n v="2037786"/>
    <n v="12286.921917395201"/>
    <n v="10.56107375"/>
    <n v="5235.1405324641"/>
    <n v="68655.461905604505"/>
  </r>
  <r>
    <x v="272"/>
    <n v="1"/>
    <n v="731592695.93072796"/>
    <n v="5088520.3173723202"/>
    <n v="1505.7494830000001"/>
    <n v="3083964.3285936099"/>
    <n v="52098575.229413703"/>
    <n v="103271632"/>
    <n v="715623.53267271805"/>
    <n v="136.49930405000001"/>
    <n v="375165.64084367303"/>
    <n v="5023888.3122418998"/>
    <n v="2013974"/>
    <n v="13955.8866329429"/>
    <n v="10.55925699"/>
    <n v="5406.5928894579001"/>
    <n v="94857.424902533807"/>
  </r>
  <r>
    <x v="273"/>
    <n v="1"/>
    <n v="714099482.90285099"/>
    <n v="4876851.5341179604"/>
    <n v="1502.789483"/>
    <n v="3075151.4923825902"/>
    <n v="50119175.349472299"/>
    <n v="104608762"/>
    <n v="711672.64439757797"/>
    <n v="136.94090259999999"/>
    <n v="369749.07095841801"/>
    <n v="4738576.6841390198"/>
    <n v="1145212"/>
    <n v="7791.0878291040199"/>
    <n v="13.461574219999999"/>
    <n v="6310.1303922645002"/>
    <n v="115291.700294665"/>
  </r>
  <r>
    <x v="274"/>
    <n v="1"/>
    <n v="690820229.064147"/>
    <n v="4851576.6976711601"/>
    <n v="1477.9093559999999"/>
    <n v="3070009.3221722399"/>
    <n v="48519374.258576199"/>
    <n v="102504054"/>
    <n v="716861.69662214105"/>
    <n v="137.00467151999999"/>
    <n v="370628.93790483498"/>
    <n v="4516758.0888128104"/>
    <n v="993936"/>
    <n v="6951.0874886355596"/>
    <n v="10.802843210000001"/>
    <n v="5880.7112173826999"/>
    <n v="68608.241155595693"/>
  </r>
  <r>
    <x v="275"/>
    <n v="1"/>
    <n v="711632937.529302"/>
    <n v="4918285.1204404598"/>
    <n v="1474.2273599999901"/>
    <n v="3064802.08053048"/>
    <n v="53988201.6702739"/>
    <n v="102828901"/>
    <n v="707700.62629043299"/>
    <n v="146.35055657000001"/>
    <n v="369963.64662075602"/>
    <n v="10151711.1027974"/>
    <n v="812149"/>
    <n v="5589.4631796283502"/>
    <n v="10.761041090000001"/>
    <n v="5273.4176912331995"/>
    <n v="85305.452003685903"/>
  </r>
  <r>
    <x v="276"/>
    <n v="1"/>
    <n v="678348963.78519499"/>
    <n v="4920893.8511560699"/>
    <n v="1468.77736"/>
    <n v="3075359.8307192801"/>
    <n v="51818750.6283025"/>
    <n v="97924702"/>
    <n v="707548.42485549103"/>
    <n v="129.94275668"/>
    <n v="388206.71579017001"/>
    <n v="9520787.2498820797"/>
    <n v="429423"/>
    <n v="3102.76734104046"/>
    <n v="10.54463962"/>
    <n v="3352.5255308000001"/>
    <n v="63915.420224248199"/>
  </r>
  <r>
    <x v="277"/>
    <n v="1"/>
    <n v="693900864.25332999"/>
    <n v="4940913.2633520104"/>
    <n v="1465.33736"/>
    <n v="3073818.4503471302"/>
    <n v="51529669.193986699"/>
    <n v="99646159"/>
    <n v="706760.47237392701"/>
    <n v="126.08004694"/>
    <n v="386738.16415182198"/>
    <n v="9746581.6026593801"/>
    <n v="319620"/>
    <n v="2266.9692886020198"/>
    <n v="10.63406863"/>
    <n v="3075.6707508699001"/>
    <n v="31636.222237784099"/>
  </r>
  <r>
    <x v="278"/>
    <n v="1"/>
    <n v="714984363.95116699"/>
    <n v="5012848.0689992299"/>
    <n v="1461.36736"/>
    <n v="3067090.06918708"/>
    <n v="51120569.257112399"/>
    <n v="107245970"/>
    <n v="748976.67434876703"/>
    <n v="132.69398581999999"/>
    <n v="398751.34174400399"/>
    <n v="9536958.09229514"/>
    <n v="0"/>
    <n v="0"/>
    <n v="9.5019211299999995"/>
    <n v="3047.0701177797"/>
    <n v="34807.762277594098"/>
  </r>
  <r>
    <x v="279"/>
    <n v="1"/>
    <n v="697381206.60791397"/>
    <n v="4835451.6510085603"/>
    <n v="1465.60736"/>
    <n v="3053952.9660549699"/>
    <n v="48222869.098017201"/>
    <n v="104588579"/>
    <n v="722496.40093948599"/>
    <n v="123.99240847"/>
    <n v="398381.672834742"/>
    <n v="9361077.2505361103"/>
    <n v="0"/>
    <n v="0"/>
    <n v="7.6455682999999999"/>
    <n v="2056.2298257391999"/>
    <n v="26423.3911243154"/>
  </r>
  <r>
    <x v="280"/>
    <n v="1"/>
    <n v="695533643.33686996"/>
    <n v="5113365.2699435903"/>
    <n v="1464.7193600000001"/>
    <n v="3037345.8848767499"/>
    <n v="47844137.116392002"/>
    <n v="101296603"/>
    <n v="742045.29338509997"/>
    <n v="123.00686498"/>
    <n v="394247.17614266102"/>
    <n v="10208277.051191101"/>
    <m/>
    <m/>
    <m/>
    <m/>
    <m/>
  </r>
  <r>
    <x v="281"/>
    <n v="1"/>
    <n v="693610956.11588001"/>
    <n v="5139240.3721204903"/>
    <n v="1465.03936"/>
    <n v="3021374.23623678"/>
    <n v="47923341.562719502"/>
    <n v="100300938"/>
    <n v="740556.246308328"/>
    <n v="135.22203106000001"/>
    <n v="392381.16084333602"/>
    <n v="10427646.2924807"/>
    <m/>
    <m/>
    <m/>
    <m/>
    <m/>
  </r>
  <r>
    <x v="282"/>
    <n v="1"/>
    <n v="687953918.67841995"/>
    <n v="5115169.4924045904"/>
    <n v="1461.6993600000001"/>
    <n v="3020495.9354057"/>
    <n v="46492610.799171999"/>
    <n v="99057259"/>
    <n v="734029.33679140406"/>
    <n v="125.12473129"/>
    <n v="392181.883717124"/>
    <n v="10020080.049456101"/>
    <m/>
    <m/>
    <m/>
    <m/>
    <m/>
  </r>
  <r>
    <x v="283"/>
    <n v="1"/>
    <n v="662535238.59031999"/>
    <n v="5162573.8661074797"/>
    <n v="1460.76936"/>
    <n v="2987374.2019544002"/>
    <n v="46260319.761244297"/>
    <n v="96663742"/>
    <n v="750728.03665734699"/>
    <n v="125.32136056"/>
    <n v="392379.30851021298"/>
    <n v="9753838.5531086009"/>
    <m/>
    <m/>
    <m/>
    <m/>
    <m/>
  </r>
  <r>
    <x v="284"/>
    <n v="1"/>
    <n v="691339534.30904996"/>
    <n v="5221211.4339480596"/>
    <n v="1461.5993599999999"/>
    <n v="2977149.3778143399"/>
    <n v="45078671.621542796"/>
    <n v="97042860"/>
    <n v="730469.40158072999"/>
    <n v="124.58288604000001"/>
    <n v="391727.72018128901"/>
    <n v="9281070.2160994709"/>
    <m/>
    <m/>
    <m/>
    <m/>
    <m/>
  </r>
  <r>
    <x v="285"/>
    <n v="1"/>
    <n v="675924822.10917199"/>
    <n v="5169792.0878115697"/>
    <n v="1455.6793600000001"/>
    <n v="2942732.4751902199"/>
    <n v="44466449.049377099"/>
    <n v="95616373"/>
    <n v="728838.88253677799"/>
    <n v="124.67273222"/>
    <n v="367197.55132772803"/>
    <n v="9601080.7488180008"/>
    <m/>
    <m/>
    <m/>
    <m/>
    <m/>
  </r>
  <r>
    <x v="286"/>
    <n v="1"/>
    <n v="679581425.302472"/>
    <n v="5136154.2941087801"/>
    <n v="1454.31936"/>
    <n v="2930382.0401982102"/>
    <n v="44170379.1353442"/>
    <n v="95883417"/>
    <n v="722340.04068103002"/>
    <n v="119.28943452"/>
    <n v="368578.42890971602"/>
    <n v="9718336.5110288095"/>
    <m/>
    <m/>
    <m/>
    <m/>
    <m/>
  </r>
  <r>
    <x v="287"/>
    <n v="1"/>
    <n v="697561452.67480004"/>
    <n v="5143067.8427048801"/>
    <n v="1452.8893599999999"/>
    <n v="2951302.8590799998"/>
    <n v="45782434.088134803"/>
    <n v="99096789"/>
    <n v="728385.07166482904"/>
    <n v="119.36432349"/>
    <n v="392396.81095739902"/>
    <n v="11493822.9565775"/>
    <m/>
    <m/>
    <m/>
    <m/>
    <m/>
  </r>
  <r>
    <x v="288"/>
    <n v="1"/>
    <n v="673881993.91085696"/>
    <n v="5221312.5531093096"/>
    <n v="1452.8313599999999"/>
    <n v="2919159.6080879299"/>
    <n v="45471389.304989703"/>
    <n v="101103701"/>
    <n v="781025.11394360696"/>
    <n v="119.66324253000001"/>
    <n v="369487.092252595"/>
    <n v="10998843.7450301"/>
    <m/>
    <m/>
    <m/>
    <m/>
    <m/>
  </r>
  <r>
    <x v="289"/>
    <n v="1"/>
    <n v="666722643.98417699"/>
    <n v="5249621.9265190698"/>
    <n v="1451.8113599999999"/>
    <n v="2902903.8777253702"/>
    <n v="45877412.597323798"/>
    <n v="97440802"/>
    <n v="764961.54812372394"/>
    <n v="119.75700793999999"/>
    <n v="366690.39077083103"/>
    <n v="10915285.955540899"/>
    <m/>
    <m/>
    <m/>
    <m/>
    <m/>
  </r>
  <r>
    <x v="290"/>
    <n v="1"/>
    <n v="659901530.66681898"/>
    <n v="5239836.1801487999"/>
    <n v="1451.0813599999999"/>
    <n v="2902235.7994943601"/>
    <n v="43409606.092045501"/>
    <n v="99342276"/>
    <n v="786308.975779642"/>
    <n v="125.22304302000001"/>
    <n v="368147.61238802999"/>
    <n v="10535079.0546657"/>
    <m/>
    <m/>
    <m/>
    <m/>
    <m/>
  </r>
  <r>
    <x v="291"/>
    <n v="1"/>
    <n v="663900194.61581004"/>
    <n v="5276777.9987323703"/>
    <n v="1452.5513599999999"/>
    <n v="2909388.2256102199"/>
    <n v="42965909.782366797"/>
    <n v="97407415"/>
    <n v="771727.26192362502"/>
    <n v="126.7494489"/>
    <n v="365739.55019174202"/>
    <n v="10190628.902096501"/>
    <m/>
    <m/>
    <m/>
    <m/>
    <m/>
  </r>
  <r>
    <x v="292"/>
    <n v="1"/>
    <n v="668346943.75158501"/>
    <n v="5201087.0840120995"/>
    <n v="1452.0913599999999"/>
    <n v="2903216.0671241898"/>
    <n v="42246635.812206097"/>
    <n v="98251640"/>
    <n v="762172.36831898196"/>
    <n v="128.90336665000001"/>
    <n v="366758.04372085002"/>
    <n v="10462788.071433701"/>
    <m/>
    <m/>
    <m/>
    <m/>
    <m/>
  </r>
  <r>
    <x v="293"/>
    <n v="1"/>
    <n v="670638586.91557801"/>
    <n v="5220941.1609498598"/>
    <n v="1452.5913599999999"/>
    <n v="2889123.6303680898"/>
    <n v="42381814.305400699"/>
    <n v="99093142"/>
    <n v="768998.46344870399"/>
    <n v="129.07574681"/>
    <n v="351275.94848080201"/>
    <n v="10363045.7120442"/>
    <m/>
    <m/>
    <m/>
    <m/>
    <m/>
  </r>
  <r>
    <x v="294"/>
    <n v="1"/>
    <n v="690076553.39504802"/>
    <n v="5204081.7245526901"/>
    <n v="1452.2913599999999"/>
    <n v="2910302.1596328998"/>
    <n v="41893855.266846001"/>
    <n v="100441617"/>
    <n v="755086.58096526796"/>
    <n v="132.22257515000001"/>
    <n v="351161.82453060098"/>
    <n v="10114988.054271501"/>
    <m/>
    <m/>
    <m/>
    <m/>
    <m/>
  </r>
  <r>
    <x v="295"/>
    <n v="1"/>
    <n v="675692240.66143596"/>
    <n v="5218295.8044649698"/>
    <n v="1452.01136"/>
    <n v="2897333.9837203799"/>
    <n v="41342745.520287097"/>
    <n v="99063583"/>
    <n v="762614.18783679698"/>
    <n v="132.81888559999999"/>
    <n v="349569.00469193899"/>
    <n v="9521232.6092538498"/>
    <m/>
    <m/>
    <m/>
    <m/>
    <m/>
  </r>
  <r>
    <x v="296"/>
    <n v="1"/>
    <n v="672390843.22187603"/>
    <n v="5210993.16285537"/>
    <n v="1451.6513599999901"/>
    <n v="2897641.8871306898"/>
    <n v="41493654.780532897"/>
    <n v="98964332"/>
    <n v="764557.57107540104"/>
    <n v="131.84472722000001"/>
    <n v="349641.16882258502"/>
    <n v="9437380.1016724501"/>
    <m/>
    <m/>
    <m/>
    <m/>
    <m/>
  </r>
  <r>
    <x v="297"/>
    <n v="1"/>
    <n v="657451062.24105203"/>
    <n v="5109823.5977688199"/>
    <n v="1451.1013600000001"/>
    <n v="2931788.7116813902"/>
    <n v="34334404.236519799"/>
    <n v="96368323"/>
    <n v="746578.26929036202"/>
    <n v="131.84392722000001"/>
    <n v="381265.76028595498"/>
    <n v="9431040.69343514"/>
    <m/>
    <m/>
    <m/>
    <m/>
    <m/>
  </r>
  <r>
    <x v="298"/>
    <n v="1"/>
    <n v="665875988.27598405"/>
    <n v="5007599.0704647601"/>
    <n v="1450.00136"/>
    <n v="2859655.0321279401"/>
    <n v="33291858.290174302"/>
    <n v="98266263"/>
    <n v="736628.65817091404"/>
    <n v="135.21429491000001"/>
    <n v="357945.33405702602"/>
    <n v="9393366.1360199396"/>
    <m/>
    <m/>
    <m/>
    <m/>
    <m/>
  </r>
  <r>
    <x v="299"/>
    <n v="1"/>
    <n v="615563116.43700397"/>
    <n v="5031464.5237513203"/>
    <n v="1450.2813599999999"/>
    <n v="2867871.99951819"/>
    <n v="31903935.735194501"/>
    <n v="89471133"/>
    <n v="729007.84649230004"/>
    <n v="134.84951647"/>
    <n v="379792.81616330601"/>
    <n v="8024457.3797398498"/>
    <m/>
    <m/>
    <m/>
    <m/>
    <m/>
  </r>
  <r>
    <x v="300"/>
    <n v="1"/>
    <n v="650159674.43517399"/>
    <n v="4858474.0053643202"/>
    <n v="1449.52136"/>
    <n v="2803343.1461056801"/>
    <n v="33258424.480416998"/>
    <n v="94497065"/>
    <n v="704046.08106094401"/>
    <n v="134.84951647"/>
    <n v="357241.851039186"/>
    <n v="8188980.8597243102"/>
    <m/>
    <m/>
    <m/>
    <m/>
    <m/>
  </r>
  <r>
    <x v="301"/>
    <n v="1"/>
    <n v="665686860.69010794"/>
    <n v="4636726.7967502195"/>
    <n v="1448.44135999999"/>
    <n v="2733872.2989214002"/>
    <n v="31658443.861471001"/>
    <n v="98950329"/>
    <n v="687107.34671203396"/>
    <n v="134.43324623999999"/>
    <n v="356751.20508512598"/>
    <n v="7940465.1979166102"/>
    <m/>
    <m/>
    <m/>
    <m/>
    <m/>
  </r>
  <r>
    <x v="302"/>
    <n v="1"/>
    <n v="664568681.52999103"/>
    <n v="4640078.1413156902"/>
    <n v="1447.75136"/>
    <n v="2734363.4291006201"/>
    <n v="31123165.842943098"/>
    <n v="98964074"/>
    <n v="688924.98433692998"/>
    <n v="128.98992605000001"/>
    <n v="358372.79955951701"/>
    <n v="7843642.2265464896"/>
    <m/>
    <m/>
    <m/>
    <m/>
    <m/>
  </r>
  <r>
    <x v="303"/>
    <n v="1"/>
    <n v="669403849.69247794"/>
    <n v="4606194.5183863901"/>
    <n v="1449.1413600000001"/>
    <n v="2733514.7358159702"/>
    <n v="30850276.138524301"/>
    <n v="99732003"/>
    <n v="684220.65724478604"/>
    <n v="128.99820242000001"/>
    <n v="357960.11888964003"/>
    <n v="7596128.9637957998"/>
    <m/>
    <m/>
    <m/>
    <m/>
    <m/>
  </r>
  <r>
    <x v="304"/>
    <n v="1"/>
    <n v="662377302.44543004"/>
    <n v="4549872.6407341398"/>
    <n v="1451.42135999999"/>
    <n v="2729792.3982996"/>
    <n v="30345062.4504303"/>
    <n v="99477630"/>
    <n v="681260.30680728599"/>
    <n v="129.97683144999999"/>
    <n v="357162.92221082101"/>
    <n v="7575521.0499819797"/>
    <m/>
    <m/>
    <m/>
    <m/>
    <m/>
  </r>
  <r>
    <x v="305"/>
    <n v="1"/>
    <n v="660797221.312047"/>
    <n v="4573161.9911687505"/>
    <n v="1448.8913600000001"/>
    <n v="2716932.1730080699"/>
    <n v="30812007.591074102"/>
    <n v="98072680"/>
    <n v="676643.30067614105"/>
    <n v="130.9669744"/>
    <n v="353500.54845119"/>
    <n v="7510696.9209902696"/>
    <m/>
    <m/>
    <m/>
    <m/>
    <m/>
  </r>
  <r>
    <x v="306"/>
    <n v="1"/>
    <n v="657198312.43877995"/>
    <n v="4487469.8638529601"/>
    <n v="1449.26136"/>
    <n v="2712667.1145875198"/>
    <n v="26566189.377506901"/>
    <n v="98578819"/>
    <n v="671060.71477195295"/>
    <n v="130.93252620999999"/>
    <n v="352987.85576027801"/>
    <n v="5076871.6258166796"/>
    <m/>
    <m/>
    <m/>
    <m/>
    <m/>
  </r>
  <r>
    <x v="307"/>
    <n v="1"/>
    <n v="671928089.64436996"/>
    <n v="4552411.5974332904"/>
    <n v="1449.77136"/>
    <n v="2740819.69185455"/>
    <n v="23018202.279070102"/>
    <n v="102144390"/>
    <n v="689931.71225937095"/>
    <n v="135.76471137999999"/>
    <n v="352022.34830961598"/>
    <n v="5042453.2534183497"/>
    <m/>
    <m/>
    <m/>
    <m/>
    <m/>
  </r>
  <r>
    <x v="308"/>
    <n v="1"/>
    <n v="674953140.48380494"/>
    <n v="4451085.5893761003"/>
    <n v="1448.8313599999999"/>
    <n v="2728854.5594338402"/>
    <n v="21241087.687729999"/>
    <n v="97794378"/>
    <n v="642918.795608441"/>
    <n v="128.78660893"/>
    <n v="349027.52681962203"/>
    <n v="5784651.2608519597"/>
    <m/>
    <m/>
    <m/>
    <m/>
    <m/>
  </r>
  <r>
    <x v="309"/>
    <n v="1"/>
    <n v="668181986.15633798"/>
    <n v="4495547.5385647202"/>
    <n v="1448.0913599999999"/>
    <n v="2717305.03817613"/>
    <n v="19866184.2122779"/>
    <n v="97456868"/>
    <n v="653634.258886653"/>
    <n v="128.90486530000001"/>
    <n v="345572.32256743702"/>
    <n v="5806930.7362178303"/>
    <m/>
    <m/>
    <m/>
    <m/>
    <m/>
  </r>
  <r>
    <x v="310"/>
    <n v="1"/>
    <n v="660404121.81371796"/>
    <n v="4434369.8038690602"/>
    <n v="1448.8813599999901"/>
    <n v="2681507.18469935"/>
    <n v="19709998.829479299"/>
    <n v="100213517"/>
    <n v="670818.10696833802"/>
    <n v="129.69619417999999"/>
    <n v="350066.31567407597"/>
    <n v="6004100.4890700402"/>
    <m/>
    <m/>
    <m/>
    <m/>
    <m/>
  </r>
  <r>
    <x v="311"/>
    <n v="1"/>
    <n v="652756855.02014005"/>
    <n v="4402363.1950514298"/>
    <n v="1446.19135999999"/>
    <n v="2690097.1553773498"/>
    <n v="17103207.422762901"/>
    <n v="99554113"/>
    <n v="669361.34606333601"/>
    <n v="128.76817782000001"/>
    <n v="350070.08843965997"/>
    <n v="6137786.04665842"/>
    <m/>
    <m/>
    <m/>
    <m/>
    <m/>
  </r>
  <r>
    <x v="312"/>
    <n v="1"/>
    <n v="648507862.96450996"/>
    <n v="4449582.4680210603"/>
    <n v="1446.0913599999999"/>
    <n v="2678110.5055095698"/>
    <n v="15257308.319893001"/>
    <n v="100728053"/>
    <n v="689021.49941856402"/>
    <n v="128.64756524000001"/>
    <n v="344790.09811493801"/>
    <n v="6351247.0306131802"/>
    <m/>
    <m/>
    <m/>
    <m/>
    <m/>
  </r>
  <r>
    <x v="313"/>
    <n v="1"/>
    <n v="664290124.93194997"/>
    <n v="4491320.5190428002"/>
    <n v="663.017556149999"/>
    <n v="2674640.0611375798"/>
    <n v="14895919.0692279"/>
    <n v="100597297"/>
    <n v="678107.83282777201"/>
    <n v="128.28645785000001"/>
    <n v="343538.41823055601"/>
    <n v="6290185.4952350101"/>
    <m/>
    <m/>
    <m/>
    <m/>
    <m/>
  </r>
  <r>
    <x v="314"/>
    <n v="1"/>
    <n v="657487113.72978497"/>
    <n v="4400005.6445156103"/>
    <n v="1444.8013599999999"/>
    <n v="2655276.2775122598"/>
    <n v="16091453.785811899"/>
    <n v="97785062"/>
    <n v="652422.35121430398"/>
    <n v="125.99225237"/>
    <n v="321362.46959800401"/>
    <n v="6964353.7681895802"/>
    <m/>
    <m/>
    <m/>
    <m/>
    <m/>
  </r>
  <r>
    <x v="315"/>
    <n v="1"/>
    <n v="654379798.64568603"/>
    <n v="4322312.2151982002"/>
    <n v="1443.9113600000001"/>
    <n v="2632033.6274768999"/>
    <n v="16655097.122562099"/>
    <n v="99250942"/>
    <n v="653568.69485052"/>
    <n v="125.73852705"/>
    <n v="322225.01626877702"/>
    <n v="7430979.33678653"/>
    <m/>
    <m/>
    <m/>
    <m/>
    <m/>
  </r>
  <r>
    <x v="316"/>
    <n v="1"/>
    <n v="673384782.09669304"/>
    <n v="4414511.0188876502"/>
    <n v="1439.3913600000001"/>
    <n v="2642014.1993695502"/>
    <n v="16978817.694625199"/>
    <n v="100403778"/>
    <n v="656190.95483955299"/>
    <n v="125.60437347"/>
    <n v="333126.58247296"/>
    <n v="8037246.2963920003"/>
    <m/>
    <m/>
    <m/>
    <m/>
    <m/>
  </r>
  <r>
    <x v="317"/>
    <n v="1"/>
    <n v="677374482.85053897"/>
    <n v="4367890.8325297302"/>
    <n v="1440.21135999999"/>
    <n v="2625766.98853403"/>
    <n v="10425908.3979642"/>
    <n v="101741613"/>
    <n v="654076.58630665299"/>
    <n v="125.78503095000001"/>
    <n v="323380.40710598399"/>
    <n v="1312454.3562278"/>
    <m/>
    <m/>
    <m/>
    <m/>
    <m/>
  </r>
  <r>
    <x v="318"/>
    <n v="1"/>
    <n v="668153161.31585896"/>
    <n v="4412254.64542042"/>
    <n v="1443.1413600000001"/>
    <n v="2637370.2085316"/>
    <n v="11030821.0438834"/>
    <n v="98974828"/>
    <n v="651707.56568117405"/>
    <n v="125.32134126"/>
    <n v="322237.75840488297"/>
    <n v="1401809.7577881301"/>
    <m/>
    <m/>
    <m/>
    <m/>
    <m/>
  </r>
  <r>
    <x v="319"/>
    <n v="1"/>
    <n v="676831585.85342002"/>
    <n v="4403207.2457187297"/>
    <n v="1442.3513600000001"/>
    <n v="2649729.1655378202"/>
    <n v="11805455.0455976"/>
    <n v="99382916"/>
    <n v="644673.81940840604"/>
    <n v="124.98352140999999"/>
    <n v="352343.173403333"/>
    <n v="1811848.22924535"/>
    <m/>
    <m/>
    <m/>
    <m/>
    <m/>
  </r>
  <r>
    <x v="320"/>
    <n v="1"/>
    <n v="652119689.44021797"/>
    <n v="4393778.4212294202"/>
    <n v="1439.6613600000001"/>
    <n v="2646025.83349186"/>
    <n v="10774105.2000481"/>
    <n v="98247471"/>
    <n v="660043.47329526301"/>
    <n v="126.12395607000001"/>
    <n v="350635.76034474099"/>
    <n v="1214691.7227262"/>
    <m/>
    <m/>
    <m/>
    <m/>
    <m/>
  </r>
  <r>
    <x v="321"/>
    <n v="1"/>
    <n v="645123431.583022"/>
    <n v="4400288.2140913997"/>
    <n v="1436.67135999999"/>
    <n v="2652461.8000529502"/>
    <n v="10758993.300961999"/>
    <n v="95808761"/>
    <n v="651582.97742110898"/>
    <n v="128.05403607"/>
    <n v="350011.23962605302"/>
    <n v="1382444.8863766601"/>
    <m/>
    <m/>
    <m/>
    <m/>
    <m/>
  </r>
  <r>
    <x v="322"/>
    <n v="1"/>
    <n v="611071909.00489998"/>
    <n v="4322118.9280677"/>
    <n v="1433.48136"/>
    <n v="2607029.2177797402"/>
    <n v="10845573.7794888"/>
    <n v="94428653"/>
    <n v="665928.44146685395"/>
    <n v="129.13591996"/>
    <n v="348787.654374754"/>
    <n v="1542281.4929438101"/>
    <m/>
    <m/>
    <m/>
    <m/>
    <m/>
  </r>
  <r>
    <x v="323"/>
    <n v="1"/>
    <n v="637724604.78132999"/>
    <n v="4151499.0977541199"/>
    <n v="1423.45136"/>
    <n v="2609883.3144963798"/>
    <n v="9714650.9054198097"/>
    <n v="100769067"/>
    <n v="654089.75074646203"/>
    <n v="126.72531854"/>
    <n v="349649.28050234797"/>
    <n v="522939.61915710999"/>
    <m/>
    <m/>
    <m/>
    <m/>
    <m/>
  </r>
  <r>
    <x v="324"/>
    <n v="1"/>
    <n v="621940895.10278201"/>
    <n v="4127004.0296433498"/>
    <n v="1421.77136"/>
    <n v="2611784.8272707998"/>
    <n v="7715195.7982550198"/>
    <n v="96855394"/>
    <n v="640874.703897306"/>
    <n v="122.90340748"/>
    <n v="350536.16804283502"/>
    <n v="604776.28622735594"/>
    <m/>
    <m/>
    <m/>
    <m/>
    <m/>
  </r>
  <r>
    <x v="325"/>
    <n v="1"/>
    <n v="627607116.93348801"/>
    <n v="3894328.8418708201"/>
    <n v="1420.8013599999999"/>
    <n v="2533576.5950183701"/>
    <n v="7141470.1432582997"/>
    <n v="97279113"/>
    <n v="601825.74239049701"/>
    <n v="122.88119837000001"/>
    <n v="351043.87170377298"/>
    <n v="259921.54858131401"/>
    <m/>
    <m/>
    <m/>
    <m/>
    <m/>
  </r>
  <r>
    <x v="326"/>
    <n v="1"/>
    <n v="664480053.85790002"/>
    <n v="3792435.2469276199"/>
    <n v="1419.8513600000001"/>
    <n v="2498022.1753229001"/>
    <n v="8483159.4635760002"/>
    <n v="102014354"/>
    <n v="580418.49112426001"/>
    <n v="122.684545"/>
    <n v="354616.95669700502"/>
    <n v="257567.187598602"/>
    <m/>
    <m/>
    <m/>
    <m/>
    <m/>
  </r>
  <r>
    <x v="327"/>
    <n v="1"/>
    <n v="654921872.03868198"/>
    <n v="3714802.4084124798"/>
    <n v="663.017556149999"/>
    <n v="2507367.2134638401"/>
    <n v="6552525.0891633201"/>
    <n v="101219838"/>
    <n v="572251.45861601003"/>
    <n v="128.37956083"/>
    <n v="351951.19968839199"/>
    <n v="78929.801334560601"/>
    <m/>
    <m/>
    <m/>
    <m/>
    <m/>
  </r>
  <r>
    <x v="328"/>
    <n v="1"/>
    <n v="646549879.11956894"/>
    <n v="3619265.8241267698"/>
    <n v="1421.7813599999999"/>
    <n v="2468556.4130216199"/>
    <n v="6435371.0149539402"/>
    <n v="100964509"/>
    <n v="563355.14451512101"/>
    <n v="127.31538616"/>
    <n v="348724.649592011"/>
    <n v="0"/>
    <m/>
    <m/>
    <m/>
    <m/>
    <m/>
  </r>
  <r>
    <x v="329"/>
    <n v="1"/>
    <n v="662888810.51704705"/>
    <n v="3573487.4805222698"/>
    <n v="1419.4113600000001"/>
    <n v="2460851.9994332902"/>
    <n v="6560845.3964896696"/>
    <n v="106034182"/>
    <n v="569739.30471226596"/>
    <n v="127.37793422"/>
    <n v="345536.208774345"/>
    <n v="0"/>
    <m/>
    <m/>
    <m/>
    <m/>
    <m/>
  </r>
  <r>
    <x v="330"/>
    <n v="1"/>
    <n v="643565610.67556798"/>
    <n v="3498124.7805829402"/>
    <n v="1422.5713599999999"/>
    <n v="2445288.6822613599"/>
    <n v="7984506.1535022501"/>
    <n v="105374717"/>
    <n v="570889.13750135398"/>
    <n v="126.54272054"/>
    <n v="340570.27194183797"/>
    <n v="0"/>
    <m/>
    <m/>
    <m/>
    <m/>
    <m/>
  </r>
  <r>
    <x v="331"/>
    <n v="1"/>
    <n v="631733794.09069002"/>
    <n v="3502428.5682709799"/>
    <n v="1421.25136"/>
    <n v="2442837.8201370998"/>
    <n v="8843492.1751840897"/>
    <n v="104064718"/>
    <n v="575038.50361938402"/>
    <n v="127.28668347999999"/>
    <n v="344331.45790649002"/>
    <n v="0"/>
    <m/>
    <m/>
    <m/>
    <m/>
    <m/>
  </r>
  <r>
    <x v="332"/>
    <n v="1"/>
    <n v="638549221.26777005"/>
    <n v="3448349.32207037"/>
    <n v="1420.95136"/>
    <n v="2448343.67255995"/>
    <n v="8779794.8517802805"/>
    <n v="102457745"/>
    <n v="551263.020553104"/>
    <n v="128.43893774"/>
    <n v="349797.05981510802"/>
    <n v="0"/>
    <m/>
    <m/>
    <m/>
    <m/>
    <m/>
  </r>
  <r>
    <x v="333"/>
    <n v="1"/>
    <n v="648429797.09060705"/>
    <n v="3438495.9266694798"/>
    <n v="1419.6513599999901"/>
    <n v="2474566.7474058201"/>
    <n v="6211247.5916363103"/>
    <n v="103705899"/>
    <n v="547896.76141166501"/>
    <n v="130.83804282"/>
    <n v="347970.36042847199"/>
    <n v="0"/>
    <m/>
    <m/>
    <m/>
    <m/>
    <m/>
  </r>
  <r>
    <x v="334"/>
    <n v="1"/>
    <n v="647507812.53931797"/>
    <n v="3459482.5001330902"/>
    <n v="1417.1518590000001"/>
    <n v="2434497.1999752601"/>
    <n v="6733393.37682827"/>
    <n v="110441604"/>
    <n v="587987.03082574601"/>
    <n v="123.66927599"/>
    <n v="317184.14959291701"/>
    <n v="0"/>
    <m/>
    <m/>
    <m/>
    <m/>
    <m/>
  </r>
  <r>
    <x v="335"/>
    <n v="1"/>
    <n v="640022500.05653095"/>
    <n v="3459133.2507539801"/>
    <n v="1417.0518589999999"/>
    <n v="2417926.3592163599"/>
    <n v="6963787.44314152"/>
    <n v="112931714"/>
    <n v="608206.12882378197"/>
    <n v="123.212464"/>
    <n v="316679.99271083798"/>
    <n v="0"/>
    <m/>
    <m/>
    <m/>
    <m/>
    <m/>
  </r>
  <r>
    <x v="336"/>
    <n v="1"/>
    <n v="644966145.37255096"/>
    <n v="3401239.5891346601"/>
    <n v="1415.5318589999999"/>
    <n v="2440965.5781401601"/>
    <n v="6275340.0283240499"/>
    <n v="115149915"/>
    <n v="605001.39231860405"/>
    <n v="123.37540962"/>
    <n v="324611.01493500499"/>
    <n v="0"/>
    <m/>
    <m/>
    <m/>
    <m/>
    <m/>
  </r>
  <r>
    <x v="337"/>
    <n v="1"/>
    <n v="643638265.16894197"/>
    <n v="3453555.8246458098"/>
    <n v="1408.6418590000001"/>
    <n v="2435131.4742632401"/>
    <n v="6162224.5658309897"/>
    <n v="114839461"/>
    <n v="613950.60678962804"/>
    <n v="122.8178391"/>
    <n v="319417.95552681503"/>
    <n v="0"/>
    <m/>
    <m/>
    <m/>
    <m/>
    <m/>
  </r>
  <r>
    <x v="338"/>
    <n v="1"/>
    <n v="635487628.13431501"/>
    <n v="3456298.99750731"/>
    <n v="1409.3418590000001"/>
    <n v="2437164.6939010099"/>
    <n v="6050654.4290676499"/>
    <n v="114438157"/>
    <n v="620126.56876557902"/>
    <n v="125.91088231000001"/>
    <n v="322846.80084868497"/>
    <n v="0"/>
    <m/>
    <m/>
    <m/>
    <m/>
    <m/>
  </r>
  <r>
    <x v="339"/>
    <n v="1"/>
    <n v="638624867.94518995"/>
    <n v="3415754.69416027"/>
    <n v="1408.8518589999901"/>
    <n v="2406894.7593510798"/>
    <n v="6603806.1922620898"/>
    <n v="116025768"/>
    <n v="618210.61381074099"/>
    <n v="123.39132459"/>
    <n v="322703.16698353901"/>
    <n v="0"/>
    <m/>
    <m/>
    <m/>
    <m/>
    <m/>
  </r>
  <r>
    <x v="340"/>
    <n v="1"/>
    <n v="649802010.75176001"/>
    <n v="3389045.36007482"/>
    <n v="1408.661859"/>
    <n v="2407698.5700564301"/>
    <n v="6947940.6514031002"/>
    <n v="119162440"/>
    <n v="619154.31778031797"/>
    <n v="122.57351885"/>
    <n v="323728.74040329299"/>
    <n v="0"/>
    <m/>
    <m/>
    <m/>
    <m/>
    <m/>
  </r>
  <r>
    <x v="341"/>
    <n v="1"/>
    <n v="637193431.53419602"/>
    <n v="3362352.9937444101"/>
    <n v="1408.001859"/>
    <n v="2371211.02663913"/>
    <n v="7584511.44326986"/>
    <n v="122282255"/>
    <n v="642812.67413131404"/>
    <n v="122.34859938"/>
    <n v="322721.19825867802"/>
    <n v="0"/>
    <m/>
    <m/>
    <m/>
    <m/>
    <m/>
  </r>
  <r>
    <x v="342"/>
    <n v="1"/>
    <n v="626373963.83374202"/>
    <n v="3361295.7932435302"/>
    <n v="1397.347749"/>
    <n v="2347624.0779872802"/>
    <n v="8207342.0930987597"/>
    <n v="125657888"/>
    <n v="671679.96579003602"/>
    <n v="122.25275661000001"/>
    <n v="321998.81202925998"/>
    <n v="0"/>
    <m/>
    <m/>
    <m/>
    <m/>
    <m/>
  </r>
  <r>
    <x v="343"/>
    <n v="1"/>
    <n v="607745548.43347502"/>
    <n v="3313111.1973934202"/>
    <n v="1396.327749"/>
    <n v="2294488.3409423698"/>
    <n v="8099332.80515341"/>
    <n v="124864798"/>
    <n v="678060.26608742797"/>
    <n v="121.05932101000001"/>
    <n v="324180.79762416502"/>
    <n v="0"/>
    <m/>
    <m/>
    <m/>
    <m/>
    <m/>
  </r>
  <r>
    <x v="344"/>
    <n v="1"/>
    <n v="612265117.02691698"/>
    <n v="3310058.5397372302"/>
    <n v="1396.2477490000001"/>
    <n v="2283160.9038212299"/>
    <n v="8028378.6058168299"/>
    <n v="127412750"/>
    <n v="686047.54469093203"/>
    <n v="123.54255148"/>
    <n v="325753.76267092902"/>
    <n v="0"/>
    <m/>
    <m/>
    <m/>
    <m/>
    <m/>
  </r>
  <r>
    <x v="345"/>
    <n v="1"/>
    <n v="609224888.89630497"/>
    <n v="3310432.5089295302"/>
    <n v="1395.367749"/>
    <n v="2291943.0405418901"/>
    <n v="7910555.5698286397"/>
    <n v="126515782"/>
    <n v="684683.30988202104"/>
    <n v="123.53210163999999"/>
    <n v="336768.376827478"/>
    <n v="0"/>
    <m/>
    <m/>
    <m/>
    <m/>
    <m/>
  </r>
  <r>
    <x v="346"/>
    <n v="1"/>
    <n v="602322010.98400903"/>
    <n v="3302147.8351078299"/>
    <n v="1396.2777489999901"/>
    <n v="2293741.6053406699"/>
    <n v="7737432.2420905102"/>
    <n v="124355071"/>
    <n v="678979.36663936602"/>
    <n v="123.85062635"/>
    <n v="339009.11617073102"/>
    <n v="0"/>
    <m/>
    <m/>
    <m/>
    <m/>
    <m/>
  </r>
  <r>
    <x v="347"/>
    <n v="1"/>
    <n v="608196061.08397603"/>
    <n v="3309680.50617819"/>
    <n v="1395.407749"/>
    <n v="2303922.5820209002"/>
    <n v="8330769.9890455296"/>
    <n v="125987651"/>
    <n v="682785.88228918205"/>
    <n v="124.19654917"/>
    <n v="338872.19149735197"/>
    <n v="0"/>
    <m/>
    <m/>
    <m/>
    <m/>
    <m/>
  </r>
  <r>
    <x v="348"/>
    <n v="1"/>
    <n v="628391540.50535297"/>
    <n v="3294583.4682262"/>
    <n v="1394.9677489999999"/>
    <n v="2312974.9290386899"/>
    <n v="8048923.6522479001"/>
    <n v="128340915"/>
    <n v="670152.550780638"/>
    <n v="121.74759014"/>
    <n v="343824.39547405898"/>
    <n v="0"/>
    <m/>
    <m/>
    <m/>
    <m/>
    <m/>
  </r>
  <r>
    <x v="349"/>
    <n v="1"/>
    <n v="600339503.06944597"/>
    <n v="3299304.6232970301"/>
    <n v="1395.137749"/>
    <n v="2296868.9201877299"/>
    <n v="6866603.1787153101"/>
    <n v="124099809"/>
    <n v="678994.41374404903"/>
    <n v="122.1112689"/>
    <n v="340403.93246852898"/>
    <n v="0"/>
    <m/>
    <m/>
    <m/>
    <m/>
    <m/>
  </r>
  <r>
    <x v="350"/>
    <n v="1"/>
    <n v="605973606.53217399"/>
    <n v="3297620.8256582501"/>
    <n v="1390.088348"/>
    <n v="2302326.21530595"/>
    <n v="6656682.0882336097"/>
    <n v="124890962"/>
    <n v="676622.39679271798"/>
    <n v="121.34607552999999"/>
    <n v="356816.390512963"/>
    <n v="0"/>
    <m/>
    <m/>
    <m/>
    <m/>
    <m/>
  </r>
  <r>
    <x v="351"/>
    <n v="1"/>
    <n v="589015565.97226703"/>
    <n v="3285209.0066077998"/>
    <n v="1390.7383479999901"/>
    <n v="2335399.6071984698"/>
    <n v="5872667.0076811304"/>
    <n v="122141653"/>
    <n v="678225.62607584998"/>
    <n v="120.18491206"/>
    <n v="388857.00603970699"/>
    <n v="0"/>
    <m/>
    <m/>
    <m/>
    <m/>
    <m/>
  </r>
  <r>
    <x v="352"/>
    <n v="1"/>
    <n v="597705632.84961402"/>
    <n v="3291026.3518701298"/>
    <n v="1392.027051"/>
    <n v="2341718.4204782401"/>
    <n v="5905591.3534744298"/>
    <n v="124240612"/>
    <n v="681367.84029834298"/>
    <n v="120.08430042000001"/>
    <n v="420494.09677941399"/>
    <n v="0"/>
    <m/>
    <m/>
    <m/>
    <m/>
    <m/>
  </r>
  <r>
    <x v="353"/>
    <n v="1"/>
    <n v="538631738.92133605"/>
    <n v="3307938.2030723998"/>
    <n v="1396.1570509999999"/>
    <n v="2339977.8728926"/>
    <n v="5813230.9720055796"/>
    <n v="114067080"/>
    <n v="698127.66999204305"/>
    <n v="119.83109785000001"/>
    <n v="431563.37314895401"/>
    <n v="0"/>
    <m/>
    <m/>
    <m/>
    <m/>
    <m/>
  </r>
  <r>
    <x v="354"/>
    <n v="1"/>
    <n v="533694049.42466199"/>
    <n v="3273286.3814180898"/>
    <n v="1394.4270509999999"/>
    <n v="2336762.64557146"/>
    <n v="5559462.7898809602"/>
    <n v="111182693"/>
    <n v="679600.81295843504"/>
    <n v="114.91304341"/>
    <n v="435981.98708901898"/>
    <n v="0"/>
    <m/>
    <m/>
    <m/>
    <m/>
    <m/>
  </r>
  <r>
    <x v="355"/>
    <n v="1"/>
    <n v="537204557.05477703"/>
    <n v="3110538.81260096"/>
    <n v="1396.9870510000001"/>
    <n v="2226546.96928831"/>
    <n v="6240997.5112227602"/>
    <n v="116851667"/>
    <n v="674196.09393030195"/>
    <n v="112.76724673"/>
    <n v="428349.57425761898"/>
    <n v="0"/>
    <m/>
    <m/>
    <m/>
    <m/>
    <m/>
  </r>
  <r>
    <x v="356"/>
    <n v="1"/>
    <n v="543729112.42454696"/>
    <n v="3091812.8937230902"/>
    <n v="1398.26705099999"/>
    <n v="2222848.9397564102"/>
    <n v="6110756.8858159399"/>
    <n v="119901582"/>
    <n v="679252.10740992497"/>
    <n v="110.80941147999999"/>
    <n v="428290.61648619903"/>
    <n v="0"/>
    <m/>
    <m/>
    <m/>
    <m/>
    <m/>
  </r>
  <r>
    <x v="357"/>
    <n v="1"/>
    <n v="544281899.38154101"/>
    <n v="3067221.91342428"/>
    <n v="1397.9170710000001"/>
    <n v="2224603.66426097"/>
    <n v="5557835.5999916904"/>
    <n v="120012980"/>
    <n v="673813.82291842101"/>
    <n v="111.55806822"/>
    <n v="422444.10816477903"/>
    <n v="0"/>
    <m/>
    <m/>
    <m/>
    <m/>
    <m/>
  </r>
  <r>
    <x v="358"/>
    <n v="1"/>
    <n v="535591514.20523798"/>
    <n v="3065498.6712289699"/>
    <n v="1396.457071"/>
    <n v="2227529.3683633599"/>
    <n v="5475816.6577786701"/>
    <n v="118701996"/>
    <n v="676943.23353293398"/>
    <n v="112.40823146"/>
    <n v="427881.75246738101"/>
    <n v="0"/>
    <m/>
    <m/>
    <m/>
    <m/>
    <m/>
  </r>
  <r>
    <x v="359"/>
    <n v="1"/>
    <n v="530439906.90617299"/>
    <n v="3043240.4722428601"/>
    <n v="1395.9270710000001"/>
    <n v="2226065.41539717"/>
    <n v="5590237.1134792697"/>
    <n v="117421982"/>
    <n v="671328.00869018305"/>
    <n v="112.38859186000001"/>
    <n v="430081.23465179303"/>
    <n v="0"/>
    <m/>
    <m/>
    <m/>
    <m/>
    <m/>
  </r>
  <r>
    <x v="360"/>
    <n v="1"/>
    <n v="543702954.55558705"/>
    <n v="3026951.7503467398"/>
    <n v="1394.1470710000001"/>
    <n v="2224659.5201988402"/>
    <n v="5859645.5024452601"/>
    <n v="119919216"/>
    <n v="665293.84743411897"/>
    <n v="112.67068359"/>
    <n v="431788.86864495598"/>
    <n v="0"/>
    <m/>
    <m/>
    <m/>
    <m/>
    <m/>
  </r>
  <r>
    <x v="361"/>
    <n v="1"/>
    <n v="530452946.47152197"/>
    <n v="2994109.85883808"/>
    <n v="1395.4070710000001"/>
    <n v="2213003.8727241098"/>
    <n v="5823020.4385069599"/>
    <n v="118553845"/>
    <n v="666744.53067881404"/>
    <n v="116.14399782"/>
    <n v="427882.42223345698"/>
    <n v="0"/>
    <m/>
    <m/>
    <m/>
    <m/>
    <m/>
  </r>
  <r>
    <x v="362"/>
    <n v="1"/>
    <n v="538920241.54449904"/>
    <n v="2966583.1733669699"/>
    <n v="1394.1870710000001"/>
    <n v="2208011.48861088"/>
    <n v="6389182.2226843601"/>
    <n v="120055337"/>
    <n v="658450.81445730198"/>
    <n v="119.48099135"/>
    <n v="426663.59763971402"/>
    <n v="0"/>
    <m/>
    <m/>
    <m/>
    <m/>
    <m/>
  </r>
  <r>
    <x v="363"/>
    <n v="1"/>
    <n v="558179841.350124"/>
    <n v="2958089.75604604"/>
    <n v="1395.8870710000001"/>
    <n v="2216165.6664348701"/>
    <n v="6072344.2551488504"/>
    <n v="123821825"/>
    <n v="653827.35769352596"/>
    <n v="118.57284136"/>
    <n v="428661.87176203798"/>
    <n v="0"/>
    <m/>
    <m/>
    <m/>
    <m/>
    <m/>
  </r>
  <r>
    <x v="364"/>
    <n v="1"/>
    <n v="547138228.60370803"/>
    <n v="2978323.3973315898"/>
    <n v="1396.5770709999999"/>
    <n v="2224225.7620484098"/>
    <n v="6037392.1216091001"/>
    <n v="121777971"/>
    <n v="660472.77904328005"/>
    <n v="117.09212055"/>
    <n v="432760.50311024702"/>
    <n v="0"/>
    <m/>
    <m/>
    <m/>
    <m/>
    <m/>
  </r>
  <r>
    <x v="365"/>
    <n v="1"/>
    <n v="543253706.64733803"/>
    <n v="2962331.2652795101"/>
    <n v="1390.777071"/>
    <n v="2220241.3835311402"/>
    <n v="5923986.1761876503"/>
    <n v="121841770"/>
    <n v="661931.71076220996"/>
    <n v="115.1734807"/>
    <n v="431192.05675565102"/>
    <n v="0"/>
    <m/>
    <m/>
    <m/>
    <m/>
    <m/>
  </r>
  <r>
    <x v="366"/>
    <n v="1"/>
    <n v="537670114.256006"/>
    <n v="2960857.8670177702"/>
    <n v="1392.307071"/>
    <n v="2220219.3816328798"/>
    <n v="5856082.1177262496"/>
    <n v="119892348"/>
    <n v="657737.26135615504"/>
    <n v="116.09989662"/>
    <n v="430748.05544237199"/>
    <n v="0"/>
    <m/>
    <m/>
    <m/>
    <m/>
    <m/>
  </r>
  <r>
    <x v="367"/>
    <n v="1"/>
    <n v="566672247.16715205"/>
    <n v="2936307.8201620802"/>
    <n v="1391.007071"/>
    <n v="2233946.5726268999"/>
    <n v="5760330.9578002403"/>
    <n v="125692451"/>
    <n v="648802.20409848704"/>
    <n v="119.50060954999999"/>
    <n v="431028.839495497"/>
    <n v="0"/>
    <m/>
    <m/>
    <m/>
    <m/>
    <m/>
  </r>
  <r>
    <x v="368"/>
    <n v="1"/>
    <n v="565464082.76610303"/>
    <n v="2920584.79703657"/>
    <n v="1388.3370709999999"/>
    <n v="2227045.4396211701"/>
    <n v="5917419.4708252298"/>
    <n v="124756238"/>
    <n v="641849.24628286203"/>
    <n v="119.23721935"/>
    <n v="431123.617003922"/>
    <n v="0"/>
    <m/>
    <m/>
    <m/>
    <m/>
    <m/>
  </r>
  <r>
    <x v="369"/>
    <n v="1"/>
    <n v="529776307.40027899"/>
    <n v="2914021.0454221601"/>
    <n v="1387.307071"/>
    <n v="2201247.1278369101"/>
    <n v="5828920.8212819602"/>
    <n v="117989567"/>
    <n v="646482.75163004699"/>
    <n v="115.77711567999999"/>
    <n v="430652.06434362498"/>
    <n v="0"/>
    <m/>
    <m/>
    <m/>
    <m/>
    <m/>
  </r>
  <r>
    <x v="370"/>
    <n v="1"/>
    <n v="522109141.88407201"/>
    <n v="2887718.8959894199"/>
    <n v="1388.0670709999999"/>
    <n v="2194608.6965647298"/>
    <n v="5764877.48977827"/>
    <n v="113304609"/>
    <n v="624199.03591890703"/>
    <n v="116.03292576"/>
    <n v="430098.64928765601"/>
    <n v="0"/>
    <m/>
    <m/>
    <m/>
    <m/>
    <m/>
  </r>
  <r>
    <x v="371"/>
    <n v="1"/>
    <n v="500868280.87794799"/>
    <n v="2909786.1705820998"/>
    <n v="1389.5770709999999"/>
    <n v="2198160.6221882901"/>
    <n v="5846617.5476512602"/>
    <n v="111513894"/>
    <n v="645260.35181113298"/>
    <n v="113.86038089"/>
    <n v="431011.61786250299"/>
    <n v="0"/>
    <m/>
    <m/>
    <m/>
    <m/>
    <m/>
  </r>
  <r>
    <x v="372"/>
    <n v="1"/>
    <n v="523394897.50924999"/>
    <n v="2907485.9466637098"/>
    <n v="1389.0870709999999"/>
    <n v="2199634.5859687999"/>
    <n v="5812768.0992907397"/>
    <n v="115557980"/>
    <n v="639360.296558592"/>
    <n v="113.88415207"/>
    <n v="430628.14696701599"/>
    <n v="0"/>
    <m/>
    <m/>
    <m/>
    <m/>
    <m/>
  </r>
  <r>
    <x v="373"/>
    <n v="1"/>
    <n v="515601942.49395001"/>
    <n v="2914712.0326576498"/>
    <n v="1388.757071"/>
    <n v="2206271.6096470901"/>
    <n v="5814670.9317349903"/>
    <n v="113248519"/>
    <n v="637660.57995495503"/>
    <n v="113.78052116000001"/>
    <n v="432365.16571924603"/>
    <n v="0"/>
    <m/>
    <m/>
    <m/>
    <m/>
    <m/>
  </r>
  <r>
    <x v="374"/>
    <n v="1"/>
    <n v="508363404.73322898"/>
    <n v="2889779.2560720099"/>
    <n v="1390.3870710000001"/>
    <n v="2200844.5277230898"/>
    <n v="5667792.12418688"/>
    <n v="112033952"/>
    <n v="634286.08956575894"/>
    <n v="111.78701719"/>
    <n v="433151.17379115702"/>
    <n v="0"/>
    <m/>
    <m/>
    <m/>
    <m/>
    <m/>
  </r>
  <r>
    <x v="375"/>
    <n v="1"/>
    <n v="526386337.87814701"/>
    <n v="2893046.8997975099"/>
    <n v="1388.787071"/>
    <n v="2202912.2668769001"/>
    <n v="6456989.5079685701"/>
    <n v="114925314"/>
    <n v="628935.11738630699"/>
    <n v="108.82941934"/>
    <n v="434058.257995172"/>
    <n v="0"/>
    <m/>
    <m/>
    <m/>
    <m/>
    <m/>
  </r>
  <r>
    <x v="376"/>
    <n v="1"/>
    <n v="508986277.08790398"/>
    <n v="2883062.4943591999"/>
    <n v="1387.307071"/>
    <n v="2198740.5671629799"/>
    <n v="6209439.0667279903"/>
    <n v="113380508"/>
    <n v="639556.11462093797"/>
    <n v="108.79153268"/>
    <n v="429596.58198499703"/>
    <n v="0"/>
    <m/>
    <m/>
    <m/>
    <m/>
    <m/>
  </r>
  <r>
    <x v="377"/>
    <n v="1"/>
    <n v="519425533.41152102"/>
    <n v="2864928.8931612102"/>
    <n v="1385.8970710000001"/>
    <n v="2202139.10743191"/>
    <n v="5564506.3351142304"/>
    <n v="114982077"/>
    <n v="631596.13842351001"/>
    <n v="109.23367457000001"/>
    <n v="431918.90055488597"/>
    <n v="0"/>
    <m/>
    <m/>
    <m/>
    <m/>
    <m/>
  </r>
  <r>
    <x v="378"/>
    <n v="1"/>
    <n v="499060296.493945"/>
    <n v="2908698.2934757299"/>
    <n v="1385.9370710000001"/>
    <n v="2193128.2058984698"/>
    <n v="5217851.0260090902"/>
    <n v="113170821"/>
    <n v="656900.51660088205"/>
    <n v="110.98228407000001"/>
    <n v="433659.92445197399"/>
    <n v="0"/>
    <m/>
    <m/>
    <m/>
    <m/>
    <m/>
  </r>
  <r>
    <x v="379"/>
    <n v="1"/>
    <n v="511350671.27576602"/>
    <n v="2904848.8032592"/>
    <n v="1385.5770709999999"/>
    <n v="2191896.38896249"/>
    <n v="5145820.2294729901"/>
    <n v="115363311"/>
    <n v="652765.86318112304"/>
    <n v="111.24456204000001"/>
    <n v="434536.20721760602"/>
    <n v="0"/>
    <m/>
    <m/>
    <m/>
    <m/>
    <m/>
  </r>
  <r>
    <x v="380"/>
    <n v="1"/>
    <n v="508082511.84053802"/>
    <n v="2896580.2373786098"/>
    <n v="1381.987071"/>
    <n v="2196022.35360975"/>
    <n v="4995564.2545785597"/>
    <n v="113938870"/>
    <n v="647049.06581861502"/>
    <n v="109.40619264"/>
    <n v="436559.001790985"/>
    <n v="0"/>
    <m/>
    <m/>
    <m/>
    <m/>
    <m/>
  </r>
  <r>
    <x v="381"/>
    <n v="1"/>
    <n v="482039302.75743198"/>
    <n v="2896678.4919210002"/>
    <n v="1383.487071"/>
    <n v="2185064.7099368698"/>
    <n v="5326969.2054749401"/>
    <n v="106662637"/>
    <n v="638316.19988031103"/>
    <n v="109.10078308"/>
    <n v="434177.901702045"/>
    <n v="0"/>
    <m/>
    <m/>
    <m/>
    <m/>
    <m/>
  </r>
  <r>
    <x v="382"/>
    <n v="1"/>
    <n v="480315985.66768199"/>
    <n v="2816668.2978102099"/>
    <n v="1384.977071"/>
    <n v="2155621.3751480598"/>
    <n v="5217254.6207024902"/>
    <n v="108063346"/>
    <n v="631026.83795620396"/>
    <n v="104.43081905"/>
    <n v="432325.21961130598"/>
    <n v="0"/>
    <m/>
    <m/>
    <m/>
    <m/>
    <m/>
  </r>
  <r>
    <x v="383"/>
    <n v="1"/>
    <n v="466138107.92625803"/>
    <n v="2800874.6275800099"/>
    <n v="1384.777071"/>
    <n v="2161782.8095591199"/>
    <n v="5050323.3144791601"/>
    <n v="105265761"/>
    <n v="629768.23810948199"/>
    <n v="102.48471094"/>
    <n v="433207.48322692199"/>
    <n v="0"/>
    <m/>
    <m/>
    <m/>
    <m/>
    <m/>
  </r>
  <r>
    <x v="384"/>
    <n v="1"/>
    <n v="549528047.10305798"/>
    <n v="2718443.00423687"/>
    <n v="1384.5870709999999"/>
    <n v="2165468.2485647402"/>
    <n v="4911467.7247122396"/>
    <n v="119440711"/>
    <n v="588435.86067592795"/>
    <n v="102.27657551"/>
    <n v="431814.28679778602"/>
    <n v="0"/>
    <m/>
    <m/>
    <m/>
    <m/>
    <m/>
  </r>
  <r>
    <x v="385"/>
    <n v="1"/>
    <n v="578330238.825176"/>
    <n v="2722688.0198809002"/>
    <n v="1392.557071"/>
    <n v="2170799.9298804798"/>
    <n v="4865836.7121475404"/>
    <n v="125037039"/>
    <n v="586285.173723449"/>
    <n v="101.92636029000001"/>
    <n v="432880.62657455401"/>
    <n v="0"/>
    <m/>
    <m/>
    <m/>
    <m/>
    <m/>
  </r>
  <r>
    <x v="386"/>
    <n v="1"/>
    <n v="584742271.31368101"/>
    <n v="2702596.89744061"/>
    <n v="1392.717071"/>
    <n v="2167640.5598317198"/>
    <n v="4974723.1826881003"/>
    <n v="127097171"/>
    <n v="585054.18431228097"/>
    <n v="102.4265209"/>
    <n v="436635.14219955401"/>
    <n v="0"/>
    <m/>
    <m/>
    <m/>
    <m/>
    <m/>
  </r>
  <r>
    <x v="387"/>
    <n v="1"/>
    <n v="590145972.03208005"/>
    <n v="2699713.4299120698"/>
    <n v="1387.0110709999999"/>
    <n v="2170638.9861301701"/>
    <n v="5148989.8540799301"/>
    <n v="127786988"/>
    <n v="582146.54457655596"/>
    <n v="110.44077247"/>
    <n v="439878.21922260203"/>
    <n v="0"/>
    <m/>
    <m/>
    <m/>
    <m/>
    <m/>
  </r>
  <r>
    <x v="388"/>
    <n v="1"/>
    <n v="598969167.01609695"/>
    <n v="2707974.2791493898"/>
    <n v="1388.141071"/>
    <n v="2175829.4382009101"/>
    <n v="5042162.2747072801"/>
    <n v="128318594"/>
    <n v="578115.84970264905"/>
    <n v="74.408639820000005"/>
    <n v="444380.16778991697"/>
    <n v="0"/>
    <m/>
    <m/>
    <m/>
    <m/>
    <m/>
  </r>
  <r>
    <x v="389"/>
    <n v="1"/>
    <n v="575758493.50810599"/>
    <n v="2731911.01763009"/>
    <n v="1398.0410710000001"/>
    <n v="2172886.14304573"/>
    <n v="6305764.2987193698"/>
    <n v="123685568"/>
    <n v="584608.25258779596"/>
    <n v="94.179617359999995"/>
    <n v="441905.67698305403"/>
    <n v="0"/>
    <m/>
    <m/>
    <m/>
    <m/>
    <m/>
  </r>
  <r>
    <x v="390"/>
    <n v="1"/>
    <n v="567694731.44622505"/>
    <n v="2721228.4786553299"/>
    <n v="1398.121071"/>
    <n v="2173445.5221591098"/>
    <n v="5327885.8465438001"/>
    <n v="123351393"/>
    <n v="589014.38735555299"/>
    <n v="89.481739709999999"/>
    <n v="443683.30792540399"/>
    <n v="0"/>
    <m/>
    <m/>
    <m/>
    <m/>
    <m/>
  </r>
  <r>
    <x v="391"/>
    <n v="1"/>
    <n v="545639352.92337203"/>
    <n v="2744891.82742897"/>
    <n v="1398.201071"/>
    <n v="2155088.1100888401"/>
    <n v="5206721.3235896798"/>
    <n v="120057437"/>
    <n v="601580.58325399598"/>
    <n v="94.527645089999993"/>
    <n v="432467.76143544202"/>
    <n v="0"/>
    <m/>
    <m/>
    <m/>
    <m/>
    <m/>
  </r>
  <r>
    <x v="392"/>
    <n v="1"/>
    <n v="528638159.44595301"/>
    <n v="2760767.5890767202"/>
    <n v="1397.9910709999999"/>
    <n v="2139179.2215201901"/>
    <n v="5130941.6450094897"/>
    <n v="120611800"/>
    <n v="627369.57087126095"/>
    <n v="95.422375819999999"/>
    <n v="427118.05778419197"/>
    <n v="0"/>
    <m/>
    <m/>
    <m/>
    <m/>
    <m/>
  </r>
  <r>
    <x v="393"/>
    <n v="1"/>
    <n v="519187908.838067"/>
    <n v="2740553.9504809901"/>
    <n v="1395.941071"/>
    <n v="2051905.1188888999"/>
    <n v="5743736.09251328"/>
    <n v="127613513"/>
    <n v="670838.00136676605"/>
    <n v="97.057672060000002"/>
    <n v="399119.79990459699"/>
    <n v="0"/>
    <m/>
    <m/>
    <m/>
    <m/>
    <m/>
  </r>
  <r>
    <x v="394"/>
    <n v="1"/>
    <n v="503921291.65903199"/>
    <n v="2774962.52605023"/>
    <n v="1399.0110709999999"/>
    <n v="2049653.9387373501"/>
    <n v="5772366.1264165798"/>
    <n v="123016852"/>
    <n v="674656.42206866201"/>
    <n v="96.98848151"/>
    <n v="401343.91490648198"/>
    <n v="0"/>
    <m/>
    <m/>
    <m/>
    <m/>
    <m/>
  </r>
  <r>
    <x v="395"/>
    <n v="1"/>
    <n v="503002716.99359101"/>
    <n v="2778912.8473177399"/>
    <n v="1401.2710709999999"/>
    <n v="2050833.5018978899"/>
    <n v="6076151.8419836396"/>
    <n v="122998597"/>
    <n v="676746.06327372696"/>
    <n v="97.051895759999994"/>
    <n v="400951.96533991402"/>
    <n v="0"/>
    <m/>
    <m/>
    <m/>
    <m/>
    <m/>
  </r>
  <r>
    <x v="396"/>
    <n v="1"/>
    <n v="491681168.49749798"/>
    <n v="2753228.9649788002"/>
    <n v="1402.601071"/>
    <n v="2040405.7900841199"/>
    <n v="5898355.9797073696"/>
    <n v="120281331"/>
    <n v="670763.61253624805"/>
    <n v="97.782323079999998"/>
    <n v="400386.12751198502"/>
    <n v="0"/>
    <m/>
    <m/>
    <m/>
    <m/>
    <m/>
  </r>
  <r>
    <x v="397"/>
    <n v="1"/>
    <n v="493520496.19410098"/>
    <n v="2735086.56320759"/>
    <n v="1399.681071"/>
    <n v="2042609.8391201899"/>
    <n v="5653552.0091323499"/>
    <n v="120924578"/>
    <n v="667833.31308333797"/>
    <n v="98.222315359999996"/>
    <n v="401606.97909382801"/>
    <n v="0"/>
    <m/>
    <m/>
    <m/>
    <m/>
    <m/>
  </r>
  <r>
    <x v="398"/>
    <n v="1"/>
    <n v="494462891.365053"/>
    <n v="2732757.7101002298"/>
    <n v="1399.4610709999999"/>
    <n v="2035180.2160339199"/>
    <n v="5676800.8257667702"/>
    <n v="121371620"/>
    <n v="668419.53959687101"/>
    <n v="96.896582989999999"/>
    <n v="401140.07925778301"/>
    <n v="0"/>
    <m/>
    <m/>
    <m/>
    <m/>
    <m/>
  </r>
  <r>
    <x v="399"/>
    <n v="1"/>
    <n v="495729099.871984"/>
    <n v="2722229.8878248902"/>
    <n v="1400.8410709999901"/>
    <n v="2034403.08965796"/>
    <n v="5516929.0207420103"/>
    <n v="123041841"/>
    <n v="673279.56771545799"/>
    <n v="97.291637919999999"/>
    <n v="399453.39549573598"/>
    <n v="0"/>
    <m/>
    <m/>
    <m/>
    <m/>
    <m/>
  </r>
  <r>
    <x v="400"/>
    <n v="1"/>
    <n v="484931316.90103"/>
    <n v="2712912.35785953"/>
    <n v="1400.7610709999999"/>
    <n v="2033040.5799686899"/>
    <n v="5806220.9623298896"/>
    <n v="121413872"/>
    <n v="676777.43589743495"/>
    <n v="95.959140099999999"/>
    <n v="401981.94214392197"/>
    <n v="0"/>
    <m/>
    <m/>
    <m/>
    <m/>
    <m/>
  </r>
  <r>
    <x v="401"/>
    <n v="1"/>
    <n v="465220286.15724403"/>
    <n v="2747456.41070903"/>
    <n v="1400.0310709999901"/>
    <n v="2033622.4963982599"/>
    <n v="5140998.4205514798"/>
    <n v="117999179"/>
    <n v="694317.02853780496"/>
    <n v="95.096306630000001"/>
    <n v="401568.28255107102"/>
    <n v="0"/>
    <m/>
    <m/>
    <m/>
    <m/>
    <m/>
  </r>
  <r>
    <x v="402"/>
    <n v="1"/>
    <n v="476913891.52145302"/>
    <n v="2739151.6479743598"/>
    <n v="1399.3310710000001"/>
    <n v="2094863.62340482"/>
    <n v="4957061.9942388805"/>
    <n v="118446049"/>
    <n v="677764.07072556601"/>
    <n v="95.424109150000007"/>
    <n v="465246.602767448"/>
    <n v="0"/>
    <m/>
    <m/>
    <m/>
    <m/>
    <m/>
  </r>
  <r>
    <x v="403"/>
    <n v="1"/>
    <n v="480142649.99064702"/>
    <n v="2744068.7048106999"/>
    <n v="1396.7210709999999"/>
    <n v="2092098.40787198"/>
    <n v="5056310.9080772102"/>
    <n v="118151445"/>
    <n v="672652.69000853901"/>
    <n v="95.690834899999999"/>
    <n v="464217.32558974798"/>
    <n v="0"/>
    <m/>
    <m/>
    <m/>
    <m/>
    <m/>
  </r>
  <r>
    <x v="404"/>
    <n v="1"/>
    <n v="482916925.05999202"/>
    <n v="2702908.0559736802"/>
    <n v="1399.121071"/>
    <n v="2090975.4124832"/>
    <n v="5382438.5388727803"/>
    <n v="120958264"/>
    <n v="674350.58259463601"/>
    <n v="95.927459150000004"/>
    <n v="465790.109087096"/>
    <n v="0"/>
    <m/>
    <m/>
    <m/>
    <m/>
    <m/>
  </r>
  <r>
    <x v="405"/>
    <n v="1"/>
    <n v="479079183.98811901"/>
    <n v="2686580.47690847"/>
    <n v="1398.151071"/>
    <n v="2084884.6704819901"/>
    <n v="5284120.0641047601"/>
    <n v="120591919"/>
    <n v="673434.51722789905"/>
    <n v="95.753189829999997"/>
    <n v="466377.28199470101"/>
    <n v="0"/>
    <m/>
    <m/>
    <m/>
    <m/>
    <m/>
  </r>
  <r>
    <x v="406"/>
    <n v="1"/>
    <n v="461024258.10069799"/>
    <n v="2690122.0582253402"/>
    <n v="1404.7510709999999"/>
    <n v="2082113.9159375699"/>
    <n v="4983260.30668448"/>
    <n v="116217271"/>
    <n v="675328.43860770494"/>
    <n v="95.709598110000002"/>
    <n v="466288.54262969003"/>
    <n v="0"/>
    <m/>
    <m/>
    <m/>
    <m/>
    <m/>
  </r>
  <r>
    <x v="407"/>
    <n v="1"/>
    <n v="463110126.60058701"/>
    <n v="2672000.35049413"/>
    <n v="1413.7110709999999"/>
    <n v="2084499.88306979"/>
    <n v="4801620.3850339698"/>
    <n v="115321256"/>
    <n v="662613.51413468097"/>
    <n v="96.228350199999994"/>
    <n v="466345.20565040101"/>
    <n v="0"/>
    <m/>
    <m/>
    <m/>
    <m/>
    <m/>
  </r>
  <r>
    <x v="408"/>
    <n v="1"/>
    <n v="454402412.94327801"/>
    <n v="2693490.44330322"/>
    <n v="1414.5310709999901"/>
    <n v="2079780.9978674699"/>
    <n v="4502743.2750145802"/>
    <n v="113696268"/>
    <n v="671130.79511244898"/>
    <n v="96.621384969999994"/>
    <n v="464472.28078928002"/>
    <n v="0"/>
    <m/>
    <m/>
    <m/>
    <m/>
    <m/>
  </r>
  <r>
    <x v="409"/>
    <n v="1"/>
    <n v="448104538.025446"/>
    <n v="2650481.2039818498"/>
    <n v="1411.651071"/>
    <n v="2071105.0892652399"/>
    <n v="4858049.2713835696"/>
    <n v="107265065"/>
    <n v="631825.79372091603"/>
    <n v="97.766440110000005"/>
    <n v="466260.62774488202"/>
    <n v="0"/>
    <m/>
    <m/>
    <m/>
    <m/>
    <m/>
  </r>
  <r>
    <x v="410"/>
    <n v="1"/>
    <n v="453141736.67756301"/>
    <n v="2616667.65382403"/>
    <n v="1408.3010709999901"/>
    <n v="2072280.7740078601"/>
    <n v="4422764.2620203197"/>
    <n v="107827469"/>
    <n v="620054.45083381201"/>
    <n v="97.780830109999997"/>
    <n v="474187.02847237198"/>
    <n v="0"/>
    <m/>
    <m/>
    <m/>
    <m/>
    <m/>
  </r>
  <r>
    <x v="411"/>
    <n v="1"/>
    <n v="477932657.220855"/>
    <n v="2545831.2274559699"/>
    <n v="1404.8410709999901"/>
    <n v="2054983.9193805601"/>
    <n v="4617877.5330637498"/>
    <n v="116037079"/>
    <n v="615516.014215998"/>
    <n v="97.683101949999994"/>
    <n v="474238.60456753202"/>
    <n v="0"/>
    <m/>
    <m/>
    <m/>
    <m/>
    <m/>
  </r>
  <r>
    <x v="412"/>
    <n v="1"/>
    <n v="473950464.144445"/>
    <n v="2522739.3269740301"/>
    <n v="1413.0610710000001"/>
    <n v="2043383.83224269"/>
    <n v="4563009.42036507"/>
    <n v="116371900"/>
    <n v="616703.23264440906"/>
    <n v="98.693534270000001"/>
    <n v="474288.13817504299"/>
    <n v="0"/>
    <m/>
    <m/>
    <m/>
    <m/>
    <m/>
  </r>
  <r>
    <x v="413"/>
    <n v="1"/>
    <n v="468524381.88884699"/>
    <n v="2507937.5812813099"/>
    <n v="1413.3310710000001"/>
    <n v="2044591.98893019"/>
    <n v="4554830.7321592104"/>
    <n v="115409397"/>
    <n v="615123.10521266295"/>
    <n v="99.750033650000006"/>
    <n v="477707.02154971199"/>
    <n v="0"/>
    <m/>
    <m/>
    <m/>
    <m/>
    <m/>
  </r>
  <r>
    <x v="414"/>
    <n v="1"/>
    <n v="476465658.20808101"/>
    <n v="2492798.8224260099"/>
    <n v="1411.141071"/>
    <n v="2053361.8842984899"/>
    <n v="4120488.3930138098"/>
    <n v="117288613"/>
    <n v="611132.83138807805"/>
    <n v="98.042934459999998"/>
    <n v="484563.36068354303"/>
    <n v="0"/>
    <m/>
    <m/>
    <m/>
    <m/>
    <m/>
  </r>
  <r>
    <x v="415"/>
    <n v="1"/>
    <n v="484586654.25405997"/>
    <n v="2489242.9170716698"/>
    <n v="1415.7710709999999"/>
    <n v="2051159.59749132"/>
    <n v="3993577.2430652301"/>
    <n v="118117237"/>
    <n v="604272.96771883103"/>
    <n v="96.429635959999999"/>
    <n v="484767.10633163201"/>
    <n v="0"/>
    <m/>
    <m/>
    <m/>
    <m/>
    <m/>
  </r>
  <r>
    <x v="416"/>
    <n v="1"/>
    <n v="474053487.711097"/>
    <n v="2489707.6424125098"/>
    <n v="1420.2710709999999"/>
    <n v="2052112.28094139"/>
    <n v="3962089.1798391701"/>
    <n v="114939837"/>
    <n v="601244.11256996298"/>
    <n v="95.046519340000003"/>
    <n v="481506.19396388897"/>
    <n v="0"/>
    <m/>
    <m/>
    <m/>
    <m/>
    <m/>
  </r>
  <r>
    <x v="417"/>
    <n v="1"/>
    <n v="467192839.42572701"/>
    <n v="2500410.8842812199"/>
    <n v="1420.151071"/>
    <n v="2057745.87799604"/>
    <n v="4091608.0504091098"/>
    <n v="113094436"/>
    <n v="602816.67288524006"/>
    <n v="94.050355659999994"/>
    <n v="489104.200513863"/>
    <n v="0"/>
    <m/>
    <m/>
    <m/>
    <m/>
    <m/>
  </r>
  <r>
    <x v="418"/>
    <n v="1"/>
    <n v="483506940.56125599"/>
    <n v="2465816.1588462298"/>
    <n v="1419.36107099999"/>
    <n v="2022900.3660044"/>
    <n v="3470714.8642268898"/>
    <n v="117325717"/>
    <n v="595803.96607759502"/>
    <n v="94.97795825"/>
    <n v="455845.34256226901"/>
    <n v="0"/>
    <m/>
    <m/>
    <m/>
    <m/>
    <m/>
  </r>
  <r>
    <x v="419"/>
    <n v="1"/>
    <n v="493566007.00617301"/>
    <n v="2439934.06674542"/>
    <n v="1417.2410709999999"/>
    <n v="2001884.87004359"/>
    <n v="4240179.4624047503"/>
    <n v="117514504"/>
    <n v="578433.27426658699"/>
    <n v="97.613481719999996"/>
    <n v="445651.00633702299"/>
    <n v="0"/>
    <m/>
    <m/>
    <m/>
    <m/>
    <m/>
  </r>
  <r>
    <x v="420"/>
    <n v="1"/>
    <n v="474555037.773444"/>
    <n v="2438994.8055271199"/>
    <n v="1418.7210709999999"/>
    <n v="2009487.1172004"/>
    <n v="3534402.1076850998"/>
    <n v="112611947"/>
    <n v="576314.97952916997"/>
    <n v="97.158525240000003"/>
    <n v="452643.38162708998"/>
    <n v="0"/>
    <m/>
    <m/>
    <m/>
    <m/>
    <m/>
  </r>
  <r>
    <x v="421"/>
    <n v="1"/>
    <n v="454394552.06670499"/>
    <n v="2451080.6830997202"/>
    <n v="1414.13107099999"/>
    <n v="2001919.6426260199"/>
    <n v="3617726.5318682101"/>
    <n v="108714063"/>
    <n v="583825.05236023804"/>
    <n v="96.883541730000005"/>
    <n v="452726.542188172"/>
    <n v="0"/>
    <m/>
    <m/>
    <m/>
    <m/>
    <m/>
  </r>
  <r>
    <x v="422"/>
    <n v="1"/>
    <n v="446992870.75385702"/>
    <n v="2417758.8919399101"/>
    <n v="1408.113071"/>
    <n v="1995188.5261228201"/>
    <n v="4135453.4574801698"/>
    <n v="102710005"/>
    <n v="553007.08017013897"/>
    <n v="97.381488570000002"/>
    <n v="447922.63345227001"/>
    <n v="0"/>
    <m/>
    <m/>
    <m/>
    <m/>
    <m/>
  </r>
  <r>
    <x v="423"/>
    <n v="1"/>
    <n v="450952593.00305402"/>
    <n v="2400033.9018963799"/>
    <n v="1419.813071"/>
    <n v="1997873.98020069"/>
    <n v="4177525.9350984599"/>
    <n v="101313790"/>
    <n v="536676.50174806605"/>
    <n v="97.441425769999995"/>
    <n v="449970.21745462198"/>
    <n v="0"/>
    <m/>
    <m/>
    <m/>
    <m/>
    <m/>
  </r>
  <r>
    <x v="424"/>
    <n v="1"/>
    <n v="433838982.15401602"/>
    <n v="2332514.95612157"/>
    <n v="1418.0030710000001"/>
    <n v="1955285.6069541799"/>
    <n v="4256190.5637854999"/>
    <n v="96675629"/>
    <n v="517313.93942636898"/>
    <n v="99.215693009999995"/>
    <n v="445140.86735056801"/>
    <n v="0"/>
    <m/>
    <m/>
    <m/>
    <m/>
    <m/>
  </r>
  <r>
    <x v="425"/>
    <n v="1"/>
    <n v="471109997.86097401"/>
    <n v="2266044.7759049898"/>
    <n v="1405.623071"/>
    <n v="1943691.6984974099"/>
    <n v="4189440.1902212999"/>
    <n v="105136857"/>
    <n v="503432.565600459"/>
    <n v="96.017847889999999"/>
    <n v="439644.48234599899"/>
    <n v="0"/>
    <m/>
    <m/>
    <m/>
    <m/>
    <m/>
  </r>
  <r>
    <x v="426"/>
    <n v="1"/>
    <n v="470435153.022659"/>
    <n v="2238779.1350890398"/>
    <n v="1400.133071"/>
    <n v="1923324.46794688"/>
    <n v="4295834.4688552702"/>
    <n v="103919567"/>
    <n v="492229.85505873401"/>
    <n v="96.208793580000005"/>
    <n v="436020.31252806803"/>
    <n v="0"/>
    <m/>
    <m/>
    <m/>
    <m/>
    <m/>
  </r>
  <r>
    <x v="427"/>
    <n v="1"/>
    <n v="481033125.47431803"/>
    <n v="2226742.9506081799"/>
    <n v="1395.823071"/>
    <n v="1923993.61047241"/>
    <n v="4243053.2363560898"/>
    <n v="105164713"/>
    <n v="484540.69756726798"/>
    <n v="96.054363910000006"/>
    <n v="436513.29994429101"/>
    <n v="0"/>
    <m/>
    <m/>
    <m/>
    <m/>
    <m/>
  </r>
  <r>
    <x v="428"/>
    <n v="1"/>
    <n v="460631579.711757"/>
    <n v="2240926.2067296002"/>
    <n v="1397.4930709999901"/>
    <n v="1917694.4179370999"/>
    <n v="4123078.1075010002"/>
    <n v="100825832"/>
    <n v="488142.49334301602"/>
    <n v="98.114191340000005"/>
    <n v="434080.88603601401"/>
    <n v="0"/>
    <m/>
    <m/>
    <m/>
    <m/>
    <m/>
  </r>
  <r>
    <x v="429"/>
    <n v="1"/>
    <n v="464280510.910896"/>
    <n v="2216002.6262050602"/>
    <n v="1396.5130709999901"/>
    <n v="1896287.6808895599"/>
    <n v="3625919.1567785898"/>
    <n v="101209883"/>
    <n v="480647.20995393401"/>
    <n v="98.159264789999995"/>
    <n v="430545.166229897"/>
    <n v="0"/>
    <m/>
    <m/>
    <m/>
    <m/>
    <m/>
  </r>
  <r>
    <x v="430"/>
    <n v="1"/>
    <n v="457112605.87594998"/>
    <n v="2071744.52409937"/>
    <n v="1397.9830710000001"/>
    <n v="1883808.0325127"/>
    <n v="3856391.9441871499"/>
    <n v="104874815"/>
    <n v="472856.37314576801"/>
    <n v="96.60102655"/>
    <n v="430692.751319626"/>
    <n v="0"/>
    <m/>
    <m/>
    <m/>
    <m/>
    <m/>
  </r>
  <r>
    <x v="431"/>
    <n v="1"/>
    <n v="466808711.619847"/>
    <n v="2072878.17691763"/>
    <n v="1396.103071"/>
    <n v="1884048.9177440701"/>
    <n v="3751365.16539555"/>
    <n v="108249512"/>
    <n v="478302.89855072403"/>
    <n v="94.07440004"/>
    <n v="431199.58291628701"/>
    <n v="0"/>
    <m/>
    <m/>
    <m/>
    <m/>
    <m/>
  </r>
  <r>
    <x v="432"/>
    <n v="1"/>
    <n v="462690997.34332699"/>
    <n v="2055672.7007428301"/>
    <n v="1395.5320809999901"/>
    <n v="1860844.6706433201"/>
    <n v="2821232.35250556"/>
    <n v="105822762"/>
    <n v="467911.04527767899"/>
    <n v="90.624574499999994"/>
    <n v="411800.08703874098"/>
    <n v="0"/>
    <m/>
    <m/>
    <m/>
    <m/>
    <m/>
  </r>
  <r>
    <x v="433"/>
    <n v="1"/>
    <n v="484852896.56713903"/>
    <n v="2089123.67168403"/>
    <n v="1392.7220809999999"/>
    <n v="1874475.2756096299"/>
    <n v="3501977.76217878"/>
    <n v="106979455"/>
    <n v="458765.19147476298"/>
    <n v="86.678411010000005"/>
    <n v="394865.38529731199"/>
    <n v="0"/>
    <m/>
    <m/>
    <m/>
    <m/>
    <m/>
  </r>
  <r>
    <x v="434"/>
    <n v="1"/>
    <n v="465353776.54975301"/>
    <n v="2098674.6690004901"/>
    <n v="1391.632081"/>
    <n v="1879885.93254999"/>
    <n v="3591549.1324668401"/>
    <n v="103243127"/>
    <n v="463368.46191822598"/>
    <n v="86.000793270000003"/>
    <n v="398166.72307521303"/>
    <n v="0"/>
    <m/>
    <m/>
    <m/>
    <m/>
    <m/>
  </r>
  <r>
    <x v="435"/>
    <n v="1"/>
    <n v="463528928.82128298"/>
    <n v="2095223.7866042899"/>
    <n v="1389.4820810000001"/>
    <n v="1872963.6327112899"/>
    <n v="3523756.6881331801"/>
    <n v="102453548"/>
    <n v="460858.92672394402"/>
    <n v="86.397595960000004"/>
    <n v="389872.04301151697"/>
    <n v="0"/>
    <m/>
    <m/>
    <m/>
    <m/>
    <m/>
  </r>
  <r>
    <x v="436"/>
    <n v="1"/>
    <n v="453795652.25650799"/>
    <n v="2093240.0165243701"/>
    <n v="1390.892081"/>
    <n v="1881618.7256933399"/>
    <n v="3266907.1344610602"/>
    <n v="99770558"/>
    <n v="457957.21105296898"/>
    <n v="86.062220249999996"/>
    <n v="389705.86902237602"/>
    <n v="0"/>
    <m/>
    <m/>
    <m/>
    <m/>
    <m/>
  </r>
  <r>
    <x v="437"/>
    <n v="1"/>
    <n v="452173915.99765199"/>
    <n v="2084834.2034038201"/>
    <n v="1390.4220809999999"/>
    <n v="1878510.3568399199"/>
    <n v="3347295.4075682098"/>
    <n v="98278292"/>
    <n v="450838.53387769999"/>
    <n v="86.41032774"/>
    <n v="388411.33734084602"/>
    <n v="0"/>
    <m/>
    <m/>
    <m/>
    <m/>
    <m/>
  </r>
  <r>
    <x v="438"/>
    <n v="1"/>
    <n v="455081458.27095997"/>
    <n v="2091400.4939400801"/>
    <n v="1390.352081"/>
    <n v="1894904.99626959"/>
    <n v="3394262.4485671301"/>
    <n v="95899734"/>
    <n v="438599.28653098497"/>
    <n v="86.828720099999998"/>
    <n v="388440.13717313902"/>
    <n v="0"/>
    <m/>
    <m/>
    <m/>
    <m/>
    <m/>
  </r>
  <r>
    <x v="439"/>
    <n v="1"/>
    <n v="438314944.23524803"/>
    <n v="2092937.22135082"/>
    <n v="1388.6720809999999"/>
    <n v="1902079.42850144"/>
    <n v="3291029.0545934299"/>
    <n v="91974600"/>
    <n v="437162.41266219801"/>
    <n v="85.245107239999996"/>
    <n v="384477.61241610401"/>
    <n v="0"/>
    <m/>
    <m/>
    <m/>
    <m/>
    <m/>
  </r>
  <r>
    <x v="440"/>
    <n v="1"/>
    <n v="438732078.00751698"/>
    <n v="2087794.4147046199"/>
    <n v="1388.112081"/>
    <n v="1915916.2518634701"/>
    <n v="3204505.8229375598"/>
    <n v="91584802"/>
    <n v="433866.13292908203"/>
    <n v="83.737576820000001"/>
    <n v="399042.03381695203"/>
    <n v="0"/>
    <m/>
    <m/>
    <m/>
    <m/>
    <m/>
  </r>
  <r>
    <x v="441"/>
    <n v="1"/>
    <n v="436845251.32945597"/>
    <n v="2075208.7965154799"/>
    <n v="1393.122081"/>
    <n v="1898772.54113411"/>
    <n v="3391721.8141863099"/>
    <n v="92162266"/>
    <n v="436333.046113057"/>
    <n v="84.353091320000004"/>
    <n v="393625.45433153899"/>
    <n v="0"/>
    <m/>
    <m/>
    <m/>
    <m/>
    <m/>
  </r>
  <r>
    <x v="442"/>
    <n v="1"/>
    <n v="428343278.61729997"/>
    <n v="2072164.7092855"/>
    <n v="1393.352081"/>
    <n v="1882920.32872446"/>
    <n v="3319262.3258698201"/>
    <n v="90268076"/>
    <n v="435194.65818146698"/>
    <n v="83.836597449999999"/>
    <n v="379455.73559399397"/>
    <n v="0"/>
    <m/>
    <m/>
    <m/>
    <m/>
    <m/>
  </r>
  <r>
    <x v="443"/>
    <n v="1"/>
    <n v="451925509.31457502"/>
    <n v="2063804.3147785701"/>
    <n v="1391.9620809999999"/>
    <n v="1873849.66069691"/>
    <n v="3200987.35798168"/>
    <n v="94427059"/>
    <n v="429780.43329843797"/>
    <n v="82.165192480000002"/>
    <n v="372119.75452409702"/>
    <n v="0"/>
    <m/>
    <m/>
    <m/>
    <m/>
    <m/>
  </r>
  <r>
    <x v="444"/>
    <n v="1"/>
    <n v="446465884.19103998"/>
    <n v="2040126.7486338799"/>
    <n v="1398.39229241"/>
    <n v="1880467.2228872101"/>
    <n v="3268344.31061297"/>
    <n v="87993292"/>
    <n v="400698.051001821"/>
    <n v="81.486040759999995"/>
    <n v="370903.39575123298"/>
    <n v="0"/>
    <m/>
    <m/>
    <m/>
    <m/>
    <m/>
  </r>
  <r>
    <x v="445"/>
    <n v="1"/>
    <n v="442652914.18433499"/>
    <n v="2047600.2811966899"/>
    <n v="1398.49590711"/>
    <n v="1903153.4402123201"/>
    <n v="3449521.3680762202"/>
    <n v="84824281"/>
    <n v="391021.44009588298"/>
    <n v="81.597879340000006"/>
    <n v="378690.99939837703"/>
    <n v="0"/>
    <m/>
    <m/>
    <m/>
    <m/>
    <m/>
  </r>
  <r>
    <x v="446"/>
    <n v="1"/>
    <n v="433684435.04163301"/>
    <n v="2049600.8524466599"/>
    <n v="1387.5410809999901"/>
    <n v="1909287.71504526"/>
    <n v="3358445.0125434501"/>
    <n v="81178206"/>
    <n v="382320.94381387398"/>
    <n v="81.132560940000005"/>
    <n v="376124.58406931901"/>
    <n v="0"/>
    <m/>
    <m/>
    <m/>
    <m/>
    <m/>
  </r>
  <r>
    <x v="447"/>
    <n v="1"/>
    <n v="451669781.92741001"/>
    <n v="2085946.33360934"/>
    <n v="1389.0610810000001"/>
    <n v="1953567.04212192"/>
    <n v="3281063.9535025"/>
    <n v="78931356"/>
    <n v="363103.11896218598"/>
    <n v="79.684343889999994"/>
    <n v="372912.88168413099"/>
    <n v="0"/>
    <m/>
    <m/>
    <m/>
    <m/>
    <m/>
  </r>
  <r>
    <x v="448"/>
    <n v="1"/>
    <n v="480632982.87672198"/>
    <n v="2140799.0991390701"/>
    <n v="1460.2910809999901"/>
    <n v="2035940.96087906"/>
    <n v="3148233.9228201099"/>
    <n v="75605670"/>
    <n v="335518.19472796598"/>
    <n v="79.68386031"/>
    <n v="370364.50567197002"/>
    <n v="0"/>
    <m/>
    <m/>
    <m/>
    <m/>
    <m/>
  </r>
  <r>
    <x v="449"/>
    <n v="1"/>
    <n v="485740630.51570499"/>
    <n v="2129190.2511465298"/>
    <n v="1461.9610809999999"/>
    <n v="2025048.7876969001"/>
    <n v="2983002.27468037"/>
    <n v="74898713"/>
    <n v="327140.04367765802"/>
    <n v="79.812184049999999"/>
    <n v="364998.37351530202"/>
    <n v="0"/>
    <m/>
    <m/>
    <m/>
    <m/>
    <m/>
  </r>
  <r>
    <x v="450"/>
    <n v="1"/>
    <n v="469165938.60057402"/>
    <n v="2126918.8581236699"/>
    <n v="1461.921081"/>
    <n v="2031802.4110966399"/>
    <n v="2980743.17746269"/>
    <n v="70424398"/>
    <n v="318101.07954288798"/>
    <n v="79.810930420000005"/>
    <n v="365252.529044347"/>
    <n v="0"/>
    <m/>
    <m/>
    <m/>
    <m/>
    <m/>
  </r>
  <r>
    <x v="451"/>
    <n v="1"/>
    <n v="479328333.44299197"/>
    <n v="2130123.6117261499"/>
    <n v="1461.5010809999901"/>
    <n v="2057375.8912029699"/>
    <n v="2978851.9718825999"/>
    <n v="66234872"/>
    <n v="293308.26321849198"/>
    <n v="80.807065210000005"/>
    <n v="363543.69136464101"/>
    <n v="0"/>
    <m/>
    <m/>
    <m/>
    <m/>
    <m/>
  </r>
  <r>
    <x v="452"/>
    <n v="1"/>
    <n v="446402244.40660399"/>
    <n v="2122907.6188224098"/>
    <n v="1461.5410809999901"/>
    <n v="2055189.6609768299"/>
    <n v="2920052.2961208099"/>
    <n v="61276553"/>
    <n v="289792.16363206401"/>
    <n v="79.567560490000005"/>
    <n v="363866.56754090899"/>
    <n v="0"/>
    <m/>
    <m/>
    <m/>
    <m/>
    <m/>
  </r>
  <r>
    <x v="453"/>
    <n v="1"/>
    <n v="408144594.78322101"/>
    <n v="2063105.87080207"/>
    <n v="1461.2910809999901"/>
    <n v="2013176.4916701501"/>
    <n v="3057928.4520509299"/>
    <n v="52856494"/>
    <n v="266132.08801168099"/>
    <n v="89.413731810000002"/>
    <n v="352769.56111503497"/>
    <n v="0"/>
    <m/>
    <m/>
    <m/>
    <m/>
    <m/>
  </r>
  <r>
    <x v="454"/>
    <n v="1"/>
    <n v="458278493.249928"/>
    <n v="2014642.2495729399"/>
    <n v="1459.841081"/>
    <n v="1961323.4851222299"/>
    <n v="3159119.3473112802"/>
    <n v="58695628"/>
    <n v="257087.41623231501"/>
    <n v="86.663459869999997"/>
    <n v="340978.33153636602"/>
    <n v="0"/>
    <m/>
    <m/>
    <m/>
    <m/>
    <m/>
  </r>
  <r>
    <x v="455"/>
    <n v="1"/>
    <n v="447903612.04081398"/>
    <n v="1986121.9099385701"/>
    <n v="1463.0510810000001"/>
    <n v="1950525.7536631499"/>
    <n v="3206786.8079260099"/>
    <n v="51689387"/>
    <n v="228420.995183172"/>
    <n v="87.950360720000006"/>
    <n v="330790.80398916302"/>
    <n v="0"/>
    <m/>
    <m/>
    <m/>
    <m/>
    <m/>
  </r>
  <r>
    <x v="456"/>
    <n v="1"/>
    <n v="522874254.70902801"/>
    <n v="1948723.7741456099"/>
    <n v="1462.7910809999901"/>
    <n v="1924092.15103214"/>
    <n v="2924619.6998900599"/>
    <n v="52912866"/>
    <n v="196555.96582466501"/>
    <n v="90.418631559999994"/>
    <n v="303663.14031275897"/>
    <n v="0"/>
    <m/>
    <m/>
    <m/>
    <m/>
    <m/>
  </r>
  <r>
    <x v="457"/>
    <n v="1"/>
    <n v="534128889.461725"/>
    <n v="1950916.55380806"/>
    <n v="1472.421081"/>
    <n v="1895153.4930076499"/>
    <n v="3197107.3441111301"/>
    <n v="53295626"/>
    <n v="194028.05446337501"/>
    <n v="91.136065009999996"/>
    <n v="272399.45410992298"/>
    <n v="0"/>
    <m/>
    <m/>
    <m/>
    <m/>
    <m/>
  </r>
  <r>
    <x v="458"/>
    <n v="1"/>
    <n v="522466190.99501401"/>
    <n v="1950695.2077984801"/>
    <n v="1470.9410809999999"/>
    <n v="1901677.4679765401"/>
    <n v="3187488.2917646002"/>
    <n v="50908673"/>
    <n v="189413.52457491501"/>
    <n v="98.238957310000004"/>
    <n v="271459.62162458099"/>
    <n v="0"/>
    <m/>
    <m/>
    <m/>
    <m/>
    <m/>
  </r>
  <r>
    <x v="459"/>
    <n v="1"/>
    <n v="556818549.86145496"/>
    <n v="1936342.14666943"/>
    <n v="1470.901081"/>
    <n v="1890291.00538574"/>
    <n v="3011774.9988472401"/>
    <n v="52865139"/>
    <n v="183215.98045331601"/>
    <n v="97.720849459999997"/>
    <n v="266042.491306588"/>
    <n v="0"/>
    <m/>
    <m/>
    <m/>
    <m/>
    <m/>
  </r>
  <r>
    <x v="460"/>
    <n v="1"/>
    <n v="592248599.188025"/>
    <n v="1929591.5332402301"/>
    <n v="1469.9410809999999"/>
    <n v="1856914.2925488099"/>
    <n v="3199663.9484475101"/>
    <n v="55091830"/>
    <n v="178921.860283849"/>
    <n v="97.212060980000004"/>
    <n v="235232.03058549899"/>
    <n v="0"/>
    <m/>
    <m/>
    <m/>
    <m/>
    <m/>
  </r>
  <r>
    <x v="461"/>
    <n v="1"/>
    <n v="600479884.55833805"/>
    <n v="1925343.0909381399"/>
    <n v="1462.831081"/>
    <n v="1847270.91774882"/>
    <n v="3614376.7274537301"/>
    <n v="54962843"/>
    <n v="175684.33114911299"/>
    <n v="92.630913000000007"/>
    <n v="231095.23637159701"/>
    <n v="0"/>
    <m/>
    <m/>
    <m/>
    <m/>
    <m/>
  </r>
  <r>
    <x v="462"/>
    <n v="1"/>
    <n v="586867722.49945402"/>
    <n v="1924793.8305528299"/>
    <n v="1461.0510810000001"/>
    <n v="1817373.2226899001"/>
    <n v="3625938.9164738301"/>
    <n v="54302050"/>
    <n v="177631.828590121"/>
    <n v="79.68181294"/>
    <n v="200792.83082026799"/>
    <n v="0"/>
    <m/>
    <m/>
    <m/>
    <m/>
    <m/>
  </r>
  <r>
    <x v="463"/>
    <n v="1"/>
    <n v="556339192.86403501"/>
    <n v="1931841.96524574"/>
    <n v="1501.661081"/>
    <n v="1814539.59168331"/>
    <n v="4402420.2691789903"/>
    <n v="51580009"/>
    <n v="178904.68245985199"/>
    <n v="0"/>
    <n v="199425.219556489"/>
    <n v="0"/>
    <m/>
    <m/>
    <m/>
    <m/>
    <m/>
  </r>
  <r>
    <x v="464"/>
    <n v="1"/>
    <n v="554601927.20279896"/>
    <n v="1933528.0321760599"/>
    <n v="1499.621081"/>
    <n v="1809503.7378138599"/>
    <n v="4341360.1062499201"/>
    <n v="50858891"/>
    <n v="177103.77476755899"/>
    <n v="0"/>
    <n v="180623.953280204"/>
    <n v="0"/>
    <m/>
    <m/>
    <m/>
    <m/>
    <m/>
  </r>
  <r>
    <x v="465"/>
    <n v="1"/>
    <n v="545405359.189924"/>
    <n v="1926057.67643635"/>
    <n v="1500.5110810000001"/>
    <n v="1780997.4993439401"/>
    <n v="3979970.38930857"/>
    <n v="48204081"/>
    <n v="170014.040842238"/>
    <n v="0"/>
    <n v="149736.45599577899"/>
    <n v="0"/>
    <m/>
    <m/>
    <m/>
    <m/>
    <m/>
  </r>
  <r>
    <x v="466"/>
    <n v="1"/>
    <n v="578226136.17110801"/>
    <n v="1916850.72996325"/>
    <n v="1499.4910809999999"/>
    <n v="1782364.2291098"/>
    <n v="3325420.85007161"/>
    <n v="47697753"/>
    <n v="157902.979441851"/>
    <n v="0"/>
    <n v="148253.27836125001"/>
    <n v="0"/>
    <m/>
    <m/>
    <m/>
    <m/>
    <m/>
  </r>
  <r>
    <x v="467"/>
    <n v="1"/>
    <n v="552767563.48993301"/>
    <n v="1897630.65688425"/>
    <n v="1498.2010809999999"/>
    <n v="1769343.70620827"/>
    <n v="3460786.0253967601"/>
    <n v="43529555"/>
    <n v="149237.36629182601"/>
    <n v="0"/>
    <n v="141213.64732632801"/>
    <n v="0"/>
    <m/>
    <m/>
    <m/>
    <m/>
    <m/>
  </r>
  <r>
    <x v="468"/>
    <n v="1"/>
    <n v="552508659.025738"/>
    <n v="1877604.08634265"/>
    <n v="1505.9510809999999"/>
    <n v="1756047.9729968901"/>
    <n v="3848295.6246703998"/>
    <n v="44057539"/>
    <n v="149530.06720065101"/>
    <n v="0"/>
    <n v="136070.58573906601"/>
    <n v="0"/>
    <m/>
    <m/>
    <m/>
    <m/>
    <m/>
  </r>
  <r>
    <x v="469"/>
    <n v="1"/>
    <n v="540177012.16171801"/>
    <n v="1864475.79622225"/>
    <n v="1495.678443"/>
    <n v="1745973.6778208399"/>
    <n v="3629951.15671277"/>
    <n v="42825469"/>
    <n v="147612.94981386999"/>
    <n v="0"/>
    <n v="132859.00193771199"/>
    <n v="0"/>
    <m/>
    <m/>
    <m/>
    <m/>
    <m/>
  </r>
  <r>
    <x v="470"/>
    <n v="1"/>
    <n v="590729811.40374804"/>
    <n v="1856795.65285624"/>
    <n v="1480.8484429999901"/>
    <n v="1739761.4409185001"/>
    <n v="4240034.6260642298"/>
    <n v="45898567"/>
    <n v="144063.29880728101"/>
    <n v="0"/>
    <n v="130524.82219879801"/>
    <n v="0"/>
    <m/>
    <m/>
    <m/>
    <m/>
    <m/>
  </r>
  <r>
    <x v="471"/>
    <n v="1"/>
    <n v="579561399.78733897"/>
    <n v="1866143.38852274"/>
    <n v="1479.2784429999999"/>
    <n v="1740009.7641245299"/>
    <n v="4340174.1491583996"/>
    <n v="45630033"/>
    <n v="146696.778652949"/>
    <n v="0"/>
    <n v="128838.945144247"/>
    <n v="0"/>
    <m/>
    <m/>
    <m/>
    <m/>
    <m/>
  </r>
  <r>
    <x v="472"/>
    <n v="1"/>
    <n v="552653010.33256495"/>
    <n v="1876219.3126355701"/>
    <n v="1479.188443"/>
    <n v="1751641.9542410399"/>
    <n v="3961397.8778000898"/>
    <n v="42656586"/>
    <n v="144578.99267895799"/>
    <n v="0"/>
    <n v="129097.963464306"/>
    <n v="0"/>
    <m/>
    <m/>
    <m/>
    <m/>
    <m/>
  </r>
  <r>
    <x v="473"/>
    <n v="1"/>
    <n v="621876806.15288496"/>
    <n v="1867792.0388465901"/>
    <n v="1479.168443"/>
    <n v="1750123.53972179"/>
    <n v="3083593.3906946098"/>
    <n v="46349432"/>
    <n v="138928.81721719299"/>
    <n v="0"/>
    <n v="127056.268057692"/>
    <n v="0"/>
    <m/>
    <m/>
    <m/>
    <m/>
    <m/>
  </r>
  <r>
    <x v="474"/>
    <n v="1"/>
    <n v="602050159.242046"/>
    <n v="1908995.6886455"/>
    <n v="1477.3384430000001"/>
    <n v="1794996.16012723"/>
    <n v="3025401.6527002198"/>
    <n v="43745016"/>
    <n v="138473.03345889601"/>
    <n v="0"/>
    <n v="126933.11296194801"/>
    <n v="0"/>
    <m/>
    <m/>
    <m/>
    <m/>
    <m/>
  </r>
  <r>
    <x v="475"/>
    <n v="1"/>
    <n v="600851932.01976705"/>
    <n v="1934950.33917376"/>
    <n v="1468.140443"/>
    <n v="1814711.24379973"/>
    <n v="3607327.6772797601"/>
    <n v="39341501"/>
    <n v="126479.66886352601"/>
    <n v="0"/>
    <n v="114685.97170566001"/>
    <n v="0"/>
    <m/>
    <m/>
    <m/>
    <m/>
    <m/>
  </r>
  <r>
    <x v="476"/>
    <n v="1"/>
    <n v="595718368.18435895"/>
    <n v="1935225.3526607601"/>
    <n v="1468.88124299999"/>
    <n v="1811681.1345702801"/>
    <n v="3321386.8071830701"/>
    <n v="38308759"/>
    <n v="124229.850504264"/>
    <n v="0"/>
    <n v="106961.277522089"/>
    <n v="0"/>
    <m/>
    <m/>
    <m/>
    <m/>
    <m/>
  </r>
  <r>
    <x v="477"/>
    <n v="1"/>
    <n v="605145940.52981496"/>
    <n v="1953766.00586661"/>
    <n v="1265.6273920000001"/>
    <n v="1825973.1632395701"/>
    <n v="3896619.4925692398"/>
    <n v="38408585"/>
    <n v="123806.804628823"/>
    <n v="0"/>
    <n v="105911.03435577"/>
    <n v="0"/>
    <m/>
    <m/>
    <m/>
    <m/>
    <m/>
  </r>
  <r>
    <x v="478"/>
    <n v="1"/>
    <n v="579248885.88677704"/>
    <n v="1960985.3004799499"/>
    <n v="1262.437392"/>
    <n v="1827865.99964099"/>
    <n v="3673877.3513713898"/>
    <n v="37363402"/>
    <n v="126287.440005407"/>
    <n v="0"/>
    <n v="105045.013379047"/>
    <n v="0"/>
    <m/>
    <m/>
    <m/>
    <m/>
    <m/>
  </r>
  <r>
    <x v="479"/>
    <n v="1"/>
    <n v="534005022.33577502"/>
    <n v="1969065.3007878601"/>
    <n v="1263.3473919999999"/>
    <n v="1828561.35176022"/>
    <n v="3848155.87696832"/>
    <n v="34950500"/>
    <n v="128674.25079154701"/>
    <n v="0"/>
    <n v="104517.27314433899"/>
    <n v="0"/>
    <m/>
    <m/>
    <m/>
    <m/>
    <m/>
  </r>
  <r>
    <x v="480"/>
    <n v="1"/>
    <n v="529683017.55544698"/>
    <n v="1975934.1912175401"/>
    <n v="1263.8473919999999"/>
    <n v="1832901.92413879"/>
    <n v="3841575.8597364998"/>
    <n v="34712592"/>
    <n v="129288.21185146501"/>
    <n v="0"/>
    <n v="104476.148037508"/>
    <n v="0"/>
    <m/>
    <m/>
    <m/>
    <m/>
    <m/>
  </r>
  <r>
    <x v="481"/>
    <n v="1"/>
    <n v="521619882.47124702"/>
    <n v="1974141.4185308299"/>
    <n v="1265.4073920000001"/>
    <n v="1843657.2010738801"/>
    <n v="3205469.4756986499"/>
    <n v="33930379"/>
    <n v="128213.34265417101"/>
    <n v="0"/>
    <n v="109096.678767705"/>
    <n v="0"/>
    <m/>
    <m/>
    <m/>
    <m/>
    <m/>
  </r>
  <r>
    <x v="482"/>
    <n v="1"/>
    <n v="538824570.81774104"/>
    <n v="1974275.8798565799"/>
    <n v="1267.2776406799901"/>
    <n v="1842770.0808776601"/>
    <n v="2684459.5916514499"/>
    <n v="34257552"/>
    <n v="125329.450501207"/>
    <n v="0"/>
    <n v="107168.17722767399"/>
    <n v="0"/>
    <m/>
    <m/>
    <m/>
    <m/>
    <m/>
  </r>
  <r>
    <x v="483"/>
    <n v="1"/>
    <n v="529298929.84660399"/>
    <n v="1975412.01462195"/>
    <n v="1266.86099373"/>
    <n v="1847293.6979437"/>
    <n v="2778005.8790535298"/>
    <n v="33214369"/>
    <n v="123892.606960349"/>
    <n v="0"/>
    <n v="107488.448420161"/>
    <n v="0"/>
    <m/>
    <m/>
    <m/>
    <m/>
    <m/>
  </r>
  <r>
    <x v="484"/>
    <n v="1"/>
    <n v="528171401.31194103"/>
    <n v="1970194.3222487301"/>
    <n v="1268.5611361900001"/>
    <n v="1824574.7783057999"/>
    <n v="2431084.96872477"/>
    <n v="32967981"/>
    <n v="122904.79048613099"/>
    <n v="0"/>
    <n v="91564.539566641397"/>
    <n v="0"/>
    <m/>
    <m/>
    <m/>
    <m/>
    <m/>
  </r>
  <r>
    <x v="485"/>
    <n v="1"/>
    <n v="519360760.14613801"/>
    <n v="1974065.1574429199"/>
    <n v="1267.08696095"/>
    <n v="1824451.5493922599"/>
    <n v="2859309.6368807601"/>
    <n v="32065112"/>
    <n v="121795.540699661"/>
    <n v="0"/>
    <n v="90603.747129398806"/>
    <n v="0"/>
    <m/>
    <m/>
    <m/>
    <m/>
    <m/>
  </r>
  <r>
    <x v="486"/>
    <n v="1"/>
    <n v="502795461.98960102"/>
    <n v="1975234.1067012099"/>
    <n v="1268.10806862"/>
    <n v="1821314.2267972699"/>
    <n v="3064091.5131933801"/>
    <n v="30500097"/>
    <n v="119735.001766576"/>
    <n v="0"/>
    <n v="89971.745831449007"/>
    <n v="0"/>
    <m/>
    <m/>
    <m/>
    <m/>
    <m/>
  </r>
  <r>
    <x v="487"/>
    <n v="1"/>
    <n v="518688743.20087999"/>
    <n v="1978451.7744825201"/>
    <n v="1268.9905054599999"/>
    <n v="1828836.5496217399"/>
    <n v="2914330.3918422302"/>
    <n v="31530979"/>
    <n v="120195.85636412101"/>
    <n v="0"/>
    <n v="90089.130223738102"/>
    <n v="0"/>
    <m/>
    <m/>
    <m/>
    <m/>
    <m/>
  </r>
  <r>
    <x v="488"/>
    <n v="1"/>
    <n v="485396906.21913898"/>
    <n v="1984083.3210784299"/>
    <n v="1269.3849717200001"/>
    <n v="1826503.6595501499"/>
    <n v="3024735.8877027999"/>
    <n v="30815070"/>
    <n v="125878.553921568"/>
    <n v="0"/>
    <n v="89152.198001345401"/>
    <n v="0"/>
    <m/>
    <m/>
    <m/>
    <m/>
    <m/>
  </r>
  <r>
    <x v="489"/>
    <n v="1"/>
    <n v="489330400.50402999"/>
    <n v="1982349.34008097"/>
    <n v="1269.32723274"/>
    <n v="1827448.8512613799"/>
    <n v="3112532.2273601401"/>
    <n v="30627665"/>
    <n v="123998.643724696"/>
    <n v="0"/>
    <n v="88352.655278068996"/>
    <n v="0"/>
    <m/>
    <m/>
    <m/>
    <m/>
    <m/>
  </r>
  <r>
    <x v="490"/>
    <n v="1"/>
    <n v="459115289.06128299"/>
    <n v="1984267.68300583"/>
    <n v="1268.8909228499999"/>
    <n v="1830716.0244987099"/>
    <n v="2757692.4260796602"/>
    <n v="27703081"/>
    <n v="119641.895918808"/>
    <n v="0"/>
    <n v="87720.838237075906"/>
    <n v="0"/>
    <m/>
    <m/>
    <m/>
    <m/>
    <m/>
  </r>
  <r>
    <x v="491"/>
    <n v="1"/>
    <n v="481629672.09455103"/>
    <n v="1977947.52133946"/>
    <n v="1271.93870823"/>
    <n v="1827856.3090662099"/>
    <n v="3223035.2190151401"/>
    <n v="28738027"/>
    <n v="117933.466021011"/>
    <n v="0"/>
    <n v="86816.365278465804"/>
    <n v="0"/>
    <m/>
    <m/>
    <m/>
    <m/>
    <m/>
  </r>
  <r>
    <x v="492"/>
    <n v="1"/>
    <n v="491952065.08188099"/>
    <n v="1974340.1853040201"/>
    <n v="1272.30069503"/>
    <n v="1828855.4868407601"/>
    <n v="3660183.86493306"/>
    <n v="28999387"/>
    <n v="116313.921867479"/>
    <n v="0"/>
    <n v="86188.290827645906"/>
    <n v="0"/>
    <m/>
    <m/>
    <m/>
    <m/>
    <m/>
  </r>
  <r>
    <x v="493"/>
    <n v="1"/>
    <n v="488866171.31976402"/>
    <n v="1966604.3943231599"/>
    <n v="1210.43584397"/>
    <n v="1832226.8316482101"/>
    <n v="2666043.71812174"/>
    <n v="29060808"/>
    <n v="116836.76275479401"/>
    <n v="0"/>
    <n v="86271.828476816503"/>
    <n v="0"/>
    <m/>
    <m/>
    <m/>
    <m/>
    <m/>
  </r>
  <r>
    <x v="494"/>
    <n v="1"/>
    <n v="483918507.32273799"/>
    <n v="1967274.81005972"/>
    <n v="1209.6895846499999"/>
    <n v="1833745.95924536"/>
    <n v="3128778.4456744599"/>
    <n v="28398708"/>
    <n v="115380.928777475"/>
    <n v="0"/>
    <n v="86223.128641030693"/>
    <n v="0"/>
    <m/>
    <m/>
    <m/>
    <m/>
    <m/>
  </r>
  <r>
    <x v="495"/>
    <n v="1"/>
    <n v="473884901.07069403"/>
    <n v="1965595.68443744"/>
    <n v="1207.99561625"/>
    <n v="1832663.5999129501"/>
    <n v="2221391.6343935402"/>
    <n v="27922526"/>
    <n v="115755.43487272999"/>
    <n v="0"/>
    <n v="85527.291387217105"/>
    <n v="0"/>
    <m/>
    <m/>
    <m/>
    <m/>
    <m/>
  </r>
  <r>
    <x v="496"/>
    <n v="1"/>
    <n v="488924671.00556701"/>
    <n v="1953871.60316319"/>
    <n v="1208.92859595"/>
    <n v="1815861.7817691399"/>
    <n v="3469170.88861694"/>
    <n v="28203845"/>
    <n v="112644.160875469"/>
    <n v="0"/>
    <n v="84393.501743964807"/>
    <n v="0"/>
    <m/>
    <m/>
    <m/>
    <m/>
    <m/>
  </r>
  <r>
    <x v="497"/>
    <n v="1"/>
    <n v="524220401.91611099"/>
    <n v="1949815.4778277499"/>
    <n v="1209.97203059"/>
    <n v="1817816.8774579801"/>
    <n v="3818558.1240914199"/>
    <n v="28715704"/>
    <n v="106737.92513846001"/>
    <n v="0"/>
    <n v="84096.939754311505"/>
    <n v="0"/>
    <m/>
    <m/>
    <m/>
    <m/>
    <m/>
  </r>
  <r>
    <x v="498"/>
    <n v="1"/>
    <n v="514699403.96426398"/>
    <n v="1946944.4184024499"/>
    <n v="1210.6152803800001"/>
    <n v="1818010.85953156"/>
    <n v="3493521.3826717702"/>
    <n v="27746064"/>
    <n v="104888.156352776"/>
    <n v="0"/>
    <n v="83556.765751087805"/>
    <n v="0"/>
    <m/>
    <m/>
    <m/>
    <m/>
    <m/>
  </r>
  <r>
    <x v="499"/>
    <n v="1"/>
    <n v="521886780.98270601"/>
    <n v="1950555.6381429001"/>
    <n v="1222.5406954699999"/>
    <n v="1813209.4465185001"/>
    <n v="3858935.1424981002"/>
    <n v="27871459"/>
    <n v="104102.86109139799"/>
    <n v="0"/>
    <n v="77131.338484338499"/>
    <n v="0"/>
    <m/>
    <m/>
    <m/>
    <m/>
    <m/>
  </r>
  <r>
    <x v="500"/>
    <n v="1"/>
    <n v="493825592.112939"/>
    <n v="1939418.7362637301"/>
    <n v="1222.6501685799999"/>
    <n v="1806488.7538397701"/>
    <n v="3713451.7911416502"/>
    <n v="25818526"/>
    <n v="101328.594976452"/>
    <n v="0"/>
    <n v="76724.183498046099"/>
    <n v="0"/>
    <m/>
    <m/>
    <m/>
    <m/>
    <m/>
  </r>
  <r>
    <x v="501"/>
    <n v="1"/>
    <n v="522852618.46832699"/>
    <n v="1943521.4352041001"/>
    <n v="1216.80103635"/>
    <n v="1807515.4103925601"/>
    <n v="3641963.7496440499"/>
    <n v="28037762"/>
    <n v="104140.556401589"/>
    <n v="0"/>
    <n v="77085.700228247006"/>
    <n v="0"/>
    <m/>
    <m/>
    <m/>
    <m/>
    <m/>
  </r>
  <r>
    <x v="502"/>
    <n v="1"/>
    <n v="527764546.09088802"/>
    <n v="1947819.5596858"/>
    <n v="1211.87497151"/>
    <n v="1809913.5137254901"/>
    <n v="3909399.7467443901"/>
    <n v="27289765"/>
    <n v="100637.109562267"/>
    <n v="0"/>
    <n v="76964.765048812304"/>
    <n v="0"/>
    <m/>
    <m/>
    <m/>
    <m/>
    <m/>
  </r>
  <r>
    <x v="503"/>
    <n v="1"/>
    <n v="544910208.05030799"/>
    <n v="2008891.68569955"/>
    <n v="1278.5462976599999"/>
    <n v="1880159.9924365701"/>
    <n v="3795674.0023454698"/>
    <n v="24954636"/>
    <n v="91927.4883960804"/>
    <n v="0"/>
    <n v="76742.222407658701"/>
    <n v="0"/>
    <m/>
    <m/>
    <m/>
    <m/>
    <m/>
  </r>
  <r>
    <x v="504"/>
    <n v="1"/>
    <n v="546445056.04260004"/>
    <n v="2049886.66316815"/>
    <n v="1277.7945353800001"/>
    <n v="1927630.2798216499"/>
    <n v="3506153.7604994299"/>
    <n v="23276297"/>
    <n v="87249.032911012793"/>
    <n v="0"/>
    <n v="76848.895379899201"/>
    <n v="0"/>
    <m/>
    <m/>
    <m/>
    <m/>
    <m/>
  </r>
  <r>
    <x v="505"/>
    <n v="1"/>
    <n v="514978550.22539198"/>
    <n v="2056596.2807773601"/>
    <n v="1277.4754779899999"/>
    <n v="1927514.61406947"/>
    <n v="2631266.4861474698"/>
    <n v="22868689"/>
    <n v="91259.383854104293"/>
    <n v="0"/>
    <n v="76126.055621700405"/>
    <n v="0"/>
    <m/>
    <m/>
    <m/>
    <m/>
    <m/>
  </r>
  <r>
    <x v="506"/>
    <n v="1"/>
    <n v="513673308.611884"/>
    <n v="2061899.0855125899"/>
    <n v="1276.1812429300001"/>
    <n v="1930638.10169305"/>
    <n v="2675069.11141284"/>
    <n v="22778051"/>
    <n v="91360.705117920705"/>
    <n v="0"/>
    <n v="73543.089334824603"/>
    <n v="0"/>
    <m/>
    <m/>
    <m/>
    <m/>
    <m/>
  </r>
  <r>
    <x v="507"/>
    <n v="1"/>
    <n v="504425506.66893798"/>
    <n v="2059263.9567611599"/>
    <n v="1275.2178714199999"/>
    <n v="1919988.71895843"/>
    <n v="2652845.6931253499"/>
    <n v="23719013"/>
    <n v="96753.061390985094"/>
    <n v="0"/>
    <n v="71832.370862613097"/>
    <n v="0"/>
    <m/>
    <m/>
    <m/>
    <m/>
    <m/>
  </r>
  <r>
    <x v="508"/>
    <n v="1"/>
    <n v="501002708.31787801"/>
    <n v="2056965.0886117399"/>
    <n v="1274.3698001099999"/>
    <n v="1921265.4059079201"/>
    <n v="2478726.8328493298"/>
    <n v="23795450"/>
    <n v="97618.354118805393"/>
    <n v="0"/>
    <n v="71759.5374331208"/>
    <n v="0"/>
    <m/>
    <m/>
    <m/>
    <m/>
    <m/>
  </r>
  <r>
    <x v="509"/>
    <n v="1"/>
    <n v="524807685.02562898"/>
    <n v="2065945.8053097301"/>
    <n v="1273.25735786"/>
    <n v="1934307.6229807499"/>
    <n v="2296823.1066780598"/>
    <n v="24104305"/>
    <n v="94805.526057030394"/>
    <n v="0"/>
    <n v="73822.835201342095"/>
    <n v="0"/>
    <m/>
    <m/>
    <m/>
    <m/>
    <m/>
  </r>
  <r>
    <x v="510"/>
    <n v="1"/>
    <n v="525464536.64572501"/>
    <n v="2087037.6150793601"/>
    <n v="1280.13569063"/>
    <n v="1956719.18034161"/>
    <n v="2360999.7134505799"/>
    <n v="24655297"/>
    <n v="97838.480158730104"/>
    <n v="0"/>
    <n v="76628.167490567997"/>
    <n v="0"/>
    <m/>
    <m/>
    <m/>
    <m/>
    <m/>
  </r>
  <r>
    <x v="511"/>
    <n v="1"/>
    <n v="549175145.54227495"/>
    <n v="2109034.0103666699"/>
    <n v="1292.43986058"/>
    <n v="1969867.72547658"/>
    <n v="2410255.8992429799"/>
    <n v="29405287"/>
    <n v="112901.850643117"/>
    <n v="0"/>
    <n v="75864.694014092995"/>
    <n v="0"/>
    <m/>
    <m/>
    <m/>
    <m/>
    <m/>
  </r>
  <r>
    <x v="512"/>
    <n v="1"/>
    <n v="494760074.92413402"/>
    <n v="2117210.3477777299"/>
    <n v="1289.09447858"/>
    <n v="1964269.38278286"/>
    <n v="2286847.7111058901"/>
    <n v="27399594"/>
    <n v="117207.485990503"/>
    <n v="0"/>
    <n v="68615.368890955593"/>
    <n v="0"/>
    <m/>
    <m/>
    <m/>
    <m/>
    <m/>
  </r>
  <r>
    <x v="513"/>
    <n v="1"/>
    <n v="513990469.83873498"/>
    <n v="2110440.8889436098"/>
    <n v="1289.30564009"/>
    <n v="1963091.5379168701"/>
    <n v="2411925.6304533901"/>
    <n v="27384800"/>
    <n v="112389.39505868799"/>
    <n v="0"/>
    <n v="65324.994730918901"/>
    <n v="0"/>
    <m/>
    <m/>
    <m/>
    <m/>
    <m/>
  </r>
  <r>
    <x v="514"/>
    <n v="1"/>
    <n v="556398621.82480097"/>
    <n v="2104975.43295772"/>
    <n v="1289.2310800299999"/>
    <n v="1962626.62621271"/>
    <n v="2480097.48351285"/>
    <n v="28841890"/>
    <n v="109059.555320275"/>
    <n v="0"/>
    <n v="65546.237106485598"/>
    <n v="0"/>
    <m/>
    <m/>
    <m/>
    <m/>
    <m/>
  </r>
  <r>
    <x v="515"/>
    <n v="1"/>
    <n v="567865166.00495601"/>
    <n v="2295529.0372106102"/>
    <n v="1288.9153223999999"/>
    <n v="2079728.3544453699"/>
    <n v="2345519.54971939"/>
    <n v="41149879"/>
    <n v="166255.419983031"/>
    <n v="0"/>
    <n v="62243.448596805698"/>
    <n v="0"/>
    <m/>
    <m/>
    <m/>
    <m/>
    <m/>
  </r>
  <r>
    <x v="516"/>
    <n v="1"/>
    <n v="506296215.595734"/>
    <n v="2336932.3631163798"/>
    <n v="1289.2210739899999"/>
    <n v="2122481.4774611802"/>
    <n v="2899623.96060126"/>
    <n v="35964745"/>
    <n v="165896.69726463399"/>
    <n v="0"/>
    <n v="70238.233696504598"/>
    <n v="0"/>
    <m/>
    <m/>
    <m/>
    <m/>
    <m/>
  </r>
  <r>
    <x v="517"/>
    <n v="1"/>
    <n v="460522299.814852"/>
    <n v="2358308.1090760198"/>
    <n v="1284.89895781"/>
    <n v="2128687.2249601302"/>
    <n v="2283415.9831813802"/>
    <n v="34092676"/>
    <n v="174422.77703878001"/>
    <n v="0"/>
    <n v="70749.9313491106"/>
    <n v="0"/>
    <m/>
    <m/>
    <m/>
    <m/>
    <m/>
  </r>
  <r>
    <x v="518"/>
    <n v="1"/>
    <n v="445007609.23411101"/>
    <n v="2367919.7926634699"/>
    <n v="1282.09930573"/>
    <n v="2134723.9342845199"/>
    <n v="2428818.5691896002"/>
    <n v="33745857"/>
    <n v="179403.811802232"/>
    <n v="0"/>
    <n v="69709.2285921968"/>
    <n v="0"/>
    <m/>
    <m/>
    <m/>
    <m/>
    <m/>
  </r>
  <r>
    <x v="519"/>
    <n v="1"/>
    <n v="448816464.79382497"/>
    <n v="2345111.1551913102"/>
    <n v="1297.1821734"/>
    <n v="2121087.2858621101"/>
    <n v="2054262.7924512301"/>
    <n v="34961723"/>
    <n v="182501.03356475401"/>
    <n v="0"/>
    <n v="73784.418811812604"/>
    <n v="0"/>
    <m/>
    <m/>
    <m/>
    <m/>
    <m/>
  </r>
  <r>
    <x v="520"/>
    <n v="1"/>
    <n v="408811311.56603903"/>
    <n v="2363362.86110469"/>
    <n v="1252.50525343"/>
    <n v="2120695.8381224899"/>
    <n v="2409670.4901969102"/>
    <n v="32925785"/>
    <n v="190234.48694245401"/>
    <n v="0"/>
    <n v="65611.435704089003"/>
    <n v="0"/>
    <m/>
    <m/>
    <m/>
    <m/>
    <m/>
  </r>
  <r>
    <x v="521"/>
    <n v="1"/>
    <n v="405859717.89125502"/>
    <n v="2369187.5160424602"/>
    <n v="1253.01158796"/>
    <n v="2135474.97209231"/>
    <n v="2255495.8180065402"/>
    <n v="31553305"/>
    <n v="184070.14934080001"/>
    <n v="0"/>
    <n v="66213.742085934704"/>
    <n v="0"/>
    <m/>
    <m/>
    <m/>
    <m/>
    <m/>
  </r>
  <r>
    <x v="522"/>
    <n v="1"/>
    <n v="409993574.30783099"/>
    <n v="2383259.9651466701"/>
    <n v="1252.34528015"/>
    <n v="2142196.6904901899"/>
    <n v="2267842.56203382"/>
    <n v="32579301"/>
    <n v="189249.497531222"/>
    <n v="0"/>
    <n v="63145.548026988901"/>
    <n v="0"/>
    <m/>
    <m/>
    <m/>
    <m/>
    <m/>
  </r>
  <r>
    <x v="523"/>
    <n v="1"/>
    <n v="406711663.13555801"/>
    <n v="2386626.5231924001"/>
    <n v="1253.4730004"/>
    <n v="2142394.12170975"/>
    <n v="2101090.75256884"/>
    <n v="32497039"/>
    <n v="190564.938720459"/>
    <n v="0"/>
    <n v="61787.041995963002"/>
    <n v="0"/>
    <m/>
    <m/>
    <m/>
    <m/>
    <m/>
  </r>
  <r>
    <x v="524"/>
    <n v="1"/>
    <n v="416988212.55009699"/>
    <n v="2392378.2132828999"/>
    <n v="1259.10601073"/>
    <n v="2144866.21321776"/>
    <n v="2155698.5562108299"/>
    <n v="33568121"/>
    <n v="192356.432296143"/>
    <n v="0"/>
    <n v="62927.433647930797"/>
    <n v="0"/>
    <m/>
    <m/>
    <m/>
    <m/>
    <m/>
  </r>
  <r>
    <x v="525"/>
    <n v="1"/>
    <n v="396979133.01939702"/>
    <n v="2419740.36166585"/>
    <n v="1258.8417340599999"/>
    <n v="2159585.4904068098"/>
    <n v="2199187.7648521899"/>
    <n v="32690533"/>
    <n v="199041.23843156299"/>
    <n v="0"/>
    <n v="62538.394435028"/>
    <n v="0"/>
    <m/>
    <m/>
    <m/>
    <m/>
    <m/>
  </r>
  <r>
    <x v="526"/>
    <n v="1"/>
    <n v="400930208.15285403"/>
    <n v="2419182.0171208102"/>
    <n v="1283.5642255299999"/>
    <n v="2162018.5106874402"/>
    <n v="2028933.1492834"/>
    <n v="32596523"/>
    <n v="196506.649385097"/>
    <n v="0"/>
    <n v="63042.186216877701"/>
    <n v="0"/>
    <m/>
    <m/>
    <m/>
    <m/>
    <m/>
  </r>
  <r>
    <x v="527"/>
    <n v="1"/>
    <n v="410156710.94409603"/>
    <n v="2417740.5067766602"/>
    <n v="1283.59194155"/>
    <n v="2165907.9923528102"/>
    <n v="2210007.7168017402"/>
    <n v="33381440"/>
    <n v="196708.54449027599"/>
    <n v="0"/>
    <n v="63153.475714521199"/>
    <n v="0"/>
    <m/>
    <m/>
    <m/>
    <m/>
    <m/>
  </r>
  <r>
    <x v="528"/>
    <n v="1"/>
    <n v="397761280.86888701"/>
    <n v="2433644.0034248601"/>
    <n v="1317.8283060399999"/>
    <n v="2172065.6323889298"/>
    <n v="1908988.3477276701"/>
    <n v="32476061"/>
    <n v="198618.194605834"/>
    <n v="0"/>
    <n v="62553.928286411799"/>
    <n v="0"/>
    <m/>
    <m/>
    <m/>
    <m/>
    <m/>
  </r>
  <r>
    <x v="529"/>
    <n v="1"/>
    <n v="394780962.39238298"/>
    <n v="2438781.4942883598"/>
    <n v="1318.61515844"/>
    <n v="2168165.5244514602"/>
    <n v="1990983.2749688099"/>
    <n v="32722197"/>
    <n v="202051.231861685"/>
    <n v="0"/>
    <n v="63302.931929713399"/>
    <n v="0"/>
    <m/>
    <m/>
    <m/>
    <m/>
    <m/>
  </r>
  <r>
    <x v="530"/>
    <n v="1"/>
    <n v="403088335.452766"/>
    <n v="2438946.0831165598"/>
    <n v="1306.58332505"/>
    <n v="2169065.30903266"/>
    <n v="2179913.9056335599"/>
    <n v="33866351"/>
    <n v="204865.71290303001"/>
    <n v="0"/>
    <n v="60763.658145459704"/>
    <n v="0"/>
    <m/>
    <m/>
    <m/>
    <m/>
    <m/>
  </r>
  <r>
    <x v="531"/>
    <n v="1"/>
    <n v="383248723.91326898"/>
    <n v="2450387.0365635301"/>
    <n v="1301.58610527"/>
    <n v="2173876.8991250498"/>
    <n v="2048609.34669635"/>
    <n v="32426217"/>
    <n v="207275.741498338"/>
    <n v="0"/>
    <n v="60444.829324751699"/>
    <n v="0"/>
    <m/>
    <m/>
    <m/>
    <m/>
    <m/>
  </r>
  <r>
    <x v="532"/>
    <n v="1"/>
    <n v="389936168.76922399"/>
    <n v="2450844.5205479399"/>
    <n v="1288.0484082400001"/>
    <n v="2173994.16298118"/>
    <n v="1982784.2019789501"/>
    <n v="33159608"/>
    <n v="208367.52544928901"/>
    <n v="0"/>
    <n v="60210.020161182903"/>
    <n v="0"/>
    <m/>
    <m/>
    <m/>
    <m/>
    <m/>
  </r>
  <r>
    <x v="533"/>
    <n v="1"/>
    <n v="392650899.65502399"/>
    <n v="2455314.7474368499"/>
    <n v="1287.35493122"/>
    <n v="2177888.66851654"/>
    <n v="1942289.45469629"/>
    <n v="33363845"/>
    <n v="208576.17529382301"/>
    <n v="0"/>
    <n v="60165.006053240999"/>
    <n v="0"/>
    <m/>
    <m/>
    <m/>
    <m/>
    <m/>
  </r>
  <r>
    <x v="534"/>
    <n v="1"/>
    <n v="391411340.43700898"/>
    <n v="2474556.63000884"/>
    <n v="1265.7051031399999"/>
    <n v="2195766.71414814"/>
    <n v="1891121.5931025499"/>
    <n v="33600692"/>
    <n v="212366.90683857899"/>
    <n v="0"/>
    <n v="61298.309637096703"/>
    <n v="0"/>
    <m/>
    <m/>
    <m/>
    <m/>
    <m/>
  </r>
  <r>
    <x v="535"/>
    <n v="1"/>
    <n v="383045749.86125499"/>
    <n v="2485165.6051368499"/>
    <n v="1261.10048697"/>
    <n v="2207168.3224746101"/>
    <n v="1834677.9591723599"/>
    <n v="32297257"/>
    <n v="209477.60409910401"/>
    <n v="0"/>
    <n v="58790.254744782302"/>
    <n v="0"/>
    <m/>
    <m/>
    <m/>
    <m/>
    <m/>
  </r>
  <r>
    <x v="536"/>
    <n v="1"/>
    <n v="412099733.93637699"/>
    <n v="2488079.66562047"/>
    <n v="1215.3431482599999"/>
    <n v="2220778.4999657799"/>
    <n v="1695690.0425038901"/>
    <n v="33430263"/>
    <n v="201776.092467407"/>
    <n v="0"/>
    <n v="59072.595302550202"/>
    <n v="0"/>
    <m/>
    <m/>
    <m/>
    <m/>
    <m/>
  </r>
  <r>
    <x v="537"/>
    <n v="1"/>
    <n v="423172535.83966303"/>
    <n v="2487428.2348102001"/>
    <n v="1214.80040414"/>
    <n v="2226358.7110949499"/>
    <n v="1823945.8573758099"/>
    <n v="33638788"/>
    <n v="197665.930191561"/>
    <n v="0"/>
    <n v="58717.146444940299"/>
    <n v="0"/>
    <m/>
    <m/>
    <m/>
    <m/>
    <m/>
  </r>
  <r>
    <x v="538"/>
    <n v="1"/>
    <n v="427545112.29628098"/>
    <n v="2495213.2788798101"/>
    <n v="1216.30519411"/>
    <n v="2230143.8482862101"/>
    <n v="1916597.6928606001"/>
    <n v="34777916"/>
    <n v="202904.99416569399"/>
    <n v="0"/>
    <n v="59092.027282665098"/>
    <n v="0"/>
    <m/>
    <m/>
    <m/>
    <m/>
    <m/>
  </r>
  <r>
    <x v="539"/>
    <n v="1"/>
    <n v="423429805.29414397"/>
    <n v="2487375.5196711598"/>
    <n v="1175.07054337"/>
    <n v="2231217.0025364901"/>
    <n v="1864506.7065229099"/>
    <n v="33459796"/>
    <n v="196475.60775102701"/>
    <n v="0"/>
    <n v="59171.205390155701"/>
    <n v="0"/>
    <m/>
    <m/>
    <m/>
    <m/>
    <m/>
  </r>
  <r>
    <x v="540"/>
    <n v="1"/>
    <n v="432590858.90550202"/>
    <n v="2487763.0604736698"/>
    <n v="1209.94382122"/>
    <n v="2232719.2334434101"/>
    <n v="1795255.83511707"/>
    <n v="34046456"/>
    <n v="195714.27914463001"/>
    <n v="0"/>
    <n v="59079.415055044898"/>
    <n v="0"/>
    <m/>
    <m/>
    <m/>
    <m/>
    <m/>
  </r>
  <r>
    <x v="541"/>
    <n v="1"/>
    <n v="440190616.77801102"/>
    <n v="2528990.7080916502"/>
    <n v="1209.60622829"/>
    <n v="2267421.73313767"/>
    <n v="1776350.8051247001"/>
    <n v="34138913"/>
    <n v="196054.172170217"/>
    <n v="0"/>
    <n v="55041.780786263203"/>
    <n v="0"/>
    <m/>
    <m/>
    <m/>
    <m/>
    <m/>
  </r>
  <r>
    <x v="542"/>
    <n v="1"/>
    <n v="441112868.14892"/>
    <n v="2527621.78694158"/>
    <n v="1214.82144976"/>
    <n v="2272448.5493448302"/>
    <n v="1815849.81729088"/>
    <n v="33329144"/>
    <n v="190888.56815578401"/>
    <n v="0"/>
    <n v="54851.3339695584"/>
    <n v="0"/>
    <m/>
    <m/>
    <m/>
    <m/>
    <m/>
  </r>
  <r>
    <x v="543"/>
    <n v="1"/>
    <n v="426358591.89417398"/>
    <n v="2553988.4085738198"/>
    <n v="1218.41519225"/>
    <n v="2291887.98529321"/>
    <n v="1665472.8661166099"/>
    <n v="32216442"/>
    <n v="192889.725781343"/>
    <n v="0"/>
    <n v="54645.361658535803"/>
    <n v="0"/>
    <m/>
    <m/>
    <m/>
    <m/>
    <m/>
  </r>
  <r>
    <x v="544"/>
    <n v="1"/>
    <n v="424135936.07888401"/>
    <n v="2542508.0647093998"/>
    <n v="1207.2991219099999"/>
    <n v="2292189.9626228502"/>
    <n v="1712448.73022616"/>
    <n v="30809255"/>
    <n v="184597.094068304"/>
    <n v="0"/>
    <n v="54981.140817664898"/>
    <n v="0"/>
    <m/>
    <m/>
    <m/>
    <m/>
    <m/>
  </r>
  <r>
    <x v="545"/>
    <n v="1"/>
    <n v="408340225.284271"/>
    <n v="2548611.6843418502"/>
    <n v="1202.95286745"/>
    <n v="2295159.32504478"/>
    <n v="1622045.2090423"/>
    <n v="29625466"/>
    <n v="184812.638802245"/>
    <n v="0"/>
    <n v="54817.612698226003"/>
    <n v="0"/>
    <m/>
    <m/>
    <m/>
    <m/>
    <m/>
  </r>
  <r>
    <x v="546"/>
    <n v="1"/>
    <n v="431572931.45255297"/>
    <n v="2559750.9900403102"/>
    <n v="1202.61106991"/>
    <n v="2311059.6363478401"/>
    <n v="1724485.9027551999"/>
    <n v="31093458"/>
    <n v="184333.993360208"/>
    <n v="0"/>
    <n v="54866.145304154801"/>
    <n v="0"/>
    <m/>
    <m/>
    <m/>
    <m/>
    <m/>
  </r>
  <r>
    <x v="547"/>
    <n v="1"/>
    <n v="420794633.20216101"/>
    <n v="2558787.42478575"/>
    <n v="1219.6894766800001"/>
    <n v="2309368.4531598398"/>
    <n v="1771571.26682233"/>
    <n v="30066152"/>
    <n v="182739.63410928001"/>
    <n v="0"/>
    <n v="54893.713428223702"/>
    <n v="0"/>
    <m/>
    <m/>
    <m/>
    <m/>
    <m/>
  </r>
  <r>
    <x v="548"/>
    <n v="1"/>
    <n v="422178167.39718199"/>
    <n v="2566540.11302868"/>
    <n v="1219.3056526800001"/>
    <n v="2317890.9722079998"/>
    <n v="1732772.84788754"/>
    <n v="30137860"/>
    <n v="183142.075838599"/>
    <n v="0"/>
    <n v="54836.294178859796"/>
    <n v="0"/>
    <m/>
    <m/>
    <m/>
    <m/>
    <m/>
  </r>
  <r>
    <x v="549"/>
    <n v="1"/>
    <n v="422629466.24575299"/>
    <n v="2558729.7506656898"/>
    <n v="1215.44616991"/>
    <n v="2324949.6933466801"/>
    <n v="1610849.2995621699"/>
    <n v="28202685"/>
    <n v="170677.10602759599"/>
    <n v="0"/>
    <n v="54741.1259857716"/>
    <n v="0"/>
    <m/>
    <m/>
    <m/>
    <m/>
    <m/>
  </r>
  <r>
    <x v="550"/>
    <n v="1"/>
    <n v="455052535.13941401"/>
    <n v="2566490.3207621598"/>
    <n v="1215.95815509"/>
    <n v="2339531.6589002302"/>
    <n v="1676530.19439768"/>
    <n v="29865153"/>
    <n v="168358.718078809"/>
    <n v="0"/>
    <n v="54950.204367322702"/>
    <n v="0"/>
    <m/>
    <m/>
    <m/>
    <m/>
    <m/>
  </r>
  <r>
    <x v="551"/>
    <n v="1"/>
    <n v="448110955.36426401"/>
    <n v="2542948.4741917099"/>
    <n v="1213.09629847"/>
    <n v="2319082.58709358"/>
    <n v="1696534.77761696"/>
    <n v="28316545"/>
    <n v="160615.683494044"/>
    <n v="0"/>
    <n v="55113.753209030001"/>
    <n v="0"/>
    <m/>
    <m/>
    <m/>
    <m/>
    <m/>
  </r>
  <r>
    <x v="552"/>
    <n v="1"/>
    <n v="461331272.71298897"/>
    <n v="2548423.7103722501"/>
    <n v="1215.0289906600001"/>
    <n v="2321553.2907531699"/>
    <n v="1556659.53003258"/>
    <n v="30051534"/>
    <n v="165975.55506461899"/>
    <n v="0"/>
    <n v="55111.719688779398"/>
    <n v="0"/>
    <m/>
    <m/>
    <m/>
    <m/>
    <m/>
  </r>
  <r>
    <x v="553"/>
    <n v="1"/>
    <n v="449259562.74877298"/>
    <n v="2559362.67585578"/>
    <n v="1217.2160584400001"/>
    <n v="2324854.4292707201"/>
    <n v="1543441.67645823"/>
    <n v="29549849"/>
    <n v="168308.07655066301"/>
    <n v="0"/>
    <n v="54940.869153335902"/>
    <n v="0"/>
    <m/>
    <m/>
    <m/>
    <m/>
    <m/>
  </r>
  <r>
    <x v="554"/>
    <n v="1"/>
    <n v="423569196.58799398"/>
    <n v="2547847.7146980902"/>
    <n v="1219.94545401"/>
    <n v="2303635.17865586"/>
    <n v="1636812.1072895699"/>
    <n v="28481455"/>
    <n v="171286.11378397801"/>
    <n v="0"/>
    <n v="55018.012876795903"/>
    <n v="0"/>
    <m/>
    <m/>
    <m/>
    <m/>
    <m/>
  </r>
  <r>
    <x v="555"/>
    <n v="1"/>
    <n v="423436054.70605701"/>
    <n v="2545323.5771380402"/>
    <n v="1221.8193360600001"/>
    <n v="2309159.9742850401"/>
    <n v="1653265.4566627"/>
    <n v="27560794"/>
    <n v="165639.725945068"/>
    <n v="0"/>
    <n v="55345.335503430302"/>
    <n v="0"/>
    <m/>
    <m/>
    <m/>
    <m/>
    <m/>
  </r>
  <r>
    <x v="556"/>
    <n v="1"/>
    <n v="400474749.473517"/>
    <n v="2534020.49092174"/>
    <n v="1223.5029044"/>
    <n v="2292334.3276232001"/>
    <n v="1658300.99809049"/>
    <n v="26600538"/>
    <n v="168283.279559688"/>
    <n v="0"/>
    <n v="55454.303670231398"/>
    <n v="0"/>
    <m/>
    <m/>
    <m/>
    <m/>
    <m/>
  </r>
  <r>
    <x v="557"/>
    <n v="1"/>
    <n v="406935727.83793598"/>
    <n v="2525376.6037969901"/>
    <n v="1228.7411746299999"/>
    <n v="2283947.7650514501"/>
    <n v="1602808.3176328701"/>
    <n v="27623461"/>
    <n v="171382.68395582499"/>
    <n v="0"/>
    <n v="53913.277611750898"/>
    <n v="0"/>
    <m/>
    <m/>
    <m/>
    <m/>
    <m/>
  </r>
  <r>
    <x v="558"/>
    <n v="1"/>
    <n v="417497619.410739"/>
    <n v="2532080.72515612"/>
    <n v="1232.0286171400001"/>
    <n v="2295922.27958511"/>
    <n v="1551281.3989313501"/>
    <n v="27915741"/>
    <n v="169258.11556417801"/>
    <n v="0"/>
    <n v="53075.684788998398"/>
    <n v="0"/>
    <m/>
    <m/>
    <m/>
    <m/>
    <m/>
  </r>
  <r>
    <x v="559"/>
    <n v="1"/>
    <n v="361586938.54911298"/>
    <n v="2549715.6150863501"/>
    <n v="1222.9814253899999"/>
    <n v="2291663.3966475199"/>
    <n v="1527676.14461765"/>
    <n v="24610506"/>
    <n v="173496.693690518"/>
    <n v="0"/>
    <n v="53152.819350038102"/>
    <n v="0"/>
    <m/>
    <m/>
    <m/>
    <m/>
    <m/>
  </r>
  <r>
    <x v="560"/>
    <n v="1"/>
    <n v="361391078.74644202"/>
    <n v="2538379.0449438202"/>
    <n v="1221.7601123500001"/>
    <n v="2276553.8228073898"/>
    <n v="1638420.8901917899"/>
    <n v="24807741"/>
    <n v="174211.66432584199"/>
    <n v="0"/>
    <n v="37932.427715196602"/>
    <n v="0"/>
    <m/>
    <m/>
    <m/>
    <m/>
    <m/>
  </r>
  <r>
    <x v="561"/>
    <n v="1"/>
    <n v="363419801.87894201"/>
    <n v="2536765.0498988"/>
    <n v="1226.14542463"/>
    <n v="2277843.3125603902"/>
    <n v="1608396.18947507"/>
    <n v="25047191"/>
    <n v="174800.69090655301"/>
    <n v="0"/>
    <n v="40195.1216076645"/>
    <n v="0"/>
    <m/>
    <m/>
    <m/>
    <m/>
    <m/>
  </r>
  <r>
    <x v="562"/>
    <n v="1"/>
    <n v="364747155.34590298"/>
    <n v="2526287.6185859698"/>
    <n v="1174.2790195099999"/>
    <n v="2270838.7306249598"/>
    <n v="1624034.4864710299"/>
    <n v="24222173"/>
    <n v="167731.96454539101"/>
    <n v="0"/>
    <n v="39492.211174978802"/>
    <n v="0"/>
    <m/>
    <m/>
    <m/>
    <m/>
    <m/>
  </r>
  <r>
    <x v="563"/>
    <n v="1"/>
    <n v="351322219.11576301"/>
    <n v="2539160.5390562899"/>
    <n v="1173.2899192"/>
    <n v="2278666.8904019501"/>
    <n v="1560532.9404897301"/>
    <n v="23743863"/>
    <n v="171572.10058530199"/>
    <n v="0"/>
    <n v="39477.952268903398"/>
    <n v="0"/>
    <m/>
    <m/>
    <m/>
    <m/>
    <m/>
  </r>
  <r>
    <x v="564"/>
    <n v="1"/>
    <n v="355080074.05963898"/>
    <n v="2532641.92398202"/>
    <n v="1170.8244642499999"/>
    <n v="2282474.1535930801"/>
    <n v="1515151.9728772"/>
    <n v="23223623"/>
    <n v="165610.946302503"/>
    <n v="0"/>
    <n v="39566.461088703902"/>
    <n v="0"/>
    <m/>
    <m/>
    <m/>
    <m/>
    <m/>
  </r>
  <r>
    <x v="565"/>
    <n v="1"/>
    <n v="340671272.20884198"/>
    <n v="2537344.2624171502"/>
    <n v="1169.6096582299999"/>
    <n v="2284845.7647806499"/>
    <n v="1469094.4069711401"/>
    <n v="22319092"/>
    <n v="166200.69997766"/>
    <n v="0"/>
    <n v="39606.394908905299"/>
    <n v="0"/>
    <m/>
    <m/>
    <m/>
    <m/>
    <m/>
  </r>
  <r>
    <x v="566"/>
    <n v="1"/>
    <n v="339473387.91824102"/>
    <n v="2534655.98686175"/>
    <n v="1162.6005351599999"/>
    <n v="2282116.1507478398"/>
    <n v="1414906.1660509501"/>
    <n v="22175866"/>
    <n v="165540.95252314099"/>
    <n v="0"/>
    <n v="39658.006829076097"/>
    <n v="0"/>
    <m/>
    <m/>
    <m/>
    <m/>
    <m/>
  </r>
  <r>
    <x v="567"/>
    <n v="1"/>
    <n v="344258346.97279698"/>
    <n v="2527919.7562587098"/>
    <n v="1146.4791111100001"/>
    <n v="2283574.7415721398"/>
    <n v="1406285.90280966"/>
    <n v="21862502"/>
    <n v="160505.851259085"/>
    <n v="0"/>
    <n v="39630.658906718898"/>
    <n v="0"/>
    <m/>
    <m/>
    <m/>
    <m/>
    <m/>
  </r>
  <r>
    <x v="568"/>
    <n v="1"/>
    <n v="349077280.78166699"/>
    <n v="2534826.9493248099"/>
    <n v="1147.91807926"/>
    <n v="2289735.3261430901"/>
    <n v="1375925.0255594701"/>
    <n v="22282847"/>
    <n v="161774.69870770999"/>
    <n v="0"/>
    <n v="40695.847662124797"/>
    <n v="0"/>
    <m/>
    <m/>
    <m/>
    <m/>
    <m/>
  </r>
  <r>
    <x v="569"/>
    <n v="1"/>
    <n v="345605446.148821"/>
    <n v="2527602.0546943499"/>
    <n v="1142.19217082"/>
    <n v="2291947.76837422"/>
    <n v="1370475.7265805099"/>
    <n v="21420249"/>
    <n v="156626.56478502401"/>
    <n v="0"/>
    <n v="41438.206863071697"/>
    <n v="0"/>
    <m/>
    <m/>
    <m/>
    <m/>
    <m/>
  </r>
  <r>
    <x v="570"/>
    <n v="1"/>
    <n v="345391636.90873802"/>
    <n v="2547429.6512056598"/>
    <n v="1141.2607452499999"/>
    <n v="2315675.3693476301"/>
    <n v="1412310.3747104299"/>
    <n v="21238182"/>
    <n v="156612.211488828"/>
    <n v="0"/>
    <n v="41461.555732024703"/>
    <n v="0"/>
    <m/>
    <m/>
    <m/>
    <m/>
    <m/>
  </r>
  <r>
    <x v="571"/>
    <n v="1"/>
    <n v="358491692.11858797"/>
    <n v="2557281.6930537699"/>
    <n v="1139.1956852399901"/>
    <n v="2327237.6374029201"/>
    <n v="1402952.4099800801"/>
    <n v="22073646"/>
    <n v="157421.52332049599"/>
    <n v="0"/>
    <n v="41912.227916982301"/>
    <n v="0"/>
    <m/>
    <m/>
    <m/>
    <m/>
    <m/>
  </r>
  <r>
    <x v="572"/>
    <n v="1"/>
    <n v="356802423.90607297"/>
    <n v="2559125.49835078"/>
    <n v="1128.2460092199999"/>
    <n v="2326151.7739851801"/>
    <n v="1447832.54377472"/>
    <n v="21584343"/>
    <n v="154770.85185716301"/>
    <n v="0"/>
    <n v="39843.9504819348"/>
    <n v="0"/>
    <m/>
    <m/>
    <m/>
    <m/>
    <m/>
  </r>
  <r>
    <x v="573"/>
    <n v="1"/>
    <n v="354885095.33400798"/>
    <n v="2563010.3971119099"/>
    <n v="1123.24488032"/>
    <n v="2325946.8168034102"/>
    <n v="1347480.13349782"/>
    <n v="21905062"/>
    <n v="158159.29241877201"/>
    <n v="0"/>
    <n v="39860.175640204703"/>
    <n v="0"/>
    <m/>
    <m/>
    <m/>
    <m/>
    <m/>
  </r>
  <r>
    <x v="574"/>
    <n v="1"/>
    <n v="357675000.56717002"/>
    <n v="2560223.6367539698"/>
    <n v="1124.1918380499999"/>
    <n v="2323691.9302117298"/>
    <n v="1343969.04182646"/>
    <n v="22058098"/>
    <n v="157850.994704451"/>
    <n v="0"/>
    <n v="39923.162774759003"/>
    <n v="0"/>
    <m/>
    <m/>
    <m/>
    <m/>
    <m/>
  </r>
  <r>
    <x v="575"/>
    <n v="1"/>
    <n v="356780974.24195498"/>
    <n v="2518990.0479954798"/>
    <n v="1125.18126082"/>
    <n v="2288179.8806761699"/>
    <n v="1336966.8947133301"/>
    <n v="21775255"/>
    <n v="153693.217108977"/>
    <n v="0"/>
    <n v="40258.7528046511"/>
    <n v="0"/>
    <m/>
    <m/>
    <m/>
    <m/>
    <m/>
  </r>
  <r>
    <x v="576"/>
    <n v="1"/>
    <n v="347370714.468288"/>
    <n v="2524722.9819080099"/>
    <n v="1128.0971991399999"/>
    <n v="2287330.59150708"/>
    <n v="1334370.60693222"/>
    <n v="21640539"/>
    <n v="157237.07767201899"/>
    <n v="0"/>
    <n v="35183.570040893203"/>
    <n v="0"/>
    <m/>
    <m/>
    <m/>
    <m/>
    <m/>
  </r>
  <r>
    <x v="577"/>
    <n v="1"/>
    <n v="334571527.63136601"/>
    <n v="2518500.0677251802"/>
    <n v="1135.3042404099999"/>
    <n v="2278032.1908471398"/>
    <n v="1297052.05476258"/>
    <n v="21098307"/>
    <n v="158765.196779291"/>
    <n v="0"/>
    <n v="35154.549741534698"/>
    <n v="0"/>
    <m/>
    <m/>
    <m/>
    <m/>
    <m/>
  </r>
  <r>
    <x v="578"/>
    <n v="1"/>
    <n v="334095008.00158501"/>
    <n v="2514182.3365681102"/>
    <n v="1139.2470761499901"/>
    <n v="2269055.8805438201"/>
    <n v="1286431.8851934399"/>
    <n v="21267990"/>
    <n v="159993.90656736601"/>
    <n v="0"/>
    <n v="29196.435166361902"/>
    <n v="0"/>
    <m/>
    <m/>
    <m/>
    <m/>
    <m/>
  </r>
  <r>
    <x v="579"/>
    <n v="1"/>
    <n v="337442664.356502"/>
    <n v="2512129.7983180699"/>
    <n v="1140.0337474200001"/>
    <n v="2270466.3309016"/>
    <n v="1262972.7385261499"/>
    <n v="21259741"/>
    <n v="158217.91322467799"/>
    <n v="0"/>
    <n v="31283.915826251901"/>
    <n v="0"/>
    <m/>
    <m/>
    <m/>
    <m/>
    <m/>
  </r>
  <r>
    <x v="580"/>
    <n v="1"/>
    <n v="335499328.07243401"/>
    <n v="2513148.5172981801"/>
    <n v="1146.5140766100001"/>
    <n v="2267475.4821276199"/>
    <n v="1249864.90593146"/>
    <n v="21904509"/>
    <n v="164029.57166392001"/>
    <n v="0"/>
    <n v="30927.9083609878"/>
    <n v="0"/>
    <m/>
    <m/>
    <m/>
    <m/>
    <m/>
  </r>
  <r>
    <x v="581"/>
    <n v="1"/>
    <n v="340950013.58101797"/>
    <n v="2501149.6333235502"/>
    <n v="1148.09261421"/>
    <n v="2263632.34471467"/>
    <n v="1254774.50972363"/>
    <n v="21071415"/>
    <n v="154527.83074215299"/>
    <n v="0"/>
    <n v="30506.156589337999"/>
    <n v="0"/>
    <m/>
    <m/>
    <m/>
    <m/>
    <m/>
  </r>
  <r>
    <x v="582"/>
    <n v="1"/>
    <n v="345221590.26481199"/>
    <n v="2498039.1710069398"/>
    <n v="1153.64373101"/>
    <n v="2263842.2715183301"/>
    <n v="1533818.65955021"/>
    <n v="20413150"/>
    <n v="147664.56886574"/>
    <n v="0"/>
    <n v="30682.828805020399"/>
    <n v="0"/>
    <m/>
    <m/>
    <m/>
    <m/>
    <m/>
  </r>
  <r>
    <x v="583"/>
    <n v="1"/>
    <n v="335897866.00746"/>
    <n v="2499647.1656003501"/>
    <n v="1151.8730688200001"/>
    <n v="2268218.0433674799"/>
    <n v="1362956.53530862"/>
    <n v="20352506"/>
    <n v="151409.805088528"/>
    <n v="0"/>
    <n v="31283.581064775299"/>
    <n v="0"/>
    <m/>
    <m/>
    <m/>
    <m/>
    <m/>
  </r>
  <r>
    <x v="584"/>
    <n v="1"/>
    <n v="341895186.631769"/>
    <n v="2484551.8706865199"/>
    <n v="1117.03908858"/>
    <n v="2269339.5913605401"/>
    <n v="1352917.96557078"/>
    <n v="20507948"/>
    <n v="148986.18234653099"/>
    <n v="0"/>
    <n v="31118.956000943999"/>
    <n v="0"/>
    <m/>
    <m/>
    <m/>
    <m/>
    <m/>
  </r>
  <r>
    <x v="585"/>
    <n v="1"/>
    <n v="343167121.76641703"/>
    <n v="2478745.3606758602"/>
    <n v="923.44181633999995"/>
    <n v="2268498.0294548101"/>
    <n v="1354130.95252292"/>
    <n v="20500123"/>
    <n v="148026.01631886701"/>
    <n v="0"/>
    <n v="31228.0510094739"/>
    <n v="0"/>
    <m/>
    <m/>
    <m/>
    <m/>
    <m/>
  </r>
  <r>
    <x v="586"/>
    <n v="1"/>
    <n v="339775095.60646403"/>
    <n v="2463623.1856738902"/>
    <n v="908.91809490999901"/>
    <n v="2255287.7398261498"/>
    <n v="1326359.19583886"/>
    <n v="20169905"/>
    <n v="146232.90799680899"/>
    <n v="0"/>
    <n v="30373.411598415099"/>
    <n v="0"/>
    <m/>
    <m/>
    <m/>
    <m/>
    <m/>
  </r>
  <r>
    <x v="587"/>
    <n v="1"/>
    <n v="312143231.311176"/>
    <n v="2469239.78486118"/>
    <n v="907.92961538999998"/>
    <n v="2254434.09430103"/>
    <n v="1312558.96324004"/>
    <n v="18942132"/>
    <n v="149823.07996519801"/>
    <n v="0"/>
    <n v="30270.3708164196"/>
    <n v="0"/>
    <m/>
    <m/>
    <m/>
    <m/>
    <m/>
  </r>
  <r>
    <x v="588"/>
    <n v="1"/>
    <n v="320522837.02214903"/>
    <n v="2443189.26911058"/>
    <n v="882.70370120999996"/>
    <n v="2228041.0622685398"/>
    <n v="1290008.7071572701"/>
    <n v="20283843"/>
    <n v="154590.67906409499"/>
    <n v="0"/>
    <n v="30238.262230533801"/>
    <n v="0"/>
    <m/>
    <m/>
    <m/>
    <m/>
    <m/>
  </r>
  <r>
    <x v="589"/>
    <n v="1"/>
    <n v="326807189.80179697"/>
    <n v="2442660.64569165"/>
    <n v="867.692505479999"/>
    <n v="2232807.5151171298"/>
    <n v="1301723.0348289099"/>
    <n v="20101222"/>
    <n v="150222.120917719"/>
    <n v="0"/>
    <n v="30174.8037505131"/>
    <n v="0"/>
    <m/>
    <m/>
    <m/>
    <m/>
    <m/>
  </r>
  <r>
    <x v="590"/>
    <n v="1"/>
    <n v="331146943.28683603"/>
    <n v="2432560.8005875801"/>
    <n v="863.39383705"/>
    <n v="2225690.1840297701"/>
    <n v="1223420.1468066501"/>
    <n v="20307220"/>
    <n v="149153.28681601101"/>
    <n v="0"/>
    <n v="30122.878993536298"/>
    <n v="0"/>
    <m/>
    <m/>
    <m/>
    <m/>
    <m/>
  </r>
  <r>
    <x v="591"/>
    <n v="1"/>
    <n v="328464104.47870898"/>
    <n v="2410378.0834984202"/>
    <n v="854.00406389"/>
    <n v="2209737.4127074401"/>
    <n v="1217342.60510473"/>
    <n v="20072401"/>
    <n v="147277.136987306"/>
    <n v="0"/>
    <n v="29320.821435501701"/>
    <n v="0"/>
    <m/>
    <m/>
    <m/>
    <m/>
    <m/>
  </r>
  <r>
    <x v="592"/>
    <n v="1"/>
    <n v="327475927.69739997"/>
    <n v="2409316.28659702"/>
    <n v="849.26793762"/>
    <n v="2208643.5144171398"/>
    <n v="1215367.01910864"/>
    <n v="20545953"/>
    <n v="151139.86317493001"/>
    <n v="0"/>
    <n v="29371.1672582067"/>
    <n v="0"/>
    <m/>
    <m/>
    <m/>
    <m/>
    <m/>
  </r>
  <r>
    <x v="593"/>
    <n v="1"/>
    <n v="329786633.55857801"/>
    <n v="2405490.59218203"/>
    <n v="837.92186741"/>
    <n v="2196131.62977773"/>
    <n v="1211516.6850389601"/>
    <n v="20771191"/>
    <n v="151481.84801633601"/>
    <n v="0"/>
    <n v="27096.690935666698"/>
    <n v="0"/>
    <m/>
    <m/>
    <m/>
    <m/>
    <m/>
  </r>
  <r>
    <x v="594"/>
    <n v="1"/>
    <n v="332737609.795959"/>
    <n v="2393878.1254495699"/>
    <n v="822.926936089999"/>
    <n v="2183283.6414160999"/>
    <n v="1184148.5361891501"/>
    <n v="20930487"/>
    <n v="150557.38023305999"/>
    <n v="0"/>
    <n v="26486.149584444"/>
    <n v="0"/>
    <m/>
    <m/>
    <m/>
    <m/>
    <m/>
  </r>
  <r>
    <x v="595"/>
    <n v="1"/>
    <n v="317876369.52487099"/>
    <n v="2382921.6309398799"/>
    <n v="834.30218267999999"/>
    <n v="2172483.3919301699"/>
    <n v="1197441.6004771199"/>
    <n v="20002976"/>
    <n v="149924.86883525699"/>
    <n v="0"/>
    <n v="27579.131446646301"/>
    <n v="0"/>
    <m/>
    <m/>
    <m/>
    <m/>
    <m/>
  </r>
  <r>
    <x v="596"/>
    <n v="1"/>
    <n v="377852925.75049698"/>
    <n v="2369673.0749937301"/>
    <n v="806.24392489000002"/>
    <n v="2173228.8623305601"/>
    <n v="1122099.2094988399"/>
    <n v="23780970"/>
    <n v="149115.688487584"/>
    <n v="0"/>
    <n v="27435.344665689099"/>
    <n v="0"/>
    <m/>
    <m/>
    <m/>
    <m/>
    <m/>
  </r>
  <r>
    <x v="597"/>
    <n v="1"/>
    <n v="353283961.69622397"/>
    <n v="2370795.0281803501"/>
    <n v="816.14400224999997"/>
    <n v="2167405.0238589002"/>
    <n v="1078076.67737063"/>
    <n v="21975754"/>
    <n v="147448.698336017"/>
    <n v="0"/>
    <n v="28585.9782632649"/>
    <n v="0"/>
    <m/>
    <m/>
    <m/>
    <m/>
    <m/>
  </r>
  <r>
    <x v="598"/>
    <n v="1"/>
    <n v="344586417.29754502"/>
    <n v="2354783.95053293"/>
    <n v="811.11923925999997"/>
    <n v="2154798.6826292202"/>
    <n v="1086734.4662910099"/>
    <n v="21587397"/>
    <n v="147495.19677507499"/>
    <n v="0"/>
    <n v="28471.6076061249"/>
    <n v="0"/>
    <m/>
    <m/>
    <m/>
    <m/>
    <m/>
  </r>
  <r>
    <x v="599"/>
    <n v="1"/>
    <n v="350343289.21420097"/>
    <n v="2348080.1983515299"/>
    <n v="811.07884461999902"/>
    <n v="2151962.21355341"/>
    <n v="1066129.4462758901"/>
    <n v="22391044"/>
    <n v="150043.85177243099"/>
    <n v="0"/>
    <n v="28773.785023800501"/>
    <n v="0"/>
    <m/>
    <m/>
    <m/>
    <m/>
    <m/>
  </r>
  <r>
    <x v="600"/>
    <n v="1"/>
    <n v="339836030.48540699"/>
    <n v="2353857.34072022"/>
    <n v="808.58304791"/>
    <n v="2155132.3106513401"/>
    <n v="1026422.7786396"/>
    <n v="21785728"/>
    <n v="150870.69252077499"/>
    <n v="0"/>
    <n v="28769.195293439501"/>
    <n v="0"/>
    <m/>
    <m/>
    <m/>
    <m/>
    <m/>
  </r>
  <r>
    <x v="601"/>
    <n v="1"/>
    <n v="344003715.72656798"/>
    <n v="2348082.3585613798"/>
    <n v="809.10540018999995"/>
    <n v="2149266.6408601399"/>
    <n v="964831.23380950198"/>
    <n v="22330570"/>
    <n v="152395.89162628801"/>
    <n v="0"/>
    <n v="28753.360920085499"/>
    <n v="0"/>
    <m/>
    <m/>
    <m/>
    <m/>
    <m/>
  </r>
  <r>
    <x v="602"/>
    <n v="1"/>
    <n v="317149549.75614101"/>
    <n v="2362269.59338695"/>
    <n v="805.10530760999995"/>
    <n v="2149673.64384851"/>
    <n v="976827.25188334496"/>
    <n v="20979137"/>
    <n v="156234.26422400901"/>
    <n v="0"/>
    <n v="28832.867817193601"/>
    <n v="0"/>
    <m/>
    <m/>
    <m/>
    <m/>
    <m/>
  </r>
  <r>
    <x v="603"/>
    <n v="1"/>
    <n v="291854285.41469997"/>
    <n v="2368269.4953756202"/>
    <n v="804.08318696999902"/>
    <n v="2142882.67093836"/>
    <n v="874420.91875337996"/>
    <n v="20361950"/>
    <n v="165195.11601492701"/>
    <n v="0"/>
    <n v="28848.080808113999"/>
    <n v="0"/>
    <m/>
    <m/>
    <m/>
    <m/>
    <m/>
  </r>
  <r>
    <x v="604"/>
    <n v="1"/>
    <n v="288644690.43250799"/>
    <n v="2366026.0531060402"/>
    <n v="802.76829774999999"/>
    <n v="2139074.5293143098"/>
    <n v="872751.72787890199"/>
    <n v="20707907"/>
    <n v="169709.121455499"/>
    <n v="0"/>
    <n v="29097.176153694501"/>
    <n v="0"/>
    <m/>
    <m/>
    <m/>
    <m/>
    <m/>
  </r>
  <r>
    <x v="605"/>
    <n v="1"/>
    <n v="285447675.18393701"/>
    <n v="2362478.7836160501"/>
    <n v="797.84064536999995"/>
    <n v="2136813.4694699999"/>
    <n v="944685.10359807604"/>
    <n v="20398673"/>
    <n v="168793.322300372"/>
    <n v="0"/>
    <n v="29103.395201582"/>
    <n v="0"/>
    <m/>
    <m/>
    <m/>
    <m/>
    <m/>
  </r>
  <r>
    <x v="606"/>
    <n v="1"/>
    <n v="289024010.540093"/>
    <n v="2363527.1032622"/>
    <n v="794.51992141999995"/>
    <n v="2135497.01258564"/>
    <n v="941909.10942930798"/>
    <n v="21117601"/>
    <n v="172656.373150192"/>
    <n v="0"/>
    <n v="29089.185676562902"/>
    <n v="0"/>
    <m/>
    <m/>
    <m/>
    <m/>
    <m/>
  </r>
  <r>
    <x v="607"/>
    <n v="1"/>
    <n v="288349989.651124"/>
    <n v="2351895.22955231"/>
    <n v="790.10641707999901"/>
    <n v="2130192.1467934698"/>
    <n v="905178.84690465603"/>
    <n v="20808662"/>
    <n v="169686.55304574699"/>
    <n v="0"/>
    <n v="29164.955996737001"/>
    <n v="0"/>
    <m/>
    <m/>
    <m/>
    <m/>
    <m/>
  </r>
  <r>
    <x v="608"/>
    <n v="1"/>
    <n v="283167584.31865799"/>
    <n v="2345407.7509108898"/>
    <n v="787.83613776999903"/>
    <n v="2126158.83503858"/>
    <n v="879016.83035543002"/>
    <n v="20434445"/>
    <n v="169215.34448492801"/>
    <n v="0"/>
    <n v="29137.3467929129"/>
    <n v="0"/>
    <m/>
    <m/>
    <m/>
    <m/>
    <m/>
  </r>
  <r>
    <x v="609"/>
    <n v="1"/>
    <n v="295699029.72598201"/>
    <n v="2355168.26724"/>
    <n v="782.78228458000001"/>
    <n v="2134488.1875960999"/>
    <n v="748399.04929042002"/>
    <n v="21618545"/>
    <n v="172149.58592132499"/>
    <n v="0"/>
    <n v="29086.893122750502"/>
    <n v="0"/>
    <m/>
    <m/>
    <m/>
    <m/>
    <m/>
  </r>
  <r>
    <x v="610"/>
    <n v="1"/>
    <n v="282232617.610075"/>
    <n v="2363110.6060605999"/>
    <n v="771.45283052000002"/>
    <n v="2140012.9834559001"/>
    <n v="792009.11716671998"/>
    <n v="20523009"/>
    <n v="171798.166750376"/>
    <n v="0"/>
    <n v="29410.7740872574"/>
    <n v="0"/>
    <m/>
    <m/>
    <m/>
    <m/>
    <m/>
  </r>
  <r>
    <x v="611"/>
    <n v="1"/>
    <n v="279693758.40575403"/>
    <n v="2341269.9556448199"/>
    <n v="768.32896685999901"/>
    <n v="2117616.28406756"/>
    <n v="756545.14132937195"/>
    <n v="20666362"/>
    <n v="172954.74098250901"/>
    <n v="0"/>
    <n v="28749.7529160798"/>
    <n v="0"/>
    <m/>
    <m/>
    <m/>
    <m/>
    <m/>
  </r>
  <r>
    <x v="612"/>
    <n v="1"/>
    <n v="247106205.019153"/>
    <n v="2369796.07861936"/>
    <n v="765.64145841999903"/>
    <n v="2130515.6455540601"/>
    <n v="662965.11260642402"/>
    <n v="18681230"/>
    <n v="179110.54650047899"/>
    <n v="0"/>
    <n v="28764.189287913199"/>
    <n v="0"/>
    <m/>
    <m/>
    <m/>
    <m/>
    <m/>
  </r>
  <r>
    <x v="613"/>
    <n v="1"/>
    <n v="246649396.89072901"/>
    <n v="2360895.3971291799"/>
    <n v="759.94237845999999"/>
    <n v="2127402.45874607"/>
    <n v="597477.89649263897"/>
    <n v="18857339"/>
    <n v="180453.00478468899"/>
    <n v="0"/>
    <n v="28231.019545204501"/>
    <n v="0"/>
    <m/>
    <m/>
    <m/>
    <m/>
    <m/>
  </r>
  <r>
    <x v="614"/>
    <n v="1"/>
    <n v="250459910.15670899"/>
    <n v="2342888.2352941101"/>
    <n v="752.10877578999998"/>
    <n v="2106480.2965124501"/>
    <n v="544739.48562719906"/>
    <n v="19774951"/>
    <n v="184933.61077340299"/>
    <n v="0"/>
    <n v="28532.577455715498"/>
    <n v="0"/>
    <m/>
    <m/>
    <m/>
    <m/>
    <m/>
  </r>
  <r>
    <x v="615"/>
    <n v="1"/>
    <n v="250236582.65313599"/>
    <n v="2341445.8933582702"/>
    <n v="735.51464837999902"/>
    <n v="2103576.62133377"/>
    <n v="530387.32572808606"/>
    <n v="19663874"/>
    <n v="183946.43592142101"/>
    <n v="0"/>
    <n v="28485.805798275"/>
    <n v="0"/>
    <m/>
    <m/>
    <m/>
    <m/>
    <m/>
  </r>
  <r>
    <x v="616"/>
    <n v="1"/>
    <n v="250410835.881825"/>
    <n v="2336317.6942449398"/>
    <n v="733.38975083999901"/>
    <n v="2092417.0931621001"/>
    <n v="558666.85149422497"/>
    <n v="20438278"/>
    <n v="190637.79498181099"/>
    <n v="0"/>
    <n v="28570.087722275501"/>
    <n v="0"/>
    <m/>
    <m/>
    <m/>
    <m/>
    <m/>
  </r>
  <r>
    <x v="617"/>
    <n v="1"/>
    <n v="259177995.86575499"/>
    <n v="2335548.16216216"/>
    <n v="727.79022259999999"/>
    <n v="2089175.0588907001"/>
    <n v="526569.098015422"/>
    <n v="21003732"/>
    <n v="189222.81081081001"/>
    <n v="0"/>
    <n v="28508.941196031999"/>
    <n v="0"/>
    <m/>
    <m/>
    <m/>
    <m/>
    <m/>
  </r>
  <r>
    <x v="618"/>
    <n v="1"/>
    <n v="247551610.13032001"/>
    <n v="2313542.5768476101"/>
    <n v="729.20308186"/>
    <n v="2077236.79446274"/>
    <n v="501546.00344255602"/>
    <n v="18682990"/>
    <n v="174558.441558441"/>
    <n v="0"/>
    <n v="28549.9781939405"/>
    <n v="0"/>
    <m/>
    <m/>
    <m/>
    <m/>
    <m/>
  </r>
  <r>
    <x v="619"/>
    <n v="1"/>
    <n v="247034432.46850601"/>
    <n v="2311778.32351015"/>
    <n v="731.21567958999901"/>
    <n v="2071036.83648907"/>
    <n v="431593.92335527198"/>
    <n v="18878433"/>
    <n v="176615.52062868301"/>
    <n v="0"/>
    <n v="25800.365829861999"/>
    <n v="0"/>
    <m/>
    <m/>
    <m/>
    <m/>
    <m/>
  </r>
  <r>
    <x v="620"/>
    <n v="1"/>
    <n v="250677815.17901599"/>
    <n v="2299739.1324284598"/>
    <n v="726.61056705999999"/>
    <n v="2066282.7414313899"/>
    <n v="432689.28292032599"/>
    <n v="18578295"/>
    <n v="170380.548422597"/>
    <n v="0"/>
    <n v="25570.773341389198"/>
    <n v="0"/>
    <m/>
    <m/>
    <m/>
    <m/>
    <m/>
  </r>
  <r>
    <x v="621"/>
    <n v="1"/>
    <n v="240202638"/>
    <n v="2293103.9427207601"/>
    <n v="724.20526916999995"/>
    <n v="2060365.8072621401"/>
    <n v="397096.43201230199"/>
    <n v="17617835"/>
    <n v="168189.35560859099"/>
    <n v="0"/>
    <n v="25351.046538496899"/>
    <n v="0"/>
    <m/>
    <m/>
    <m/>
    <m/>
    <m/>
  </r>
  <r>
    <x v="622"/>
    <n v="1"/>
    <n v="241263015"/>
    <n v="2268362.3072583601"/>
    <n v="718.5288534"/>
    <n v="2047015.09155518"/>
    <n v="411468.38959592697"/>
    <n v="17070951"/>
    <n v="160501.607747273"/>
    <n v="0"/>
    <n v="25402.752337114402"/>
    <n v="0"/>
    <m/>
    <m/>
    <m/>
    <m/>
    <m/>
  </r>
  <r>
    <x v="623"/>
    <n v="1"/>
    <n v="254581456"/>
    <n v="2267582.22143048"/>
    <n v="709.48611491999998"/>
    <n v="2038902.13083741"/>
    <n v="401891.28890962002"/>
    <n v="19025437"/>
    <n v="169461.45007570999"/>
    <n v="0"/>
    <n v="25263.072010380401"/>
    <n v="0"/>
    <m/>
    <m/>
    <m/>
    <m/>
    <m/>
  </r>
  <r>
    <x v="624"/>
    <n v="1"/>
    <n v="263712856"/>
    <n v="2266937.6429124"/>
    <n v="707.78881488000002"/>
    <n v="2035481.8627117199"/>
    <n v="392683.67859040102"/>
    <n v="19633894"/>
    <n v="168777.56382704299"/>
    <n v="0"/>
    <n v="25452.346835381701"/>
    <n v="0"/>
    <m/>
    <m/>
    <m/>
    <m/>
    <m/>
  </r>
  <r>
    <x v="625"/>
    <n v="1"/>
    <n v="262234452"/>
    <n v="2262201.9668736998"/>
    <n v="703.62360139999998"/>
    <n v="2032359.20462778"/>
    <n v="382121.81945230201"/>
    <n v="19857411"/>
    <n v="171302.717391304"/>
    <n v="0"/>
    <n v="25392.166971533999"/>
    <n v="0"/>
    <m/>
    <m/>
    <m/>
    <m/>
    <m/>
  </r>
  <r>
    <x v="626"/>
    <n v="1"/>
    <n v="266247390"/>
    <n v="2262084.8768054298"/>
    <n v="701.43501645999902"/>
    <n v="2029596.5534842899"/>
    <n v="331826.37621300999"/>
    <n v="20628334"/>
    <n v="175261.97111299899"/>
    <n v="0"/>
    <n v="24994.256630165899"/>
    <n v="0"/>
    <m/>
    <m/>
    <m/>
    <m/>
    <m/>
  </r>
  <r>
    <x v="627"/>
    <n v="1"/>
    <n v="262336919"/>
    <n v="2231325.3295908798"/>
    <n v="696.87540688000001"/>
    <n v="2003278.8163230701"/>
    <n v="319060.97239159897"/>
    <n v="19991485"/>
    <n v="170038.99804371799"/>
    <n v="0"/>
    <n v="24867.430117131302"/>
    <n v="0"/>
    <m/>
    <m/>
    <m/>
    <m/>
    <m/>
  </r>
  <r>
    <x v="628"/>
    <n v="1"/>
    <n v="265095598"/>
    <n v="2225449.94963062"/>
    <n v="692.06839823999996"/>
    <n v="1997373.41667505"/>
    <n v="305194.94933628797"/>
    <n v="20422124"/>
    <n v="171441.605104096"/>
    <n v="0"/>
    <n v="24917.4173479128"/>
    <n v="0"/>
    <m/>
    <m/>
    <m/>
    <m/>
    <m/>
  </r>
  <r>
    <x v="629"/>
    <n v="1"/>
    <n v="262113451"/>
    <n v="2245660.1353666899"/>
    <n v="677.79015176999997"/>
    <n v="2004417.23509829"/>
    <n v="351926.12939333997"/>
    <n v="21266832"/>
    <n v="182203.83824537299"/>
    <n v="0"/>
    <n v="25215.318303329401"/>
    <n v="0"/>
    <m/>
    <m/>
    <m/>
    <m/>
    <m/>
  </r>
  <r>
    <x v="630"/>
    <n v="1"/>
    <n v="265626451"/>
    <n v="2243277.1809813301"/>
    <n v="644.81815309000001"/>
    <n v="1999748.8542484101"/>
    <n v="341714.67645062"/>
    <n v="22409808"/>
    <n v="189256.04256397201"/>
    <n v="0"/>
    <n v="26536.753192334501"/>
    <n v="0"/>
    <m/>
    <m/>
    <m/>
    <m/>
    <m/>
  </r>
  <r>
    <x v="631"/>
    <n v="1"/>
    <n v="273672243"/>
    <n v="2192008.35402482"/>
    <n v="581.35611295000001"/>
    <n v="1965652.2626406001"/>
    <n v="330134.17055399599"/>
    <n v="21957567"/>
    <n v="175871.58189827701"/>
    <n v="0"/>
    <n v="26759.832250508902"/>
    <n v="0"/>
    <m/>
    <m/>
    <m/>
    <m/>
    <m/>
  </r>
  <r>
    <x v="632"/>
    <n v="1"/>
    <n v="263819482"/>
    <n v="2188102.1978933299"/>
    <n v="575.35680293999997"/>
    <n v="1959359.8724521999"/>
    <n v="335655.79310536798"/>
    <n v="20878577"/>
    <n v="173165.605042713"/>
    <n v="0"/>
    <n v="26013.667421900402"/>
    <n v="0"/>
    <m/>
    <m/>
    <m/>
    <m/>
    <m/>
  </r>
  <r>
    <x v="633"/>
    <n v="1"/>
    <n v="269638358"/>
    <n v="2179424.16747494"/>
    <n v="570.90439612"/>
    <n v="1954922.2294306899"/>
    <n v="344455.60650285601"/>
    <n v="21339951"/>
    <n v="172485.86323957299"/>
    <n v="0"/>
    <n v="26515.277643523099"/>
    <n v="0"/>
    <m/>
    <m/>
    <m/>
    <m/>
    <m/>
  </r>
  <r>
    <x v="634"/>
    <n v="1"/>
    <n v="267901443"/>
    <n v="2175937.6461988199"/>
    <n v="570.55246217000001"/>
    <n v="1961714.9219593201"/>
    <n v="355055.58123538899"/>
    <n v="20160302"/>
    <n v="163745.142949967"/>
    <n v="0"/>
    <n v="26501.028779968699"/>
    <n v="0"/>
    <m/>
    <m/>
    <m/>
    <m/>
    <m/>
  </r>
  <r>
    <x v="635"/>
    <n v="1"/>
    <n v="258576812"/>
    <n v="2133120.0461969902"/>
    <n v="564.96371420000003"/>
    <n v="1949755.27923838"/>
    <n v="342033.47593255999"/>
    <n v="15925141"/>
    <n v="131373.87394819301"/>
    <n v="0"/>
    <n v="26266.498264012898"/>
    <n v="0"/>
    <m/>
    <m/>
    <m/>
    <m/>
    <m/>
  </r>
  <r>
    <x v="636"/>
    <n v="1"/>
    <n v="275852789"/>
    <n v="2126196.9246184598"/>
    <n v="562.92254919000004"/>
    <n v="1945529.19510009"/>
    <n v="373750.43724099098"/>
    <n v="16875979"/>
    <n v="130075.373824572"/>
    <n v="0"/>
    <n v="26263.976085189901"/>
    <n v="0"/>
    <m/>
    <m/>
    <m/>
    <m/>
    <m/>
  </r>
  <r>
    <x v="637"/>
    <n v="1"/>
    <n v="243273119"/>
    <n v="2087106.3743994499"/>
    <n v="551.65687873000002"/>
    <n v="1908553.4880527901"/>
    <n v="391889.02285991202"/>
    <n v="13975014"/>
    <n v="119895.452985586"/>
    <n v="0"/>
    <n v="26154.799716714599"/>
    <n v="0"/>
    <m/>
    <m/>
    <m/>
    <m/>
    <m/>
  </r>
  <r>
    <x v="638"/>
    <n v="1"/>
    <n v="260909792"/>
    <n v="2073510.22808551"/>
    <n v="547.36052926000002"/>
    <n v="1894318.9172059901"/>
    <n v="406499.22829041397"/>
    <n v="16032643"/>
    <n v="127415.10768497099"/>
    <n v="0"/>
    <n v="25690.2473266163"/>
    <n v="0"/>
    <m/>
    <m/>
    <m/>
    <m/>
    <m/>
  </r>
  <r>
    <x v="639"/>
    <n v="1"/>
    <n v="262775839"/>
    <n v="2066497.6329034199"/>
    <n v="544.43033478999996"/>
    <n v="1890195.3607650001"/>
    <n v="408003.757633931"/>
    <n v="15779009"/>
    <n v="124087.834224598"/>
    <n v="0"/>
    <n v="25449.334306010802"/>
    <n v="0"/>
    <m/>
    <m/>
    <m/>
    <m/>
    <m/>
  </r>
  <r>
    <x v="640"/>
    <n v="1"/>
    <n v="264366447"/>
    <n v="2066008.49484213"/>
    <n v="496.167775809999"/>
    <n v="1891303.42057908"/>
    <n v="417269.33182542003"/>
    <n v="15809177"/>
    <n v="123547.80400125"/>
    <n v="0"/>
    <n v="25126.3198758053"/>
    <n v="0"/>
    <m/>
    <m/>
    <m/>
    <m/>
    <m/>
  </r>
  <r>
    <x v="641"/>
    <n v="1"/>
    <n v="310190841"/>
    <n v="2051933.85592379"/>
    <n v="497.21766678"/>
    <n v="1884180.1516883799"/>
    <n v="427915.17794202297"/>
    <n v="18855971"/>
    <n v="124733.55163061401"/>
    <n v="0"/>
    <n v="25048.345127525299"/>
    <n v="0"/>
    <m/>
    <m/>
    <m/>
    <m/>
    <m/>
  </r>
  <r>
    <x v="642"/>
    <n v="1"/>
    <n v="309525374"/>
    <n v="2048480.30443414"/>
    <n v="500.217027489999"/>
    <n v="1878258.51747747"/>
    <n v="427715.88167607202"/>
    <n v="18523486"/>
    <n v="122590.90668431501"/>
    <n v="0"/>
    <n v="25042.244360082601"/>
    <n v="0"/>
    <m/>
    <m/>
    <m/>
    <m/>
    <m/>
  </r>
  <r>
    <x v="643"/>
    <n v="1"/>
    <n v="311754106"/>
    <n v="2049800.1578013001"/>
    <n v="503.14587764999999"/>
    <n v="1888598.6337989001"/>
    <n v="401940.81731012301"/>
    <n v="17397404"/>
    <n v="114388.875008218"/>
    <n v="0"/>
    <n v="24861.854109464599"/>
    <n v="0"/>
    <m/>
    <m/>
    <m/>
    <m/>
    <m/>
  </r>
  <r>
    <x v="644"/>
    <n v="1"/>
    <n v="325798602"/>
    <n v="2054086.1358048001"/>
    <n v="482.34985649999999"/>
    <n v="1896347.9469750901"/>
    <n v="382927.61873973999"/>
    <n v="17953079"/>
    <n v="113190.082592522"/>
    <n v="0"/>
    <n v="25134.815679008701"/>
    <n v="0"/>
    <m/>
    <m/>
    <m/>
    <m/>
    <m/>
  </r>
  <r>
    <x v="645"/>
    <n v="1"/>
    <n v="321885379"/>
    <n v="2060330.14785892"/>
    <n v="574.37245619999999"/>
    <n v="1901676.0685967"/>
    <n v="408983.71354947699"/>
    <n v="17482686"/>
    <n v="111903.514049798"/>
    <n v="0"/>
    <n v="24653.341820653401"/>
    <n v="0"/>
    <m/>
    <m/>
    <m/>
    <m/>
    <m/>
  </r>
  <r>
    <x v="646"/>
    <n v="1"/>
    <n v="324574806"/>
    <n v="2080074.3783645199"/>
    <n v="573.24451867000005"/>
    <n v="1925204.26824405"/>
    <n v="382731.18359889399"/>
    <n v="17196568"/>
    <n v="110206.15226864901"/>
    <n v="0"/>
    <n v="24882.370483796502"/>
    <n v="0"/>
    <m/>
    <m/>
    <m/>
    <m/>
    <m/>
  </r>
  <r>
    <x v="647"/>
    <n v="1"/>
    <n v="312652014"/>
    <n v="2092157.48126338"/>
    <n v="571.51395529000001"/>
    <n v="1936668.9732349899"/>
    <n v="386165.49151696998"/>
    <n v="16224471"/>
    <n v="108568.46225909999"/>
    <n v="0"/>
    <n v="24427.871318552199"/>
    <n v="0"/>
    <m/>
    <m/>
    <m/>
    <m/>
    <m/>
  </r>
  <r>
    <x v="648"/>
    <n v="1"/>
    <n v="326649372"/>
    <n v="2086283.27265759"/>
    <n v="569.50125406999996"/>
    <n v="1937210.1618691201"/>
    <n v="324870.48135646799"/>
    <n v="16999755"/>
    <n v="108576.068212301"/>
    <n v="0"/>
    <n v="25245.760102568202"/>
    <n v="0"/>
    <m/>
    <m/>
    <m/>
    <m/>
    <m/>
  </r>
  <r>
    <x v="649"/>
    <n v="1"/>
    <n v="297580658"/>
    <n v="2085943.20762652"/>
    <n v="566.9248106"/>
    <n v="1937458.76842608"/>
    <n v="347055.038437062"/>
    <n v="14349079"/>
    <n v="100582.35665217999"/>
    <n v="0"/>
    <n v="25401.718579577901"/>
    <n v="0"/>
    <m/>
    <m/>
    <m/>
    <m/>
    <m/>
  </r>
  <r>
    <x v="650"/>
    <n v="1"/>
    <n v="278750242"/>
    <n v="2088173.2114765099"/>
    <n v="563.37992369000006"/>
    <n v="1937500.9774925399"/>
    <n v="337127.88103373599"/>
    <n v="13453351"/>
    <n v="100781.713986066"/>
    <n v="0"/>
    <n v="25450.792067725801"/>
    <n v="0"/>
    <m/>
    <m/>
    <m/>
    <m/>
    <m/>
  </r>
  <r>
    <x v="651"/>
    <n v="1"/>
    <n v="294588917"/>
    <n v="2084404.7052996501"/>
    <n v="560.45582245000003"/>
    <n v="1935710.70858466"/>
    <n v="332981.13029395801"/>
    <n v="14659932"/>
    <n v="103728.38038632899"/>
    <n v="0"/>
    <n v="25725.141911818198"/>
    <n v="0"/>
    <m/>
    <m/>
    <m/>
    <m/>
    <m/>
  </r>
  <r>
    <x v="652"/>
    <n v="1"/>
    <n v="286899356"/>
    <n v="2089580.1602330599"/>
    <n v="558.96678770999995"/>
    <n v="1933171.87937081"/>
    <n v="297336.15690963098"/>
    <n v="14481304"/>
    <n v="105471.988346686"/>
    <n v="0"/>
    <n v="25126.188547115598"/>
    <n v="0"/>
    <m/>
    <m/>
    <m/>
    <m/>
    <m/>
  </r>
  <r>
    <x v="653"/>
    <n v="1"/>
    <n v="287981868"/>
    <n v="2060988.10563229"/>
    <n v="555.82405625000001"/>
    <n v="1910169.0757895201"/>
    <n v="283155.963485852"/>
    <n v="14411369"/>
    <n v="103137.257568167"/>
    <n v="0"/>
    <n v="25165.783251257199"/>
    <n v="0"/>
    <m/>
    <m/>
    <m/>
    <m/>
    <m/>
  </r>
  <r>
    <x v="654"/>
    <n v="1"/>
    <n v="241418261"/>
    <n v="2068353.8468128799"/>
    <n v="548.88746937999997"/>
    <n v="1902633.83872225"/>
    <n v="270552.578908603"/>
    <n v="12391971"/>
    <n v="106168.36017820401"/>
    <n v="0"/>
    <n v="25402.065282489901"/>
    <n v="0"/>
    <m/>
    <m/>
    <m/>
    <m/>
    <m/>
  </r>
  <r>
    <x v="655"/>
    <n v="1"/>
    <n v="272400756"/>
    <n v="2054149.43066133"/>
    <n v="544.16600062999998"/>
    <n v="1896124.5039739499"/>
    <n v="276170.018152804"/>
    <n v="14583613"/>
    <n v="109973.704848804"/>
    <n v="0"/>
    <n v="25317.107979972501"/>
    <n v="0"/>
    <m/>
    <m/>
    <m/>
    <m/>
    <m/>
  </r>
  <r>
    <x v="656"/>
    <n v="1"/>
    <n v="266824229"/>
    <n v="2036981.67035651"/>
    <n v="539.44023305999997"/>
    <n v="1882478.98900454"/>
    <n v="341795.157302982"/>
    <n v="13494531"/>
    <n v="103019.551110771"/>
    <n v="0"/>
    <n v="25597.073132278001"/>
    <n v="0"/>
    <m/>
    <m/>
    <m/>
    <m/>
    <m/>
  </r>
  <r>
    <x v="657"/>
    <n v="1"/>
    <n v="285288072"/>
    <n v="2025186.8531269899"/>
    <n v="532.72240785999998"/>
    <n v="1869333.66008532"/>
    <n v="325131.50498658803"/>
    <n v="15012379"/>
    <n v="106569.028182011"/>
    <n v="0"/>
    <n v="23925.8046164976"/>
    <n v="0"/>
    <m/>
    <m/>
    <m/>
    <m/>
    <m/>
  </r>
  <r>
    <x v="658"/>
    <n v="1"/>
    <n v="265138513"/>
    <n v="2015342.90817877"/>
    <n v="525.88296584"/>
    <n v="1857707.9417314399"/>
    <n v="351958.988622943"/>
    <n v="13298433"/>
    <n v="101082.646701124"/>
    <n v="0"/>
    <n v="24356.7812118035"/>
    <n v="0"/>
    <m/>
    <m/>
    <m/>
    <m/>
    <m/>
  </r>
  <r>
    <x v="659"/>
    <n v="1"/>
    <n v="235860175"/>
    <n v="1992735.5103075299"/>
    <n v="504.40083540999899"/>
    <n v="1830745.90429997"/>
    <n v="322188.82723895099"/>
    <n v="11905397"/>
    <n v="100586.32139236201"/>
    <n v="0"/>
    <n v="24546.6616662989"/>
    <n v="0"/>
    <m/>
    <m/>
    <m/>
    <m/>
    <m/>
  </r>
  <r>
    <x v="660"/>
    <n v="1"/>
    <n v="212999920"/>
    <n v="1946271.1988303999"/>
    <n v="504.40083540999899"/>
    <n v="1778272.5084063399"/>
    <n v="325330.35535157402"/>
    <n v="11304120"/>
    <n v="103290.570175438"/>
    <n v="0"/>
    <n v="24683.914163249901"/>
    <n v="0"/>
    <m/>
    <m/>
    <m/>
    <m/>
    <m/>
  </r>
  <r>
    <x v="661"/>
    <n v="1"/>
    <n v="222241799"/>
    <n v="1908801.8466031"/>
    <n v="504.40083540999899"/>
    <n v="1755200.8104594101"/>
    <n v="321137.96143423399"/>
    <n v="10957114"/>
    <n v="94109.026883105704"/>
    <n v="0"/>
    <n v="24631.715065284799"/>
    <n v="0"/>
    <m/>
    <m/>
    <m/>
    <m/>
    <m/>
  </r>
  <r>
    <x v="662"/>
    <n v="1"/>
    <n v="192149069"/>
    <n v="1909461.0851634699"/>
    <n v="504.40083540999899"/>
    <n v="1739950.7559207701"/>
    <n v="288224.71940374502"/>
    <n v="9652966"/>
    <n v="95925.330418364305"/>
    <n v="0"/>
    <n v="24671.005005486299"/>
    <n v="0"/>
    <m/>
    <m/>
    <m/>
    <m/>
    <m/>
  </r>
  <r>
    <x v="663"/>
    <n v="1"/>
    <n v="192121389"/>
    <n v="1875452.84068723"/>
    <n v="504.40083540999899"/>
    <n v="1715921.40247788"/>
    <n v="278045.40019384201"/>
    <n v="9563343"/>
    <n v="93355.554470909803"/>
    <n v="0"/>
    <n v="24814.6254854935"/>
    <n v="0"/>
    <m/>
    <m/>
    <m/>
    <m/>
    <m/>
  </r>
  <r>
    <x v="664"/>
    <n v="1"/>
    <n v="178516737"/>
    <n v="1870460.3625314301"/>
    <n v="504.40083540999899"/>
    <n v="1709950.32907715"/>
    <n v="266664.40405507601"/>
    <n v="8631906"/>
    <n v="90443.273260687303"/>
    <n v="0"/>
    <n v="25010.0028478198"/>
    <n v="0"/>
    <m/>
    <m/>
    <m/>
    <m/>
    <m/>
  </r>
  <r>
    <x v="665"/>
    <n v="1"/>
    <n v="160440455"/>
    <n v="1878913.86579224"/>
    <n v="504.40083540999899"/>
    <n v="1708050.5108747401"/>
    <n v="286137.33152085001"/>
    <n v="7882756"/>
    <n v="92314.744115235895"/>
    <n v="0"/>
    <n v="23681.034250918299"/>
    <n v="0"/>
    <m/>
    <m/>
    <m/>
    <m/>
    <m/>
  </r>
  <r>
    <x v="666"/>
    <n v="1"/>
    <n v="157753773"/>
    <n v="1872003.9515841899"/>
    <n v="500.74013375999999"/>
    <n v="1705772.2462842099"/>
    <n v="238532.853545953"/>
    <n v="7632900"/>
    <n v="90576.717693129205"/>
    <n v="0"/>
    <n v="22503.647795091299"/>
    <n v="0"/>
    <m/>
    <m/>
    <m/>
    <m/>
    <m/>
  </r>
  <r>
    <x v="667"/>
    <n v="1"/>
    <n v="156882312"/>
    <n v="1869872.61025029"/>
    <n v="496.87832068"/>
    <n v="1701404.68524929"/>
    <n v="271231.334437743"/>
    <n v="7362897"/>
    <n v="87758.009535160905"/>
    <n v="0"/>
    <n v="18848.826762462999"/>
    <n v="0"/>
    <m/>
    <m/>
    <m/>
    <m/>
    <m/>
  </r>
  <r>
    <x v="668"/>
    <n v="1"/>
    <n v="161645099"/>
    <n v="1871108.91306864"/>
    <n v="495.511611729999"/>
    <n v="1700568.45818315"/>
    <n v="253285.20025371201"/>
    <n v="7926843"/>
    <n v="91756.488019446697"/>
    <n v="0"/>
    <n v="18873.998255675298"/>
    <n v="0"/>
    <m/>
    <m/>
    <m/>
    <m/>
    <m/>
  </r>
  <r>
    <x v="669"/>
    <n v="1"/>
    <n v="169952999"/>
    <n v="1877518.76933274"/>
    <n v="493.59498864"/>
    <n v="1702152.1145907899"/>
    <n v="246268.112884306"/>
    <n v="9045519"/>
    <n v="99928.402562969495"/>
    <n v="0"/>
    <n v="18797.126382348699"/>
    <n v="0"/>
    <m/>
    <m/>
    <m/>
    <m/>
    <m/>
  </r>
  <r>
    <x v="670"/>
    <n v="1"/>
    <n v="164811546"/>
    <n v="1871794.95741056"/>
    <n v="491.46156552999997"/>
    <n v="1689352.9518416"/>
    <n v="239557.80028779499"/>
    <n v="8188032"/>
    <n v="92992.981260647299"/>
    <n v="0"/>
    <n v="9796.7861049317999"/>
    <n v="0"/>
    <m/>
    <m/>
    <m/>
    <m/>
    <m/>
  </r>
  <r>
    <x v="671"/>
    <n v="1"/>
    <n v="168194072"/>
    <n v="1854399.91179713"/>
    <n v="488.00827598000001"/>
    <n v="1682857.07454842"/>
    <n v="230401.88799822901"/>
    <n v="7681465"/>
    <n v="84690.904079382497"/>
    <n v="0"/>
    <n v="9394.2423514107995"/>
    <n v="0"/>
    <m/>
    <m/>
    <m/>
    <m/>
    <m/>
  </r>
  <r>
    <x v="672"/>
    <n v="1"/>
    <n v="175129062"/>
    <n v="1854787.77801313"/>
    <n v="480.351395139999"/>
    <n v="1677880.5903565099"/>
    <n v="220717.56412506101"/>
    <n v="8805623"/>
    <n v="93260.146155475493"/>
    <n v="0"/>
    <n v="9861.4721614174996"/>
    <n v="0"/>
    <m/>
    <m/>
    <m/>
    <m/>
    <m/>
  </r>
  <r>
    <x v="673"/>
    <n v="1"/>
    <n v="168334932"/>
    <n v="1840933.20209973"/>
    <n v="477.62513837"/>
    <n v="1654451.0733175201"/>
    <n v="202611.300146314"/>
    <n v="9172087"/>
    <n v="100307.16316710399"/>
    <n v="0"/>
    <n v="10167.870569501199"/>
    <n v="0"/>
    <m/>
    <m/>
    <m/>
    <m/>
    <m/>
  </r>
  <r>
    <x v="674"/>
    <n v="1"/>
    <n v="170135139"/>
    <n v="1817488.93280632"/>
    <n v="475.7574194"/>
    <n v="1642194.7058309701"/>
    <n v="195690.05762815001"/>
    <n v="8768572"/>
    <n v="93671.317166969297"/>
    <n v="0"/>
    <n v="10372.416880978801"/>
    <n v="0"/>
    <m/>
    <m/>
    <m/>
    <m/>
    <m/>
  </r>
  <r>
    <x v="675"/>
    <n v="1"/>
    <n v="156079544"/>
    <n v="1725970.8503815101"/>
    <n v="470.373821219999"/>
    <n v="1557526.2838371301"/>
    <n v="271934.07420687203"/>
    <n v="7395705"/>
    <n v="81783.755390910097"/>
    <n v="0"/>
    <n v="9974.5559868703003"/>
    <n v="0"/>
    <m/>
    <m/>
    <m/>
    <m/>
    <m/>
  </r>
  <r>
    <x v="676"/>
    <n v="1"/>
    <n v="178626571"/>
    <n v="1758654.8291818399"/>
    <n v="465.65806623999998"/>
    <n v="1594273.2531955601"/>
    <n v="268600.81864084501"/>
    <n v="8581960"/>
    <n v="84493.058974106505"/>
    <n v="0"/>
    <n v="9904.5037923974996"/>
    <n v="0"/>
    <m/>
    <m/>
    <m/>
    <m/>
    <m/>
  </r>
  <r>
    <x v="677"/>
    <n v="1"/>
    <n v="192889063"/>
    <n v="1756411.0635585501"/>
    <n v="464.76556015"/>
    <n v="1586088.3246454599"/>
    <n v="269170.11670332198"/>
    <n v="10200103"/>
    <n v="92880.194864323406"/>
    <n v="0"/>
    <n v="11585.9501257624"/>
    <n v="0"/>
    <m/>
    <m/>
    <m/>
    <m/>
    <m/>
  </r>
  <r>
    <x v="678"/>
    <n v="1"/>
    <n v="189299375"/>
    <n v="1749047.1680680001"/>
    <n v="463.78048573999899"/>
    <n v="1576644.4290418299"/>
    <n v="269861.22205244098"/>
    <n v="10157422"/>
    <n v="93850.337244756505"/>
    <n v="0"/>
    <n v="13508.799167003101"/>
    <n v="0"/>
    <m/>
    <m/>
    <m/>
    <m/>
    <m/>
  </r>
  <r>
    <x v="679"/>
    <n v="1"/>
    <n v="202144356"/>
    <n v="1743074.5537639"/>
    <n v="461.18919134999999"/>
    <n v="1568421.78021819"/>
    <n v="275359.92480275"/>
    <n v="11802141"/>
    <n v="101768.914374407"/>
    <n v="0"/>
    <n v="12928.635799833"/>
    <n v="0"/>
    <m/>
    <m/>
    <m/>
    <m/>
    <m/>
  </r>
  <r>
    <x v="680"/>
    <n v="1"/>
    <n v="205731308"/>
    <n v="1736129.1814345899"/>
    <n v="458.619611429999"/>
    <n v="1553468.534305"/>
    <n v="254152.41907330099"/>
    <n v="12611354"/>
    <n v="106424.928270042"/>
    <n v="0"/>
    <n v="10334.818287128301"/>
    <n v="0"/>
    <m/>
    <m/>
    <m/>
    <m/>
    <m/>
  </r>
  <r>
    <x v="681"/>
    <n v="1"/>
    <n v="195790931"/>
    <n v="1734658.7312837699"/>
    <n v="456.83440543"/>
    <n v="1552689.63274934"/>
    <n v="280387.04395869398"/>
    <n v="11600384"/>
    <n v="102776.50394258799"/>
    <n v="0"/>
    <n v="10312.878269340699"/>
    <n v="0"/>
    <m/>
    <m/>
    <m/>
    <m/>
    <m/>
  </r>
  <r>
    <x v="682"/>
    <n v="1"/>
    <n v="203034986"/>
    <n v="1728251.4981273401"/>
    <n v="455.21577636999899"/>
    <n v="1556041.38771344"/>
    <n v="349028.85575248499"/>
    <n v="12049738"/>
    <n v="102568.420156622"/>
    <n v="0"/>
    <n v="15510.5192846146"/>
    <n v="0"/>
    <m/>
    <m/>
    <m/>
    <m/>
    <m/>
  </r>
  <r>
    <x v="683"/>
    <n v="1"/>
    <n v="210770902"/>
    <n v="1715257.9915364501"/>
    <n v="455.27981402"/>
    <n v="1547979.5045759201"/>
    <n v="372012.34346954501"/>
    <n v="11895069"/>
    <n v="96802.3193359375"/>
    <n v="0"/>
    <n v="15014.1298976822"/>
    <n v="0"/>
    <m/>
    <m/>
    <m/>
    <m/>
    <m/>
  </r>
  <r>
    <x v="684"/>
    <n v="1"/>
    <n v="188920916"/>
    <n v="1714190.32755648"/>
    <n v="455.27101041999998"/>
    <n v="1543233.74849744"/>
    <n v="378650.42017310002"/>
    <n v="10383061"/>
    <n v="94211.605117502899"/>
    <n v="0"/>
    <n v="15602.101380165501"/>
    <n v="0"/>
    <m/>
    <m/>
    <m/>
    <m/>
    <m/>
  </r>
  <r>
    <x v="685"/>
    <n v="1"/>
    <n v="179866059"/>
    <n v="1651814.2988336801"/>
    <n v="455.72167926999998"/>
    <n v="1493130.77025114"/>
    <n v="351216.55411418498"/>
    <n v="9788823"/>
    <n v="89896.436771053297"/>
    <n v="0"/>
    <n v="16710.353281006901"/>
    <n v="0"/>
    <m/>
    <m/>
    <m/>
    <m/>
    <m/>
  </r>
  <r>
    <x v="686"/>
    <n v="1"/>
    <n v="188422083"/>
    <n v="1614861.8700719899"/>
    <n v="455.03481477999998"/>
    <n v="1476700.71710217"/>
    <n v="362266.63710884901"/>
    <n v="10041364"/>
    <n v="86058.998971546098"/>
    <n v="0"/>
    <n v="27975.881387625301"/>
    <n v="0"/>
    <m/>
    <m/>
    <m/>
    <m/>
    <m/>
  </r>
  <r>
    <x v="687"/>
    <n v="1"/>
    <n v="175838779"/>
    <n v="1559684.04293063"/>
    <n v="455.07950557999999"/>
    <n v="1444416.96396725"/>
    <n v="363703.183489808"/>
    <n v="6581350"/>
    <n v="58376.3526698598"/>
    <n v="0"/>
    <n v="28993.387543377001"/>
    <n v="0"/>
    <m/>
    <m/>
    <m/>
    <m/>
    <m/>
  </r>
  <r>
    <x v="688"/>
    <n v="1"/>
    <n v="189358508"/>
    <n v="1534882.9375050601"/>
    <n v="453.04687397999999"/>
    <n v="1432718.90349027"/>
    <n v="317420.49975238898"/>
    <n v="7257774"/>
    <n v="58829.3264164707"/>
    <n v="0"/>
    <n v="35497.402785050697"/>
    <n v="0"/>
    <m/>
    <m/>
    <m/>
    <m/>
    <m/>
  </r>
  <r>
    <x v="689"/>
    <n v="1"/>
    <n v="192833299"/>
    <n v="1544767.27549467"/>
    <n v="450.01790251"/>
    <n v="1441525.9860306999"/>
    <n v="316095.85623635602"/>
    <n v="7666745"/>
    <n v="61417.487783385397"/>
    <n v="0"/>
    <n v="42664.001592059198"/>
    <n v="0"/>
    <m/>
    <m/>
    <m/>
    <m/>
    <m/>
  </r>
  <r>
    <x v="690"/>
    <n v="1"/>
    <n v="204068172"/>
    <n v="1495004.92307692"/>
    <n v="451.45740114"/>
    <n v="1411933.56877975"/>
    <n v="376580.01040029799"/>
    <n v="6391939"/>
    <n v="46827.391941391899"/>
    <n v="0"/>
    <n v="40774.1332406972"/>
    <n v="0"/>
    <m/>
    <m/>
    <m/>
    <m/>
    <m/>
  </r>
  <r>
    <x v="691"/>
    <n v="1"/>
    <n v="190670661"/>
    <n v="1458395.7549334499"/>
    <n v="453.42700736"/>
    <n v="1378114.1611433099"/>
    <n v="366392.728713052"/>
    <n v="5217263"/>
    <n v="39905.637142419997"/>
    <n v="0"/>
    <n v="38577.260219742697"/>
    <n v="0"/>
    <m/>
    <m/>
    <m/>
    <m/>
    <m/>
  </r>
  <r>
    <x v="692"/>
    <n v="1"/>
    <n v="203126621"/>
    <n v="1370440.02833625"/>
    <n v="453.31027614999999"/>
    <n v="1301276.4036543299"/>
    <n v="328258.65966581099"/>
    <n v="4954126"/>
    <n v="33424.139792200702"/>
    <n v="0"/>
    <n v="35202.825960241396"/>
    <n v="0"/>
    <m/>
    <m/>
    <m/>
    <m/>
    <m/>
  </r>
  <r>
    <x v="693"/>
    <n v="1"/>
    <n v="229229332"/>
    <n v="1291069.17488031"/>
    <n v="453.85978628999999"/>
    <n v="1221833.7126584901"/>
    <n v="347939.04206255201"/>
    <n v="6192115"/>
    <n v="34875.330892706203"/>
    <n v="0"/>
    <n v="33495.032115288799"/>
    <n v="0"/>
    <m/>
    <m/>
    <m/>
    <m/>
    <m/>
  </r>
  <r>
    <x v="694"/>
    <n v="1"/>
    <n v="226066123"/>
    <n v="1297589.96096888"/>
    <n v="450.39903201999999"/>
    <n v="1219391.8782083101"/>
    <n v="344236.77908995602"/>
    <n v="6066975"/>
    <n v="34823.642520950503"/>
    <n v="0"/>
    <n v="31443.689775335399"/>
    <n v="0"/>
    <m/>
    <m/>
    <m/>
    <m/>
    <m/>
  </r>
  <r>
    <x v="695"/>
    <n v="1"/>
    <n v="224915371"/>
    <n v="1286406.8348204"/>
    <n v="449.53163174000002"/>
    <n v="1209559.77041009"/>
    <n v="322317.718027725"/>
    <n v="6225307"/>
    <n v="35605.736673530002"/>
    <n v="0"/>
    <n v="29073.932660450198"/>
    <n v="0"/>
    <m/>
    <m/>
    <m/>
    <m/>
    <m/>
  </r>
  <r>
    <x v="696"/>
    <n v="1"/>
    <n v="225622288"/>
    <n v="1242755.6485816501"/>
    <n v="446.97189801000002"/>
    <n v="1163037.3300764"/>
    <n v="329396.288505879"/>
    <n v="6286350"/>
    <n v="34625.9983475626"/>
    <n v="0"/>
    <n v="22614.322620253999"/>
    <n v="0"/>
    <m/>
    <m/>
    <m/>
    <m/>
    <m/>
  </r>
  <r>
    <x v="697"/>
    <n v="1"/>
    <n v="216653808"/>
    <n v="1185714.79859894"/>
    <n v="443.22574538999999"/>
    <n v="1105181.2570786199"/>
    <n v="323938.09168029"/>
    <n v="6293862"/>
    <n v="34445.391856392198"/>
    <n v="0"/>
    <n v="21867.2258117438"/>
    <n v="0"/>
    <m/>
    <m/>
    <m/>
    <m/>
    <m/>
  </r>
  <r>
    <x v="698"/>
    <n v="1"/>
    <n v="239712763"/>
    <n v="1161230.2620743101"/>
    <n v="439.76746129000003"/>
    <n v="1081328.98160628"/>
    <n v="328456.891305823"/>
    <n v="7173542"/>
    <n v="34750.482003584701"/>
    <n v="0"/>
    <n v="19266.551053687501"/>
    <n v="0"/>
    <m/>
    <m/>
    <m/>
    <m/>
    <m/>
  </r>
  <r>
    <x v="699"/>
    <n v="1"/>
    <n v="243530778"/>
    <n v="1155214.5439020901"/>
    <n v="343.94291294999999"/>
    <n v="1061984.0640586901"/>
    <n v="331995.67611559102"/>
    <n v="7248429"/>
    <n v="34383.705706560402"/>
    <n v="0"/>
    <n v="10864.3717546223"/>
    <n v="0"/>
    <m/>
    <m/>
    <m/>
    <m/>
    <m/>
  </r>
  <r>
    <x v="700"/>
    <n v="1"/>
    <n v="243299661"/>
    <n v="1149266.23051487"/>
    <n v="343.94291294999999"/>
    <n v="1055468.58594986"/>
    <n v="283135.35055980802"/>
    <n v="6254775"/>
    <n v="29545.465281058099"/>
    <n v="0"/>
    <n v="5744.3447573904004"/>
    <n v="0"/>
    <m/>
    <m/>
    <m/>
    <m/>
    <m/>
  </r>
  <r>
    <x v="701"/>
    <n v="1"/>
    <n v="243835276"/>
    <n v="1150709.1835771501"/>
    <n v="336.82158286999999"/>
    <n v="1056377.4487670499"/>
    <n v="263401.62836097198"/>
    <n v="6599154"/>
    <n v="31142.774893817801"/>
    <n v="0"/>
    <n v="8742.9743307692006"/>
    <n v="0"/>
    <m/>
    <m/>
    <m/>
    <m/>
    <m/>
  </r>
  <r>
    <x v="702"/>
    <n v="1"/>
    <n v="239174843"/>
    <n v="1142245.7758250099"/>
    <n v="332.07603344"/>
    <n v="1054969.14218198"/>
    <n v="182188.46448691699"/>
    <n v="4975915"/>
    <n v="23763.861693490599"/>
    <n v="0"/>
    <n v="8873.7578915132999"/>
    <n v="0"/>
    <m/>
    <m/>
    <m/>
    <m/>
    <m/>
  </r>
  <r>
    <x v="703"/>
    <n v="1"/>
    <n v="240758186"/>
    <n v="1139467.9634625299"/>
    <n v="281.53271215000001"/>
    <n v="1053014.69023551"/>
    <n v="196423.60826925799"/>
    <n v="5062406"/>
    <n v="23959.515358038701"/>
    <n v="0"/>
    <n v="8865.9997039118007"/>
    <n v="0"/>
    <m/>
    <m/>
    <m/>
    <m/>
    <m/>
  </r>
  <r>
    <x v="704"/>
    <n v="1"/>
    <n v="245441131"/>
    <n v="1125670.20271509"/>
    <n v="145.17137904000001"/>
    <n v="1040320.57423346"/>
    <n v="193510.63178782901"/>
    <n v="5333156"/>
    <n v="24459.530361401499"/>
    <n v="0"/>
    <n v="9020.3381904487997"/>
    <n v="0"/>
    <m/>
    <m/>
    <m/>
    <m/>
    <m/>
  </r>
  <r>
    <x v="705"/>
    <n v="1"/>
    <n v="246894999"/>
    <n v="1124550.21179685"/>
    <n v="134.37726140999999"/>
    <n v="1039860.40298556"/>
    <n v="216370.79266486099"/>
    <n v="5395103"/>
    <n v="24573.4593486677"/>
    <n v="0"/>
    <n v="9021.5030304273005"/>
    <n v="0"/>
    <m/>
    <m/>
    <m/>
    <m/>
    <m/>
  </r>
  <r>
    <x v="706"/>
    <n v="1"/>
    <n v="230783740"/>
    <n v="1100542.39389604"/>
    <n v="123.33691355000001"/>
    <n v="1013257.3064615"/>
    <n v="257162.50132286499"/>
    <n v="5274763"/>
    <n v="25153.8531235097"/>
    <n v="0"/>
    <n v="9265.2805131781006"/>
    <n v="0"/>
    <m/>
    <m/>
    <m/>
    <m/>
    <m/>
  </r>
  <r>
    <x v="707"/>
    <n v="1"/>
    <n v="231760663"/>
    <n v="1096780.38426955"/>
    <n v="113.27790958"/>
    <n v="1010008.36735629"/>
    <n v="259629.26032526101"/>
    <n v="5291529"/>
    <n v="25041.545596516899"/>
    <n v="0"/>
    <n v="8214.3814973984008"/>
    <n v="0"/>
    <m/>
    <m/>
    <m/>
    <m/>
    <m/>
  </r>
  <r>
    <x v="708"/>
    <n v="1"/>
    <n v="219884871"/>
    <n v="1102345.57076252"/>
    <n v="111.72549698"/>
    <n v="1009680.21035328"/>
    <n v="271899.60507890797"/>
    <n v="5260495"/>
    <n v="26372.361758660401"/>
    <n v="0"/>
    <n v="7951.4231567910001"/>
    <n v="0"/>
    <m/>
    <m/>
    <m/>
    <m/>
    <m/>
  </r>
  <r>
    <x v="709"/>
    <n v="1"/>
    <n v="220861071"/>
    <n v="1098701.9749278601"/>
    <n v="109.5470917"/>
    <n v="1010226.6650358"/>
    <n v="275830.64826569898"/>
    <n v="5228614"/>
    <n v="26010.416873942799"/>
    <n v="0"/>
    <n v="8922.6244600673999"/>
    <n v="0"/>
    <m/>
    <m/>
    <m/>
    <m/>
    <m/>
  </r>
  <r>
    <x v="710"/>
    <n v="1"/>
    <n v="218134225"/>
    <n v="1097641.1462788701"/>
    <n v="109.49101367"/>
    <n v="1008805.90605554"/>
    <n v="275849.39262718998"/>
    <n v="5115920"/>
    <n v="25743.068484878899"/>
    <n v="0"/>
    <n v="8904.2134641167995"/>
    <n v="0"/>
    <m/>
    <m/>
    <m/>
    <m/>
    <m/>
  </r>
  <r>
    <x v="711"/>
    <n v="1"/>
    <n v="216448296"/>
    <n v="1094002.0015163"/>
    <n v="109.62402568"/>
    <n v="1004969.9167583"/>
    <n v="266990.32127088198"/>
    <n v="4993792"/>
    <n v="25240.2931513773"/>
    <n v="0"/>
    <n v="8757.2833744712007"/>
    <n v="0"/>
    <m/>
    <m/>
    <m/>
    <m/>
    <m/>
  </r>
  <r>
    <x v="712"/>
    <n v="1"/>
    <n v="214468471"/>
    <n v="1093000.05605952"/>
    <n v="109.66337589"/>
    <n v="1003515.02187892"/>
    <n v="264088.70975786698"/>
    <n v="5042693"/>
    <n v="25699.179492406402"/>
    <n v="0"/>
    <n v="8882.2027295851003"/>
    <n v="0"/>
    <m/>
    <m/>
    <m/>
    <m/>
    <m/>
  </r>
  <r>
    <x v="713"/>
    <n v="1"/>
    <n v="213380452"/>
    <n v="1090511.84136556"/>
    <n v="107.52497661"/>
    <n v="1001933.31236278"/>
    <n v="241227.550663331"/>
    <n v="4977325"/>
    <n v="25437.343486482299"/>
    <n v="0"/>
    <n v="8755.2556030095002"/>
    <n v="0"/>
    <m/>
    <m/>
    <m/>
    <m/>
    <m/>
  </r>
  <r>
    <x v="714"/>
    <n v="1"/>
    <n v="220169385"/>
    <n v="1080692.0188484699"/>
    <n v="107.1553145"/>
    <n v="995567.07078539405"/>
    <n v="246233.29513510299"/>
    <n v="5247928"/>
    <n v="25759.2303538997"/>
    <n v="0"/>
    <n v="9146.6275747966993"/>
    <n v="0"/>
    <m/>
    <m/>
    <m/>
    <m/>
    <m/>
  </r>
  <r>
    <x v="715"/>
    <n v="1"/>
    <n v="218185637"/>
    <n v="1075919.1133685"/>
    <n v="107.94322524"/>
    <n v="992457.174356926"/>
    <n v="246830.11190964599"/>
    <n v="5033033"/>
    <n v="24818.940776172301"/>
    <n v="0"/>
    <n v="9153.4539144038008"/>
    <n v="0"/>
    <m/>
    <m/>
    <m/>
    <m/>
    <m/>
  </r>
  <r>
    <x v="716"/>
    <n v="1"/>
    <n v="218351399"/>
    <n v="1073665.7274917599"/>
    <n v="107.81238376"/>
    <n v="990855.79095998302"/>
    <n v="222014.92234901199"/>
    <n v="5117226"/>
    <n v="25162.147809411399"/>
    <n v="0"/>
    <n v="9135.8214925337998"/>
    <n v="0"/>
    <m/>
    <m/>
    <m/>
    <m/>
    <m/>
  </r>
  <r>
    <x v="717"/>
    <n v="1"/>
    <n v="215370960"/>
    <n v="1070272.62336629"/>
    <n v="107.29645107"/>
    <n v="988046.184047719"/>
    <n v="227706.49795057601"/>
    <n v="5078503"/>
    <n v="25237.3055707399"/>
    <n v="0"/>
    <n v="9133.2056516892007"/>
    <n v="0"/>
    <m/>
    <m/>
    <m/>
    <m/>
    <m/>
  </r>
  <r>
    <x v="718"/>
    <n v="1"/>
    <n v="216490655"/>
    <n v="1066824.29901936"/>
    <n v="107.29193223999999"/>
    <n v="985822.410802447"/>
    <n v="225460.35895071499"/>
    <n v="5223439"/>
    <n v="25740.102498398399"/>
    <n v="0"/>
    <n v="9074.8838867917002"/>
    <n v="0"/>
    <m/>
    <m/>
    <m/>
    <m/>
    <m/>
  </r>
  <r>
    <x v="719"/>
    <n v="1"/>
    <n v="215999615"/>
    <n v="1060381.02601865"/>
    <n v="108.00322932"/>
    <n v="979091.97685235401"/>
    <n v="225392.23308521899"/>
    <n v="4898993"/>
    <n v="24050.0392734413"/>
    <n v="0"/>
    <n v="8785.5323471783995"/>
    <n v="0"/>
    <m/>
    <m/>
    <m/>
    <m/>
    <m/>
  </r>
  <r>
    <x v="720"/>
    <n v="1"/>
    <n v="208692540"/>
    <n v="1025012.47544204"/>
    <n v="108.15875955"/>
    <n v="946538.14513337403"/>
    <n v="224799.99253598301"/>
    <n v="4800799"/>
    <n v="23579.562868369299"/>
    <n v="0"/>
    <n v="8717.6441800030007"/>
    <n v="0"/>
    <m/>
    <m/>
    <m/>
    <m/>
    <m/>
  </r>
  <r>
    <x v="721"/>
    <n v="1"/>
    <n v="208992533"/>
    <n v="1020620.85754749"/>
    <n v="109.49724798"/>
    <n v="943425.70627615403"/>
    <n v="279206.27351006097"/>
    <n v="4646370"/>
    <n v="22690.677345314201"/>
    <n v="0"/>
    <n v="8713.7804313746001"/>
    <n v="0"/>
    <m/>
    <m/>
    <m/>
    <m/>
    <m/>
  </r>
  <r>
    <x v="722"/>
    <n v="1"/>
    <n v="209228144"/>
    <n v="1020226.9553344999"/>
    <n v="111.26875715"/>
    <n v="942845.07077832101"/>
    <n v="288225.545889428"/>
    <n v="4616326"/>
    <n v="22509.8790715818"/>
    <n v="0"/>
    <n v="8710.0996522740006"/>
    <n v="0"/>
    <m/>
    <m/>
    <m/>
    <m/>
    <m/>
  </r>
  <r>
    <x v="723"/>
    <n v="1"/>
    <n v="206748084"/>
    <n v="1019166.34131913"/>
    <n v="111.15831937"/>
    <n v="941411.69764698099"/>
    <n v="285670.99640297203"/>
    <n v="4579334"/>
    <n v="22573.8637483979"/>
    <n v="0"/>
    <n v="8688.0360402197002"/>
    <n v="0"/>
    <m/>
    <m/>
    <m/>
    <m/>
    <m/>
  </r>
  <r>
    <x v="724"/>
    <n v="1"/>
    <n v="205913338"/>
    <n v="1016906.20771396"/>
    <n v="111.10932"/>
    <n v="939238.38964800898"/>
    <n v="281129.56240154"/>
    <n v="4393549"/>
    <n v="21697.6097585065"/>
    <n v="0"/>
    <n v="8707.9423374524995"/>
    <n v="0"/>
    <m/>
    <m/>
    <m/>
    <m/>
    <m/>
  </r>
  <r>
    <x v="725"/>
    <n v="1"/>
    <n v="210333587"/>
    <n v="1013167.56743737"/>
    <n v="111.1944118"/>
    <n v="936179.49295364297"/>
    <n v="279741.72162299999"/>
    <n v="4443201"/>
    <n v="21402.702312138699"/>
    <n v="0"/>
    <n v="8820.1569948335"/>
    <n v="0"/>
    <m/>
    <m/>
    <m/>
    <m/>
    <m/>
  </r>
  <r>
    <x v="726"/>
    <n v="1"/>
    <n v="211770576"/>
    <n v="1007375.96803348"/>
    <n v="111.94314135"/>
    <n v="933335.19463334198"/>
    <n v="278530.29728991602"/>
    <n v="3896225"/>
    <n v="18534.035772048301"/>
    <n v="0"/>
    <n v="8611.5320961663001"/>
    <n v="0"/>
    <m/>
    <m/>
    <m/>
    <m/>
    <m/>
  </r>
  <r>
    <x v="727"/>
    <n v="1"/>
    <n v="212088301"/>
    <n v="1006111.48481973"/>
    <n v="111.68870289"/>
    <n v="932460.96105573897"/>
    <n v="280375.81349433301"/>
    <n v="3796375"/>
    <n v="18009.369070208701"/>
    <n v="0"/>
    <n v="8822.7521310175998"/>
    <n v="0"/>
    <m/>
    <m/>
    <m/>
    <m/>
    <m/>
  </r>
  <r>
    <x v="728"/>
    <n v="1"/>
    <n v="195442082"/>
    <n v="1002318.48812759"/>
    <n v="112.00522014000001"/>
    <n v="920281.54703356896"/>
    <n v="278635.11438016797"/>
    <n v="3590878"/>
    <n v="18415.703369403502"/>
    <n v="0"/>
    <n v="8845.9150178802993"/>
    <n v="0"/>
    <m/>
    <m/>
    <m/>
    <m/>
    <m/>
  </r>
  <r>
    <x v="729"/>
    <n v="1"/>
    <n v="198864337"/>
    <n v="997063.60992730001"/>
    <n v="112.50968905000001"/>
    <n v="918302.40864061203"/>
    <n v="226218.89160328099"/>
    <n v="3675141"/>
    <n v="18426.377538230099"/>
    <n v="0"/>
    <n v="8885.9663726622002"/>
    <n v="0"/>
    <m/>
    <m/>
    <m/>
    <m/>
    <m/>
  </r>
  <r>
    <x v="730"/>
    <n v="1"/>
    <n v="195461840"/>
    <n v="997406.95004337397"/>
    <n v="112.48931013000001"/>
    <n v="917284.62188560003"/>
    <n v="223480.542461267"/>
    <n v="3585414"/>
    <n v="18295.7289381027"/>
    <n v="0"/>
    <n v="8852.8616052081998"/>
    <n v="0"/>
    <m/>
    <m/>
    <m/>
    <m/>
    <m/>
  </r>
  <r>
    <x v="731"/>
    <n v="1"/>
    <n v="186611789"/>
    <n v="983046.87878628203"/>
    <n v="112.13355045"/>
    <n v="907131.824400899"/>
    <n v="224027.95727408599"/>
    <n v="2346581"/>
    <n v="12361.4865932676"/>
    <n v="0"/>
    <n v="8824.1463458262006"/>
    <n v="0"/>
    <m/>
    <m/>
    <m/>
    <m/>
    <m/>
  </r>
  <r>
    <x v="732"/>
    <n v="1"/>
    <n v="215066580"/>
    <n v="954748.20207759901"/>
    <n v="110.8292893"/>
    <n v="886418.81879946101"/>
    <n v="219153.17740056699"/>
    <n v="2694230"/>
    <n v="11960.534493474201"/>
    <n v="0"/>
    <n v="8829.7154547671998"/>
    <n v="0"/>
    <m/>
    <m/>
    <m/>
    <m/>
    <m/>
  </r>
  <r>
    <x v="733"/>
    <n v="1"/>
    <n v="217455564"/>
    <n v="955890.65013846697"/>
    <n v="110.51957987999999"/>
    <n v="885227.28953821806"/>
    <n v="216230.83491813901"/>
    <n v="2693116"/>
    <n v="11838.392896391"/>
    <n v="0"/>
    <n v="8788.0401801614007"/>
    <n v="0"/>
    <m/>
    <m/>
    <m/>
    <m/>
    <m/>
  </r>
  <r>
    <x v="734"/>
    <n v="1"/>
    <n v="218960843"/>
    <n v="954784.99542144395"/>
    <n v="110.53337639"/>
    <n v="885687.25206601201"/>
    <n v="216763.04147660901"/>
    <n v="2678445"/>
    <n v="11679.435747612601"/>
    <n v="0"/>
    <n v="10357.993693182099"/>
    <n v="0"/>
    <m/>
    <m/>
    <m/>
    <m/>
    <m/>
  </r>
  <r>
    <x v="735"/>
    <n v="1"/>
    <n v="214795463"/>
    <n v="951896.57877243496"/>
    <n v="111.00835214999999"/>
    <n v="880387.80272976798"/>
    <n v="216882.790968163"/>
    <n v="2608255"/>
    <n v="11558.852204741799"/>
    <n v="0"/>
    <n v="8461.2614878229997"/>
    <n v="0"/>
    <m/>
    <m/>
    <m/>
    <m/>
    <m/>
  </r>
  <r>
    <x v="736"/>
    <n v="1"/>
    <n v="212425682"/>
    <n v="945711.34360252798"/>
    <n v="111.52544536000001"/>
    <n v="873684.06000725704"/>
    <n v="215458.85347834401"/>
    <n v="2661759"/>
    <n v="11850.053423559701"/>
    <n v="0"/>
    <n v="8442.2274481188997"/>
    <n v="0"/>
    <m/>
    <m/>
    <m/>
    <m/>
    <m/>
  </r>
  <r>
    <x v="737"/>
    <n v="1"/>
    <n v="215258973"/>
    <n v="944532.571303203"/>
    <n v="111.54342434"/>
    <n v="874062.35330508801"/>
    <n v="204019.26459868901"/>
    <n v="2656084"/>
    <n v="11654.602896007"/>
    <n v="0"/>
    <n v="8542.8837632929008"/>
    <n v="0"/>
    <m/>
    <m/>
    <m/>
    <m/>
    <m/>
  </r>
  <r>
    <x v="738"/>
    <n v="1"/>
    <n v="208877289"/>
    <n v="941906.96699134097"/>
    <n v="110.95019744"/>
    <n v="871184.657236311"/>
    <n v="199908.955865089"/>
    <n v="2594834"/>
    <n v="11701.091269841199"/>
    <n v="0"/>
    <n v="8533.8662198811999"/>
    <n v="0"/>
    <m/>
    <m/>
    <m/>
    <m/>
    <m/>
  </r>
  <r>
    <x v="739"/>
    <n v="1"/>
    <n v="206396488"/>
    <n v="938293.80370050401"/>
    <n v="110.09712845"/>
    <n v="867551.01497193798"/>
    <n v="202493.250243641"/>
    <n v="2865857"/>
    <n v="13028.399327180899"/>
    <n v="0"/>
    <n v="8528.3449019727996"/>
    <n v="0"/>
    <m/>
    <m/>
    <m/>
    <m/>
    <m/>
  </r>
  <r>
    <x v="740"/>
    <n v="1"/>
    <n v="210227655"/>
    <n v="932604.272025552"/>
    <n v="110.06433229"/>
    <n v="864783.13030499604"/>
    <n v="192206.44027291"/>
    <n v="2954090"/>
    <n v="13104.826546003"/>
    <n v="0"/>
    <n v="8522.6910498219004"/>
    <n v="0"/>
    <m/>
    <m/>
    <m/>
    <m/>
    <m/>
  </r>
  <r>
    <x v="741"/>
    <n v="1"/>
    <n v="214580839"/>
    <n v="929323.68557817198"/>
    <n v="110.06433229"/>
    <n v="863764.98612696806"/>
    <n v="189275.06035743601"/>
    <n v="2942085"/>
    <n v="12741.814638371499"/>
    <n v="0"/>
    <n v="8628.2995544787009"/>
    <n v="0"/>
    <m/>
    <m/>
    <m/>
    <m/>
    <m/>
  </r>
  <r>
    <x v="742"/>
    <n v="1"/>
    <n v="216040494"/>
    <n v="928806.938950988"/>
    <n v="110.06433229"/>
    <n v="862827.58574601403"/>
    <n v="204106.55487319201"/>
    <n v="2918199"/>
    <n v="12545.9974204643"/>
    <n v="0"/>
    <n v="8613.3822925072"/>
    <n v="0"/>
    <m/>
    <m/>
    <m/>
    <m/>
    <m/>
  </r>
  <r>
    <x v="743"/>
    <n v="1"/>
    <n v="215060917"/>
    <n v="929711.72834169096"/>
    <n v="110.06433229"/>
    <n v="863490.91474137595"/>
    <n v="204960.40863514299"/>
    <n v="2778901"/>
    <n v="12013.232751167199"/>
    <n v="0"/>
    <n v="8585.7989583031995"/>
    <n v="0"/>
    <m/>
    <m/>
    <m/>
    <m/>
    <m/>
  </r>
  <r>
    <x v="744"/>
    <n v="1"/>
    <n v="206094673"/>
    <n v="930198.018595414"/>
    <n v="110.06433229"/>
    <n v="863029.18533097499"/>
    <n v="205816.98975588"/>
    <n v="2463046"/>
    <n v="11116.835168803"/>
    <n v="0"/>
    <n v="8448.9590010029005"/>
    <n v="0"/>
    <m/>
    <m/>
    <m/>
    <m/>
    <m/>
  </r>
  <r>
    <x v="745"/>
    <n v="1"/>
    <n v="211470309"/>
    <n v="923088.34519184497"/>
    <n v="110.06433229"/>
    <n v="862612.83020240301"/>
    <n v="185176.64279375799"/>
    <n v="1513428"/>
    <n v="6606.259548649"/>
    <n v="0"/>
    <n v="8364.9529226425002"/>
    <n v="0"/>
    <m/>
    <m/>
    <m/>
    <m/>
    <m/>
  </r>
  <r>
    <x v="746"/>
    <n v="1"/>
    <n v="197355567"/>
    <n v="921318.17842304194"/>
    <n v="110.06433229"/>
    <n v="862352.83919888095"/>
    <n v="185516.24696824499"/>
    <n v="93223"/>
    <n v="435.19443536716301"/>
    <n v="0"/>
    <n v="8321.8668131479008"/>
    <n v="0"/>
    <m/>
    <m/>
    <m/>
    <m/>
    <m/>
  </r>
  <r>
    <x v="747"/>
    <n v="1"/>
    <n v="200575746"/>
    <n v="915035.33759123995"/>
    <n v="109.80759444"/>
    <n v="851898.87833992299"/>
    <n v="186274.759236816"/>
    <m/>
    <m/>
    <m/>
    <m/>
    <m/>
    <m/>
    <m/>
    <m/>
    <m/>
    <m/>
  </r>
  <r>
    <x v="748"/>
    <n v="1"/>
    <n v="203238993"/>
    <n v="891711.97349947295"/>
    <n v="110.10055719"/>
    <n v="832414.85355447105"/>
    <n v="185459.33469848699"/>
    <m/>
    <m/>
    <m/>
    <m/>
    <m/>
    <m/>
    <m/>
    <m/>
    <m/>
    <m/>
  </r>
  <r>
    <x v="749"/>
    <n v="1"/>
    <n v="216910076"/>
    <n v="886976.38928644406"/>
    <n v="110.34292539"/>
    <n v="829223.92798692104"/>
    <n v="183685.13832357101"/>
    <m/>
    <m/>
    <m/>
    <m/>
    <m/>
    <m/>
    <m/>
    <m/>
    <m/>
    <m/>
  </r>
  <r>
    <x v="750"/>
    <n v="1"/>
    <n v="213461887"/>
    <n v="886543.26356009603"/>
    <n v="109.95622382000001"/>
    <n v="826925.35511969996"/>
    <n v="186662.97047775"/>
    <m/>
    <m/>
    <m/>
    <m/>
    <m/>
    <m/>
    <m/>
    <m/>
    <m/>
    <m/>
  </r>
  <r>
    <x v="751"/>
    <n v="1"/>
    <n v="218694935"/>
    <n v="882938.08793249598"/>
    <n v="109.3465865"/>
    <n v="824174.05116086197"/>
    <n v="187031.25686080399"/>
    <m/>
    <m/>
    <m/>
    <m/>
    <m/>
    <m/>
    <m/>
    <m/>
    <m/>
    <m/>
  </r>
  <r>
    <x v="752"/>
    <n v="1"/>
    <n v="199701062"/>
    <n v="888508.017440825"/>
    <n v="109.62275142999999"/>
    <n v="823698.14519444795"/>
    <n v="188592.95288506601"/>
    <m/>
    <m/>
    <m/>
    <m/>
    <m/>
    <m/>
    <m/>
    <m/>
    <m/>
    <m/>
  </r>
  <r>
    <x v="753"/>
    <n v="1"/>
    <n v="186510085"/>
    <n v="889074.67346744204"/>
    <n v="109.73578858"/>
    <n v="823295.96514483099"/>
    <n v="188047.15121042001"/>
    <m/>
    <m/>
    <m/>
    <m/>
    <m/>
    <m/>
    <m/>
    <m/>
    <m/>
    <m/>
  </r>
  <r>
    <x v="754"/>
    <n v="1"/>
    <n v="184954799"/>
    <n v="887541.62387830496"/>
    <n v="108.22656427"/>
    <n v="823015.25908634497"/>
    <n v="184337.185888685"/>
    <m/>
    <m/>
    <m/>
    <m/>
    <m/>
    <m/>
    <m/>
    <m/>
    <m/>
    <m/>
  </r>
  <r>
    <x v="755"/>
    <n v="1"/>
    <n v="174033502"/>
    <n v="887744.85819220496"/>
    <n v="108.2961399"/>
    <n v="821511.87325135304"/>
    <n v="186569.966016391"/>
    <m/>
    <m/>
    <m/>
    <m/>
    <m/>
    <m/>
    <m/>
    <m/>
    <m/>
    <m/>
  </r>
  <r>
    <x v="756"/>
    <n v="1"/>
    <n v="189954707"/>
    <n v="862959.78102852905"/>
    <n v="107.96253611"/>
    <n v="802705.81955184799"/>
    <n v="182210.51040945199"/>
    <m/>
    <m/>
    <m/>
    <m/>
    <m/>
    <m/>
    <m/>
    <m/>
    <m/>
    <m/>
  </r>
  <r>
    <x v="757"/>
    <n v="1"/>
    <n v="191092152"/>
    <n v="862251.38525403803"/>
    <n v="107.80900268000001"/>
    <n v="800082.34377829195"/>
    <n v="181538.015568584"/>
    <m/>
    <m/>
    <m/>
    <m/>
    <m/>
    <m/>
    <m/>
    <m/>
    <m/>
    <m/>
  </r>
  <r>
    <x v="758"/>
    <n v="1"/>
    <n v="179784064"/>
    <n v="860746.22492459405"/>
    <n v="107.41283322"/>
    <n v="795288.70453323296"/>
    <n v="184786.15761236401"/>
    <m/>
    <m/>
    <m/>
    <m/>
    <m/>
    <m/>
    <m/>
    <m/>
    <m/>
    <m/>
  </r>
  <r>
    <x v="759"/>
    <n v="1"/>
    <n v="180436801"/>
    <n v="854057.84541108506"/>
    <n v="107.33505752000001"/>
    <n v="789686.21789659001"/>
    <n v="190262.13604232299"/>
    <m/>
    <m/>
    <m/>
    <m/>
    <m/>
    <m/>
    <m/>
    <m/>
    <m/>
    <m/>
  </r>
  <r>
    <x v="760"/>
    <n v="1"/>
    <n v="156799495"/>
    <n v="856687.40097251802"/>
    <n v="106.33998859"/>
    <n v="786479.26204253105"/>
    <n v="187950.74360822799"/>
    <m/>
    <m/>
    <m/>
    <m/>
    <m/>
    <m/>
    <m/>
    <m/>
    <m/>
    <m/>
  </r>
  <r>
    <x v="761"/>
    <n v="1"/>
    <n v="153120229"/>
    <n v="827006.36780988297"/>
    <n v="107.15508500999999"/>
    <n v="759381.37850630004"/>
    <n v="191647.24806301799"/>
    <m/>
    <m/>
    <m/>
    <m/>
    <m/>
    <m/>
    <m/>
    <m/>
    <m/>
    <m/>
  </r>
  <r>
    <x v="762"/>
    <n v="1"/>
    <n v="153777841"/>
    <n v="780083.40181605995"/>
    <n v="107.51290219000001"/>
    <n v="718416.30780850898"/>
    <n v="183964.318568663"/>
    <m/>
    <m/>
    <m/>
    <m/>
    <m/>
    <m/>
    <m/>
    <m/>
    <m/>
    <m/>
  </r>
  <r>
    <x v="763"/>
    <n v="1"/>
    <n v="145792039"/>
    <n v="743874.88647379901"/>
    <n v="110.38183764999999"/>
    <n v="682873.73662875197"/>
    <n v="177741.36470655899"/>
    <m/>
    <m/>
    <m/>
    <m/>
    <m/>
    <m/>
    <m/>
    <m/>
    <m/>
    <m/>
  </r>
  <r>
    <x v="764"/>
    <n v="1"/>
    <n v="138545111"/>
    <n v="704096.71697921399"/>
    <n v="111.09242236999999"/>
    <n v="643589.40214654198"/>
    <n v="177616.65320818199"/>
    <m/>
    <m/>
    <m/>
    <m/>
    <m/>
    <m/>
    <m/>
    <m/>
    <m/>
    <m/>
  </r>
  <r>
    <x v="765"/>
    <n v="1"/>
    <n v="139095514"/>
    <n v="646534.87961327401"/>
    <n v="111.36531852"/>
    <n v="590320.11732429697"/>
    <n v="172274.620623047"/>
    <m/>
    <m/>
    <m/>
    <m/>
    <m/>
    <m/>
    <m/>
    <m/>
    <m/>
    <m/>
  </r>
  <r>
    <x v="766"/>
    <n v="1"/>
    <n v="137659327"/>
    <n v="599666.00017424603"/>
    <n v="111.99936927"/>
    <n v="544074.46325362194"/>
    <n v="181705.334581609"/>
    <m/>
    <m/>
    <m/>
    <m/>
    <m/>
    <m/>
    <m/>
    <m/>
    <m/>
    <m/>
  </r>
  <r>
    <x v="767"/>
    <n v="1"/>
    <n v="140767634"/>
    <n v="616671.63446795405"/>
    <n v="112.54996856"/>
    <n v="561647.32376593095"/>
    <n v="182148.262054819"/>
    <m/>
    <m/>
    <m/>
    <m/>
    <m/>
    <m/>
    <m/>
    <m/>
    <m/>
    <m/>
  </r>
  <r>
    <x v="768"/>
    <n v="1"/>
    <n v="172350784"/>
    <n v="604251.95105704095"/>
    <n v="112.54934894"/>
    <n v="555435.28093422495"/>
    <n v="178129.35737934901"/>
    <m/>
    <m/>
    <m/>
    <m/>
    <m/>
    <m/>
    <m/>
    <m/>
    <m/>
    <m/>
  </r>
  <r>
    <x v="769"/>
    <n v="1"/>
    <n v="175215901"/>
    <n v="606346.336989998"/>
    <n v="112.35012621"/>
    <n v="552819.17268291302"/>
    <n v="179527.366918332"/>
    <m/>
    <m/>
    <m/>
    <m/>
    <m/>
    <m/>
    <m/>
    <m/>
    <m/>
    <m/>
  </r>
  <r>
    <x v="770"/>
    <n v="1"/>
    <n v="180999875"/>
    <n v="613517.30391159898"/>
    <n v="112.08730573"/>
    <n v="552585.85675680195"/>
    <n v="165366.75829808399"/>
    <m/>
    <m/>
    <m/>
    <m/>
    <m/>
    <m/>
    <m/>
    <m/>
    <m/>
    <m/>
  </r>
  <r>
    <x v="771"/>
    <n v="1"/>
    <n v="181561342"/>
    <n v="614712.01923076902"/>
    <n v="111.37082562000001"/>
    <n v="552033.91113932105"/>
    <n v="166304.960219525"/>
    <m/>
    <m/>
    <m/>
    <m/>
    <m/>
    <m/>
    <m/>
    <m/>
    <m/>
    <m/>
  </r>
  <r>
    <x v="772"/>
    <n v="1"/>
    <n v="171377063"/>
    <n v="608475.28137759597"/>
    <n v="108.05413018"/>
    <n v="548803.98803728702"/>
    <n v="168242.32503777501"/>
    <m/>
    <m/>
    <m/>
    <m/>
    <m/>
    <m/>
    <m/>
    <m/>
    <m/>
    <m/>
  </r>
  <r>
    <x v="773"/>
    <n v="1"/>
    <n v="172760720"/>
    <n v="607991.27221537905"/>
    <n v="108.05413018"/>
    <n v="548508.62372562801"/>
    <n v="165564.38038704399"/>
    <m/>
    <m/>
    <m/>
    <m/>
    <m/>
    <m/>
    <m/>
    <m/>
    <m/>
    <m/>
  </r>
  <r>
    <x v="774"/>
    <n v="1"/>
    <n v="175821755"/>
    <n v="609075.25894620095"/>
    <n v="100.93124817"/>
    <n v="548071.37560266501"/>
    <n v="166814.06807124001"/>
    <m/>
    <m/>
    <m/>
    <m/>
    <m/>
    <m/>
    <m/>
    <m/>
    <m/>
    <m/>
  </r>
  <r>
    <x v="775"/>
    <n v="1"/>
    <n v="179977135"/>
    <n v="608956.640162408"/>
    <n v="99.235363419999999"/>
    <n v="547386.26608408103"/>
    <n v="173860.232905827"/>
    <m/>
    <m/>
    <m/>
    <m/>
    <m/>
    <m/>
    <m/>
    <m/>
    <m/>
    <m/>
  </r>
  <r>
    <x v="776"/>
    <n v="1"/>
    <n v="174458547"/>
    <n v="605716.78008471604"/>
    <n v="97.365461089999997"/>
    <n v="546405.89756144502"/>
    <n v="178339.855321112"/>
    <m/>
    <m/>
    <m/>
    <m/>
    <m/>
    <m/>
    <m/>
    <m/>
    <m/>
    <m/>
  </r>
  <r>
    <x v="777"/>
    <n v="1"/>
    <n v="165799021"/>
    <n v="604444.11593146098"/>
    <n v="98.169933990000004"/>
    <n v="543895.83978007699"/>
    <n v="177585.63666975001"/>
    <m/>
    <m/>
    <m/>
    <m/>
    <m/>
    <m/>
    <m/>
    <m/>
    <m/>
    <m/>
  </r>
  <r>
    <x v="778"/>
    <n v="1"/>
    <n v="167438517"/>
    <n v="603251.610462602"/>
    <n v="96.218342370000002"/>
    <n v="543231.59789658396"/>
    <n v="197309.22202985699"/>
    <m/>
    <m/>
    <m/>
    <m/>
    <m/>
    <m/>
    <m/>
    <m/>
    <m/>
    <m/>
  </r>
  <r>
    <x v="779"/>
    <n v="1"/>
    <n v="168357612"/>
    <n v="598349.54686000606"/>
    <n v="94.210976590000001"/>
    <n v="543003.468260539"/>
    <n v="199093.594709703"/>
    <m/>
    <m/>
    <m/>
    <m/>
    <m/>
    <m/>
    <m/>
    <m/>
    <m/>
    <m/>
  </r>
  <r>
    <x v="780"/>
    <n v="1"/>
    <n v="162000470"/>
    <n v="587319.97969763901"/>
    <n v="93.04467081"/>
    <n v="538033.69157991803"/>
    <n v="200257.91462741999"/>
    <m/>
    <m/>
    <m/>
    <m/>
    <m/>
    <m/>
    <m/>
    <m/>
    <m/>
    <m/>
  </r>
  <r>
    <x v="781"/>
    <n v="1"/>
    <n v="157258194"/>
    <n v="581662.20594762499"/>
    <n v="91.593501430000003"/>
    <n v="533321.95242869703"/>
    <n v="199799.81510841899"/>
    <m/>
    <m/>
    <m/>
    <m/>
    <m/>
    <m/>
    <m/>
    <m/>
    <m/>
    <m/>
  </r>
  <r>
    <x v="782"/>
    <n v="1"/>
    <n v="164107148"/>
    <n v="583741.14466616802"/>
    <n v="91.688142049999996"/>
    <n v="528292.98810183001"/>
    <n v="196181.395324871"/>
    <m/>
    <m/>
    <m/>
    <m/>
    <m/>
    <m/>
    <m/>
    <m/>
    <m/>
    <m/>
  </r>
  <r>
    <x v="783"/>
    <n v="1"/>
    <n v="157624090"/>
    <n v="582154.26946373098"/>
    <n v="89.040685069999995"/>
    <n v="524352.32607858605"/>
    <n v="196009.32243739101"/>
    <m/>
    <m/>
    <m/>
    <m/>
    <m/>
    <m/>
    <m/>
    <m/>
    <m/>
    <m/>
  </r>
  <r>
    <x v="784"/>
    <n v="1"/>
    <n v="169444920"/>
    <n v="565532.74147253099"/>
    <n v="84.553057170000002"/>
    <n v="522218.06098637503"/>
    <n v="197946.022717488"/>
    <m/>
    <m/>
    <m/>
    <m/>
    <m/>
    <m/>
    <m/>
    <m/>
    <m/>
    <m/>
  </r>
  <r>
    <x v="785"/>
    <n v="1"/>
    <n v="166901716"/>
    <n v="566056.35407834395"/>
    <n v="84.258248170000002"/>
    <n v="520803.42353599798"/>
    <n v="200190.85384100099"/>
    <m/>
    <m/>
    <m/>
    <m/>
    <m/>
    <m/>
    <m/>
    <m/>
    <m/>
    <m/>
  </r>
  <r>
    <x v="786"/>
    <n v="1"/>
    <n v="181852154"/>
    <n v="572636.43921025295"/>
    <n v="84.80284528"/>
    <n v="519545.02107420599"/>
    <n v="195354.688733769"/>
    <m/>
    <m/>
    <m/>
    <m/>
    <m/>
    <m/>
    <m/>
    <m/>
    <m/>
    <m/>
  </r>
  <r>
    <x v="787"/>
    <n v="1"/>
    <n v="162157007"/>
    <n v="565401.00069735001"/>
    <n v="84.061492029999997"/>
    <n v="519597.796150168"/>
    <n v="191176.513049917"/>
    <m/>
    <m/>
    <m/>
    <m/>
    <m/>
    <m/>
    <m/>
    <m/>
    <m/>
    <m/>
  </r>
  <r>
    <x v="788"/>
    <n v="1"/>
    <n v="158364913"/>
    <n v="563095.26738728397"/>
    <n v="83.422616410000003"/>
    <n v="519338.06933521299"/>
    <n v="192963.59238378599"/>
    <m/>
    <m/>
    <m/>
    <m/>
    <m/>
    <m/>
    <m/>
    <m/>
    <m/>
    <m/>
  </r>
  <r>
    <x v="789"/>
    <n v="1"/>
    <n v="155522792"/>
    <n v="558811.368617728"/>
    <n v="82.536070289999998"/>
    <n v="515536.779013475"/>
    <n v="193463.427819403"/>
    <m/>
    <m/>
    <m/>
    <m/>
    <m/>
    <m/>
    <m/>
    <m/>
    <m/>
    <m/>
  </r>
  <r>
    <x v="790"/>
    <n v="1"/>
    <n v="156896201"/>
    <n v="552393.06059219094"/>
    <n v="82.451217990000004"/>
    <n v="510232.90097038302"/>
    <n v="191251.06854977601"/>
    <m/>
    <m/>
    <m/>
    <m/>
    <m/>
    <m/>
    <m/>
    <m/>
    <m/>
    <m/>
  </r>
  <r>
    <x v="791"/>
    <n v="1"/>
    <n v="166267346"/>
    <n v="522508.23669903498"/>
    <n v="81.211536089999996"/>
    <n v="481403.78913768101"/>
    <n v="189150.18477395701"/>
    <m/>
    <m/>
    <m/>
    <m/>
    <m/>
    <m/>
    <m/>
    <m/>
    <m/>
    <m/>
  </r>
  <r>
    <x v="792"/>
    <n v="1"/>
    <n v="164880229"/>
    <n v="518507.59143369203"/>
    <n v="82.205234250000004"/>
    <n v="476672.69316740503"/>
    <n v="192471.40270283501"/>
    <m/>
    <m/>
    <m/>
    <m/>
    <m/>
    <m/>
    <m/>
    <m/>
    <m/>
    <m/>
  </r>
  <r>
    <x v="793"/>
    <n v="1"/>
    <n v="163822820"/>
    <n v="494097.05633972702"/>
    <n v="82.025310480000002"/>
    <n v="452425.74890133197"/>
    <n v="187109.479631733"/>
    <m/>
    <m/>
    <m/>
    <m/>
    <m/>
    <m/>
    <m/>
    <m/>
    <m/>
    <m/>
  </r>
  <r>
    <x v="794"/>
    <n v="1"/>
    <n v="175480266"/>
    <n v="482738.48312288499"/>
    <n v="81.593884399999993"/>
    <n v="444625.96447789599"/>
    <n v="195547.94022528199"/>
    <m/>
    <m/>
    <m/>
    <m/>
    <m/>
    <m/>
    <m/>
    <m/>
    <m/>
    <m/>
  </r>
  <r>
    <x v="795"/>
    <n v="1"/>
    <n v="169052859"/>
    <n v="475441.85111229803"/>
    <n v="80.742125869999995"/>
    <n v="434598.33100761601"/>
    <n v="193718.58041590199"/>
    <m/>
    <m/>
    <m/>
    <m/>
    <m/>
    <m/>
    <m/>
    <m/>
    <m/>
    <m/>
  </r>
  <r>
    <x v="796"/>
    <n v="1"/>
    <n v="169799074"/>
    <n v="449275.21299677202"/>
    <n v="80.360014629999995"/>
    <n v="400071.04514723102"/>
    <n v="199283.67175847001"/>
    <m/>
    <m/>
    <m/>
    <m/>
    <m/>
    <m/>
    <m/>
    <m/>
    <m/>
    <m/>
  </r>
  <r>
    <x v="797"/>
    <n v="1"/>
    <n v="182019699"/>
    <n v="449486.84775898198"/>
    <n v="80.38984653"/>
    <n v="400057.03553355997"/>
    <n v="188223.53733444499"/>
    <m/>
    <m/>
    <m/>
    <m/>
    <m/>
    <m/>
    <m/>
    <m/>
    <m/>
    <m/>
  </r>
  <r>
    <x v="798"/>
    <n v="1"/>
    <n v="184078439"/>
    <n v="450311.75448896701"/>
    <n v="79.210201560000002"/>
    <n v="398299.75205865601"/>
    <n v="186046.69093503599"/>
    <m/>
    <m/>
    <m/>
    <m/>
    <m/>
    <m/>
    <m/>
    <m/>
    <m/>
    <m/>
  </r>
  <r>
    <x v="799"/>
    <n v="1"/>
    <n v="182816751"/>
    <n v="449280.55589688098"/>
    <n v="77.379306560000003"/>
    <n v="397368.44322229299"/>
    <n v="184037.89306350701"/>
    <m/>
    <m/>
    <m/>
    <m/>
    <m/>
    <m/>
    <m/>
    <m/>
    <m/>
    <m/>
  </r>
  <r>
    <x v="800"/>
    <n v="1"/>
    <n v="186439572"/>
    <n v="446433.532876777"/>
    <n v="91.344701430000001"/>
    <n v="396057.720748919"/>
    <n v="186064.33825676801"/>
    <m/>
    <m/>
    <m/>
    <m/>
    <m/>
    <m/>
    <m/>
    <m/>
    <m/>
    <m/>
  </r>
  <r>
    <x v="801"/>
    <n v="1"/>
    <n v="183822817"/>
    <n v="447442.53584207501"/>
    <n v="91.330285880000005"/>
    <n v="393443.49501109798"/>
    <n v="196460.50250362101"/>
    <m/>
    <m/>
    <m/>
    <m/>
    <m/>
    <m/>
    <m/>
    <m/>
    <m/>
    <m/>
  </r>
  <r>
    <x v="802"/>
    <n v="1"/>
    <n v="187488159"/>
    <n v="446538.59289780102"/>
    <n v="91.590631139999999"/>
    <n v="392156.15784335398"/>
    <n v="195098.72163367001"/>
    <m/>
    <m/>
    <m/>
    <m/>
    <m/>
    <m/>
    <m/>
    <m/>
    <m/>
    <m/>
  </r>
  <r>
    <x v="803"/>
    <n v="1"/>
    <n v="192232034"/>
    <n v="445012.46382850601"/>
    <n v="93.096870499999994"/>
    <n v="390148.47305598599"/>
    <n v="203420.99648964999"/>
    <m/>
    <m/>
    <m/>
    <m/>
    <m/>
    <m/>
    <m/>
    <m/>
    <m/>
    <m/>
  </r>
  <r>
    <x v="804"/>
    <n v="1"/>
    <n v="196046601"/>
    <n v="429399.42395303998"/>
    <n v="94.04158932"/>
    <n v="387565.27400362497"/>
    <n v="213805.45664572201"/>
    <m/>
    <m/>
    <m/>
    <m/>
    <m/>
    <m/>
    <m/>
    <m/>
    <m/>
    <m/>
  </r>
  <r>
    <x v="805"/>
    <n v="1"/>
    <n v="206034861"/>
    <n v="441945.218790218"/>
    <n v="93.796637380000007"/>
    <n v="385846.33299829502"/>
    <n v="208500.61838432"/>
    <m/>
    <m/>
    <m/>
    <m/>
    <m/>
    <m/>
    <m/>
    <m/>
    <m/>
    <m/>
  </r>
  <r>
    <x v="806"/>
    <n v="1"/>
    <n v="206570838"/>
    <n v="440872.56002560997"/>
    <n v="94.144820460000005"/>
    <n v="386552.22356796497"/>
    <n v="217134.80496384899"/>
    <m/>
    <m/>
    <m/>
    <m/>
    <m/>
    <m/>
    <m/>
    <m/>
    <m/>
    <m/>
  </r>
  <r>
    <x v="807"/>
    <n v="1"/>
    <n v="206634790"/>
    <n v="439938.66167046299"/>
    <n v="94.376305470000005"/>
    <n v="386022.66053514701"/>
    <n v="221834.95715067201"/>
    <m/>
    <m/>
    <m/>
    <m/>
    <m/>
    <m/>
    <m/>
    <m/>
    <m/>
    <m/>
  </r>
  <r>
    <x v="808"/>
    <n v="1"/>
    <n v="203415278"/>
    <n v="440264.22093803401"/>
    <n v="94.218955230000006"/>
    <n v="385249.38764915097"/>
    <n v="223994.075385951"/>
    <m/>
    <m/>
    <m/>
    <m/>
    <m/>
    <m/>
    <m/>
    <m/>
    <m/>
    <m/>
  </r>
  <r>
    <x v="809"/>
    <n v="1"/>
    <n v="205908268"/>
    <n v="436866.45874440402"/>
    <n v="91.655182640000007"/>
    <n v="384762.62102545099"/>
    <n v="221649.35698595"/>
    <m/>
    <m/>
    <m/>
    <m/>
    <m/>
    <m/>
    <m/>
    <m/>
    <m/>
    <m/>
  </r>
  <r>
    <x v="810"/>
    <n v="1"/>
    <n v="209302726"/>
    <n v="436647.73647098098"/>
    <n v="92.378698790000001"/>
    <n v="384108.38780028297"/>
    <n v="224004.177444017"/>
    <m/>
    <m/>
    <m/>
    <m/>
    <m/>
    <m/>
    <m/>
    <m/>
    <m/>
    <m/>
  </r>
  <r>
    <x v="811"/>
    <n v="1"/>
    <n v="198639099"/>
    <n v="441783.46418165998"/>
    <n v="93.434606869999996"/>
    <n v="384182.30864603602"/>
    <n v="223402.89279276301"/>
    <m/>
    <m/>
    <m/>
    <m/>
    <m/>
    <m/>
    <m/>
    <m/>
    <m/>
    <m/>
  </r>
  <r>
    <x v="812"/>
    <n v="1"/>
    <n v="200162073"/>
    <n v="437369.32808915101"/>
    <n v="92.160007410000006"/>
    <n v="384034.71217098698"/>
    <n v="225796.86473713501"/>
    <m/>
    <m/>
    <m/>
    <m/>
    <m/>
    <m/>
    <m/>
    <m/>
    <m/>
    <m/>
  </r>
  <r>
    <x v="813"/>
    <n v="1"/>
    <n v="201035235"/>
    <n v="436047.27355543902"/>
    <n v="83.678371729999995"/>
    <n v="383707.03368366702"/>
    <n v="230202.960625173"/>
    <m/>
    <m/>
    <m/>
    <m/>
    <m/>
    <m/>
    <m/>
    <m/>
    <m/>
    <m/>
  </r>
  <r>
    <x v="814"/>
    <n v="1"/>
    <n v="195704666"/>
    <n v="436023.22876748902"/>
    <n v="75.929087159999995"/>
    <n v="383595.56631491199"/>
    <n v="236902.34069775499"/>
    <m/>
    <m/>
    <m/>
    <m/>
    <m/>
    <m/>
    <m/>
    <m/>
    <m/>
    <m/>
  </r>
  <r>
    <x v="815"/>
    <n v="1"/>
    <n v="202893479"/>
    <n v="432931.78064653801"/>
    <n v="76.011322379999996"/>
    <n v="381937.47247638798"/>
    <n v="238377.87465864001"/>
    <m/>
    <m/>
    <m/>
    <m/>
    <m/>
    <m/>
    <m/>
    <m/>
    <m/>
    <m/>
  </r>
  <r>
    <x v="816"/>
    <n v="1"/>
    <n v="207517242"/>
    <n v="433203.01860008697"/>
    <n v="75.203057810000004"/>
    <n v="379602.503933303"/>
    <n v="239027.79818778599"/>
    <m/>
    <m/>
    <m/>
    <m/>
    <m/>
    <m/>
    <m/>
    <m/>
    <m/>
    <m/>
  </r>
  <r>
    <x v="817"/>
    <n v="1"/>
    <n v="213345335"/>
    <n v="427494.35939566302"/>
    <n v="114.58497577999999"/>
    <n v="378032.90356505802"/>
    <n v="237304.26766675001"/>
    <m/>
    <m/>
    <m/>
    <m/>
    <m/>
    <m/>
    <m/>
    <m/>
    <m/>
    <m/>
  </r>
  <r>
    <x v="818"/>
    <n v="1"/>
    <n v="205774418"/>
    <n v="429762.15617885999"/>
    <n v="113.92443548999999"/>
    <n v="377154.39265550801"/>
    <n v="234727.153335879"/>
    <m/>
    <m/>
    <m/>
    <m/>
    <m/>
    <m/>
    <m/>
    <m/>
    <m/>
    <m/>
  </r>
  <r>
    <x v="819"/>
    <n v="1"/>
    <n v="191639918"/>
    <n v="426226.40896757197"/>
    <n v="111.77397618000001"/>
    <n v="376101.06026248302"/>
    <n v="239032.20973831799"/>
    <m/>
    <m/>
    <m/>
    <m/>
    <m/>
    <m/>
    <m/>
    <m/>
    <m/>
    <m/>
  </r>
  <r>
    <x v="820"/>
    <n v="1"/>
    <n v="184306210"/>
    <n v="424923.24895098398"/>
    <n v="106.15653417"/>
    <n v="375513.410302829"/>
    <n v="238722.37663826399"/>
    <m/>
    <m/>
    <m/>
    <m/>
    <m/>
    <m/>
    <m/>
    <m/>
    <m/>
    <m/>
  </r>
  <r>
    <x v="821"/>
    <n v="1"/>
    <n v="180564600"/>
    <n v="417529.02002497303"/>
    <n v="101.43720362000001"/>
    <n v="373450.57347251597"/>
    <n v="231463.21999769501"/>
    <m/>
    <m/>
    <m/>
    <m/>
    <m/>
    <m/>
    <m/>
    <m/>
    <m/>
    <m/>
  </r>
  <r>
    <x v="822"/>
    <n v="1"/>
    <n v="178199538"/>
    <n v="413542.359193335"/>
    <n v="93.508820040000003"/>
    <n v="372216.85940564098"/>
    <n v="234471.287445522"/>
    <m/>
    <m/>
    <m/>
    <m/>
    <m/>
    <m/>
    <m/>
    <m/>
    <m/>
    <m/>
  </r>
  <r>
    <x v="823"/>
    <n v="1"/>
    <n v="183518500"/>
    <n v="411855.06856078398"/>
    <n v="87.739118660000003"/>
    <n v="371380.067863381"/>
    <n v="235385.43042242"/>
    <m/>
    <m/>
    <m/>
    <m/>
    <m/>
    <m/>
    <m/>
    <m/>
    <m/>
    <m/>
  </r>
  <r>
    <x v="824"/>
    <n v="1"/>
    <n v="174692638"/>
    <n v="403736.24997111002"/>
    <n v="82.238842919999996"/>
    <n v="368585.00662359397"/>
    <n v="227936.688040162"/>
    <m/>
    <m/>
    <m/>
    <m/>
    <m/>
    <m/>
    <m/>
    <m/>
    <m/>
    <m/>
  </r>
  <r>
    <x v="825"/>
    <n v="1"/>
    <n v="187821325"/>
    <n v="398365.41316704801"/>
    <n v="79.959287979999999"/>
    <n v="365243.821383167"/>
    <n v="234759.15385814101"/>
    <m/>
    <m/>
    <m/>
    <m/>
    <m/>
    <m/>
    <m/>
    <m/>
    <m/>
    <m/>
  </r>
  <r>
    <x v="826"/>
    <n v="1"/>
    <n v="207255771"/>
    <n v="426285.54885949899"/>
    <n v="77.399830120000004"/>
    <n v="364732.47195613198"/>
    <n v="231632.249080935"/>
    <m/>
    <m/>
    <m/>
    <m/>
    <m/>
    <m/>
    <m/>
    <m/>
    <m/>
    <m/>
  </r>
  <r>
    <x v="827"/>
    <n v="1"/>
    <n v="206439565"/>
    <n v="424930.14902638801"/>
    <n v="73.588922999999994"/>
    <n v="362835.66612507601"/>
    <n v="237902.26476475201"/>
    <m/>
    <m/>
    <m/>
    <m/>
    <m/>
    <m/>
    <m/>
    <m/>
    <m/>
    <m/>
  </r>
  <r>
    <x v="828"/>
    <n v="1"/>
    <n v="200200600"/>
    <n v="426022.17351520399"/>
    <n v="72.720299659999995"/>
    <n v="361589.71087615303"/>
    <n v="232632.30696552599"/>
    <m/>
    <m/>
    <m/>
    <m/>
    <m/>
    <m/>
    <m/>
    <m/>
    <m/>
    <m/>
  </r>
  <r>
    <x v="829"/>
    <n v="1"/>
    <n v="199678657"/>
    <n v="427074.44551384798"/>
    <n v="69.411445990000004"/>
    <n v="361649.97679707"/>
    <n v="223274.90008712199"/>
    <m/>
    <m/>
    <m/>
    <m/>
    <m/>
    <m/>
    <m/>
    <m/>
    <m/>
    <m/>
  </r>
  <r>
    <x v="830"/>
    <n v="1"/>
    <n v="201148116"/>
    <n v="430548.84736402699"/>
    <n v="69.080596499999999"/>
    <n v="360593.758660967"/>
    <n v="220215.383999821"/>
    <m/>
    <m/>
    <m/>
    <m/>
    <m/>
    <m/>
    <m/>
    <m/>
    <m/>
    <m/>
  </r>
  <r>
    <x v="831"/>
    <n v="1"/>
    <n v="201199595"/>
    <n v="435695.002057212"/>
    <n v="62.089569019999999"/>
    <n v="360334.11831068201"/>
    <n v="219311.77669902201"/>
    <m/>
    <m/>
    <m/>
    <m/>
    <m/>
    <m/>
    <m/>
    <m/>
    <m/>
    <m/>
  </r>
  <r>
    <x v="832"/>
    <n v="1"/>
    <n v="206330008"/>
    <n v="432938.872802047"/>
    <n v="55.84343105"/>
    <n v="358938.27566773503"/>
    <n v="217666.69946509699"/>
    <m/>
    <m/>
    <m/>
    <m/>
    <m/>
    <m/>
    <m/>
    <m/>
    <m/>
    <m/>
  </r>
  <r>
    <x v="833"/>
    <n v="1"/>
    <n v="192261833"/>
    <n v="425395.68324630498"/>
    <n v="54.677378529999999"/>
    <n v="356828.575534923"/>
    <n v="220131.33226244801"/>
    <m/>
    <m/>
    <m/>
    <m/>
    <m/>
    <m/>
    <m/>
    <m/>
    <m/>
    <m/>
  </r>
  <r>
    <x v="834"/>
    <n v="1"/>
    <n v="189629827"/>
    <n v="418230.35883637302"/>
    <n v="45.885313600000003"/>
    <n v="350494.67557090701"/>
    <n v="220185.544805054"/>
    <m/>
    <m/>
    <m/>
    <m/>
    <m/>
    <m/>
    <m/>
    <m/>
    <m/>
    <m/>
  </r>
  <r>
    <x v="835"/>
    <n v="1"/>
    <n v="181331022"/>
    <n v="416603.91949639202"/>
    <n v="38.19473078"/>
    <n v="349243.14051202597"/>
    <n v="220185.544805054"/>
    <m/>
    <m/>
    <m/>
    <m/>
    <m/>
    <m/>
    <m/>
    <m/>
    <m/>
    <m/>
  </r>
  <r>
    <x v="836"/>
    <n v="1"/>
    <n v="151404933"/>
    <n v="359888.12217732298"/>
    <n v="32.966639649999998"/>
    <n v="312555.60005195398"/>
    <n v="222864.264897254"/>
    <m/>
    <m/>
    <m/>
    <m/>
    <m/>
    <m/>
    <m/>
    <m/>
    <m/>
    <m/>
  </r>
  <r>
    <x v="837"/>
    <n v="1"/>
    <n v="152731150"/>
    <n v="345741.14318053197"/>
    <n v="30.66148218"/>
    <n v="301982.113356677"/>
    <n v="220695.14878356201"/>
    <m/>
    <m/>
    <m/>
    <m/>
    <m/>
    <m/>
    <m/>
    <m/>
    <m/>
    <m/>
  </r>
  <r>
    <x v="838"/>
    <n v="1"/>
    <n v="148676936"/>
    <n v="345848.78922515002"/>
    <n v="29.803559310000001"/>
    <n v="298945.999949352"/>
    <n v="219498.84489317401"/>
    <m/>
    <m/>
    <m/>
    <m/>
    <m/>
    <m/>
    <m/>
    <m/>
    <m/>
    <m/>
  </r>
  <r>
    <x v="839"/>
    <n v="1"/>
    <n v="156738044"/>
    <n v="341618.63080578001"/>
    <n v="29.189775480000002"/>
    <n v="298101.71188592201"/>
    <n v="217996.607111119"/>
    <m/>
    <m/>
    <m/>
    <m/>
    <m/>
    <m/>
    <m/>
    <m/>
    <m/>
    <m/>
  </r>
  <r>
    <x v="840"/>
    <n v="1"/>
    <n v="156839697"/>
    <n v="344513.33772652299"/>
    <n v="27.979434829999999"/>
    <n v="298227.847222857"/>
    <n v="219530.43271988101"/>
    <m/>
    <m/>
    <m/>
    <m/>
    <m/>
    <m/>
    <m/>
    <m/>
    <m/>
    <m/>
  </r>
  <r>
    <x v="841"/>
    <n v="1"/>
    <n v="142552371"/>
    <n v="300629.235733265"/>
    <n v="27.08908825"/>
    <n v="255658.02275537601"/>
    <n v="217899.36544089901"/>
    <m/>
    <m/>
    <m/>
    <m/>
    <m/>
    <m/>
    <m/>
    <m/>
    <m/>
    <m/>
  </r>
  <r>
    <x v="842"/>
    <n v="1"/>
    <n v="140079561"/>
    <n v="303097.544140557"/>
    <n v="26.760966440000001"/>
    <n v="255432.28097001501"/>
    <n v="219288.81246769999"/>
    <m/>
    <m/>
    <m/>
    <m/>
    <m/>
    <m/>
    <m/>
    <m/>
    <m/>
    <m/>
  </r>
  <r>
    <x v="843"/>
    <n v="1"/>
    <n v="155782164"/>
    <n v="296310.27504089399"/>
    <n v="26.15496211"/>
    <n v="253912.53587048899"/>
    <n v="214794.22650842901"/>
    <m/>
    <m/>
    <m/>
    <m/>
    <m/>
    <m/>
    <m/>
    <m/>
    <m/>
    <m/>
  </r>
  <r>
    <x v="844"/>
    <n v="1"/>
    <n v="160513659"/>
    <n v="299376.41562220198"/>
    <n v="26.231878479999999"/>
    <n v="252948.729813529"/>
    <n v="213621.06906904501"/>
    <m/>
    <m/>
    <m/>
    <m/>
    <m/>
    <m/>
    <m/>
    <m/>
    <m/>
    <m/>
  </r>
  <r>
    <x v="845"/>
    <n v="1"/>
    <n v="159855247"/>
    <n v="296880.39186553902"/>
    <n v="25.26692048"/>
    <n v="250978.01745904799"/>
    <n v="210255.65637565099"/>
    <m/>
    <m/>
    <m/>
    <m/>
    <m/>
    <m/>
    <m/>
    <m/>
    <m/>
    <m/>
  </r>
  <r>
    <x v="846"/>
    <n v="1"/>
    <n v="154271507"/>
    <n v="298034.32374475902"/>
    <n v="23.929763600000001"/>
    <n v="249997.811392056"/>
    <n v="206609.32383847999"/>
    <m/>
    <m/>
    <m/>
    <m/>
    <m/>
    <m/>
    <m/>
    <m/>
    <m/>
    <m/>
  </r>
  <r>
    <x v="847"/>
    <n v="1"/>
    <n v="148708599"/>
    <n v="299308.82980436302"/>
    <n v="23.24988982"/>
    <n v="249744.897003152"/>
    <n v="211254.02190118399"/>
    <m/>
    <m/>
    <m/>
    <m/>
    <m/>
    <m/>
    <m/>
    <m/>
    <m/>
    <m/>
  </r>
  <r>
    <x v="848"/>
    <n v="1"/>
    <n v="149123768"/>
    <n v="299915.06375447399"/>
    <n v="23.344278500000001"/>
    <n v="250004.09427628899"/>
    <n v="210459.673698169"/>
    <m/>
    <m/>
    <m/>
    <m/>
    <m/>
    <m/>
    <m/>
    <m/>
    <m/>
    <m/>
  </r>
  <r>
    <x v="849"/>
    <n v="1"/>
    <n v="146701753"/>
    <n v="300920.50009230501"/>
    <n v="24.066796440000001"/>
    <n v="249762.36569647799"/>
    <n v="217445.795945725"/>
    <m/>
    <m/>
    <m/>
    <m/>
    <m/>
    <m/>
    <m/>
    <m/>
    <m/>
    <m/>
  </r>
  <r>
    <x v="850"/>
    <n v="1"/>
    <n v="154973225"/>
    <n v="298122.895946751"/>
    <n v="24.192461470000001"/>
    <n v="249115.50340439001"/>
    <n v="214984.30127301501"/>
    <m/>
    <m/>
    <m/>
    <m/>
    <m/>
    <m/>
    <m/>
    <m/>
    <m/>
    <m/>
  </r>
  <r>
    <x v="851"/>
    <n v="1"/>
    <n v="143859403"/>
    <n v="302035.27818601701"/>
    <n v="23.841647699999999"/>
    <n v="248489.227098709"/>
    <n v="219590.346250676"/>
    <m/>
    <m/>
    <m/>
    <m/>
    <m/>
    <m/>
    <m/>
    <m/>
    <m/>
    <m/>
  </r>
  <r>
    <x v="852"/>
    <n v="1"/>
    <n v="145404054"/>
    <n v="294024.73864072899"/>
    <n v="23.537859059999999"/>
    <n v="245083.60730183701"/>
    <n v="216493.475040669"/>
    <m/>
    <m/>
    <m/>
    <m/>
    <m/>
    <m/>
    <m/>
    <m/>
    <m/>
    <m/>
  </r>
  <r>
    <x v="853"/>
    <n v="1"/>
    <n v="154199817"/>
    <n v="290313.126235526"/>
    <n v="23.071653850000001"/>
    <n v="241483.927690635"/>
    <n v="229441.75752022499"/>
    <m/>
    <m/>
    <m/>
    <m/>
    <m/>
    <m/>
    <m/>
    <m/>
    <m/>
    <m/>
  </r>
  <r>
    <x v="854"/>
    <n v="1"/>
    <n v="147222751"/>
    <n v="280568.58003163501"/>
    <n v="23.644289659999998"/>
    <n v="240448.97089966599"/>
    <n v="234852.33945130001"/>
    <m/>
    <m/>
    <m/>
    <m/>
    <m/>
    <m/>
    <m/>
    <m/>
    <m/>
    <m/>
  </r>
  <r>
    <x v="855"/>
    <n v="1"/>
    <n v="164785463"/>
    <n v="277720.50728912099"/>
    <n v="23.528165860000001"/>
    <n v="239906.058803858"/>
    <n v="233501.01137738401"/>
    <m/>
    <m/>
    <m/>
    <m/>
    <m/>
    <m/>
    <m/>
    <m/>
    <m/>
    <m/>
  </r>
  <r>
    <x v="856"/>
    <n v="1"/>
    <n v="168541466"/>
    <n v="281113.27829205198"/>
    <n v="23.221081009999999"/>
    <n v="240045.39520836799"/>
    <n v="230865.58502196401"/>
    <m/>
    <m/>
    <m/>
    <m/>
    <m/>
    <m/>
    <m/>
    <m/>
    <m/>
    <m/>
  </r>
  <r>
    <x v="857"/>
    <n v="1"/>
    <n v="170572303"/>
    <n v="282198.89980808599"/>
    <n v="21.92932927"/>
    <n v="239775.41367247101"/>
    <n v="225292.71202793901"/>
    <m/>
    <m/>
    <m/>
    <m/>
    <m/>
    <m/>
    <m/>
    <m/>
    <m/>
    <m/>
  </r>
  <r>
    <x v="858"/>
    <n v="1"/>
    <n v="170954358"/>
    <n v="281963.31519049901"/>
    <n v="21.222410660000001"/>
    <n v="239358.28706773199"/>
    <n v="226095.91862266199"/>
    <m/>
    <m/>
    <m/>
    <m/>
    <m/>
    <m/>
    <m/>
    <m/>
    <m/>
    <m/>
  </r>
  <r>
    <x v="859"/>
    <n v="1"/>
    <n v="170668400"/>
    <n v="280612.29858599103"/>
    <n v="20.729659590000001"/>
    <n v="238301.969763481"/>
    <n v="224360.090054309"/>
    <m/>
    <m/>
    <m/>
    <m/>
    <m/>
    <m/>
    <m/>
    <m/>
    <m/>
    <m/>
  </r>
  <r>
    <x v="860"/>
    <n v="1"/>
    <n v="165564313"/>
    <n v="279995.79408432101"/>
    <n v="20.652632220000001"/>
    <n v="238012.399998829"/>
    <n v="231648.00779368501"/>
    <m/>
    <m/>
    <m/>
    <m/>
    <m/>
    <m/>
    <m/>
    <m/>
    <m/>
    <m/>
  </r>
  <r>
    <x v="861"/>
    <n v="1"/>
    <n v="172141386"/>
    <n v="278082.46127005102"/>
    <n v="20.750320729999999"/>
    <n v="237556.54364424001"/>
    <n v="220689.08925507701"/>
    <m/>
    <m/>
    <m/>
    <m/>
    <m/>
    <m/>
    <m/>
    <m/>
    <m/>
    <m/>
  </r>
  <r>
    <x v="862"/>
    <n v="1"/>
    <n v="165106770"/>
    <n v="279590.82519092999"/>
    <n v="21.425777"/>
    <n v="237748.805644754"/>
    <n v="225326.771629708"/>
    <m/>
    <m/>
    <m/>
    <m/>
    <m/>
    <m/>
    <m/>
    <m/>
    <m/>
    <m/>
  </r>
  <r>
    <x v="863"/>
    <n v="1"/>
    <n v="161289757"/>
    <n v="278561.26319061802"/>
    <n v="21.154855770000001"/>
    <n v="236941.22745870199"/>
    <n v="234938.787720319"/>
    <m/>
    <m/>
    <m/>
    <m/>
    <m/>
    <m/>
    <m/>
    <m/>
    <m/>
    <m/>
  </r>
  <r>
    <x v="864"/>
    <n v="1"/>
    <n v="160486751"/>
    <n v="278029.12357292499"/>
    <n v="21.143226110000001"/>
    <n v="237139.42844351899"/>
    <n v="232769.35694691399"/>
    <m/>
    <m/>
    <m/>
    <m/>
    <m/>
    <m/>
    <m/>
    <m/>
    <m/>
    <m/>
  </r>
  <r>
    <x v="865"/>
    <n v="1"/>
    <n v="153590379"/>
    <n v="275686.34943997703"/>
    <n v="22.30381581"/>
    <n v="235071.15375942699"/>
    <n v="249722.59271697601"/>
    <m/>
    <m/>
    <m/>
    <m/>
    <m/>
    <m/>
    <m/>
    <m/>
    <m/>
    <m/>
  </r>
  <r>
    <x v="866"/>
    <n v="1"/>
    <n v="155577525"/>
    <n v="274532.42456326098"/>
    <n v="22.30381581"/>
    <n v="234866.83137709601"/>
    <n v="251240.070290609"/>
    <m/>
    <m/>
    <m/>
    <m/>
    <m/>
    <m/>
    <m/>
    <m/>
    <m/>
    <m/>
  </r>
  <r>
    <x v="867"/>
    <n v="1"/>
    <n v="134721771"/>
    <n v="263113.04220455798"/>
    <n v="20.691165460000001"/>
    <n v="224356.261776125"/>
    <n v="250756.09420868801"/>
    <m/>
    <m/>
    <m/>
    <m/>
    <m/>
    <m/>
    <m/>
    <m/>
    <m/>
    <m/>
  </r>
  <r>
    <x v="868"/>
    <n v="1"/>
    <n v="143366445"/>
    <n v="251679.034126816"/>
    <n v="21.728167039999999"/>
    <n v="218359.410755141"/>
    <n v="253466.90673381201"/>
    <m/>
    <m/>
    <m/>
    <m/>
    <m/>
    <m/>
    <m/>
    <m/>
    <m/>
    <m/>
  </r>
  <r>
    <x v="869"/>
    <n v="1"/>
    <n v="146378643"/>
    <n v="249895.25232177001"/>
    <n v="21.1090999"/>
    <n v="215378.55774055599"/>
    <n v="253096.843352786"/>
    <m/>
    <m/>
    <m/>
    <m/>
    <m/>
    <m/>
    <m/>
    <m/>
    <m/>
    <m/>
  </r>
  <r>
    <x v="870"/>
    <n v="1"/>
    <n v="145703377"/>
    <n v="249163.56345229701"/>
    <n v="21.225250549999998"/>
    <n v="214614.05808498801"/>
    <n v="250789.36663278201"/>
    <m/>
    <m/>
    <m/>
    <m/>
    <m/>
    <m/>
    <m/>
    <m/>
    <m/>
    <m/>
  </r>
  <r>
    <x v="871"/>
    <n v="1"/>
    <n v="149066738"/>
    <n v="247347.98725649601"/>
    <n v="22.441425559999999"/>
    <n v="213649.722720719"/>
    <n v="256086.026908439"/>
    <m/>
    <m/>
    <m/>
    <m/>
    <m/>
    <m/>
    <m/>
    <m/>
    <m/>
    <m/>
  </r>
  <r>
    <x v="872"/>
    <n v="1"/>
    <n v="141856366"/>
    <n v="245847.32673610499"/>
    <n v="22.206085250000001"/>
    <n v="212102.45172805799"/>
    <n v="252851.98922658199"/>
    <m/>
    <m/>
    <m/>
    <m/>
    <m/>
    <m/>
    <m/>
    <m/>
    <m/>
    <m/>
  </r>
  <r>
    <x v="873"/>
    <n v="1"/>
    <n v="159396651"/>
    <n v="248622.17837534301"/>
    <n v="21.83840494"/>
    <n v="217126.740378166"/>
    <n v="247203.16893243199"/>
    <m/>
    <m/>
    <m/>
    <m/>
    <m/>
    <m/>
    <m/>
    <m/>
    <m/>
    <m/>
  </r>
  <r>
    <x v="874"/>
    <n v="1"/>
    <n v="172713587"/>
    <n v="247891.70410345399"/>
    <n v="21.376713429999999"/>
    <n v="214718.309227049"/>
    <n v="247582.38695871399"/>
    <m/>
    <m/>
    <m/>
    <m/>
    <m/>
    <m/>
    <m/>
    <m/>
    <m/>
    <m/>
  </r>
  <r>
    <x v="875"/>
    <n v="1"/>
    <n v="178318713"/>
    <n v="249344.491365447"/>
    <n v="21.140597759999999"/>
    <n v="213742.43234217801"/>
    <n v="241866.30622276"/>
    <m/>
    <m/>
    <m/>
    <m/>
    <m/>
    <m/>
    <m/>
    <m/>
    <m/>
    <m/>
  </r>
  <r>
    <x v="876"/>
    <n v="1"/>
    <n v="174593522"/>
    <n v="250834.741757057"/>
    <n v="20.93271974"/>
    <n v="213861.58809076599"/>
    <n v="242715.304380235"/>
    <m/>
    <m/>
    <m/>
    <m/>
    <m/>
    <m/>
    <m/>
    <m/>
    <m/>
    <m/>
  </r>
  <r>
    <x v="877"/>
    <n v="1"/>
    <n v="172424873"/>
    <n v="248604.86036016501"/>
    <n v="20.887596330000001"/>
    <n v="211049.767562767"/>
    <n v="229557.63840229501"/>
    <m/>
    <m/>
    <m/>
    <m/>
    <m/>
    <m/>
    <m/>
    <m/>
    <m/>
    <m/>
  </r>
  <r>
    <x v="878"/>
    <n v="1"/>
    <n v="165801316"/>
    <n v="248053.31458236699"/>
    <n v="20.864457430000002"/>
    <n v="209818.82835814601"/>
    <n v="238737.04339058901"/>
    <m/>
    <m/>
    <m/>
    <m/>
    <m/>
    <m/>
    <m/>
    <m/>
    <m/>
    <m/>
  </r>
  <r>
    <x v="879"/>
    <n v="1"/>
    <n v="172654087"/>
    <n v="244306.84014659401"/>
    <n v="20.839646890000001"/>
    <n v="209071.44567279701"/>
    <n v="240627.74003434001"/>
    <m/>
    <m/>
    <m/>
    <m/>
    <m/>
    <m/>
    <m/>
    <m/>
    <m/>
    <m/>
  </r>
  <r>
    <x v="880"/>
    <n v="1"/>
    <n v="171567791"/>
    <n v="243137.847911116"/>
    <n v="20.660857920000002"/>
    <n v="208844.619539187"/>
    <n v="240753.57729865299"/>
    <m/>
    <m/>
    <m/>
    <m/>
    <m/>
    <m/>
    <m/>
    <m/>
    <m/>
    <m/>
  </r>
  <r>
    <x v="881"/>
    <n v="1"/>
    <n v="176716559"/>
    <n v="242939.41381064299"/>
    <n v="20.362408479999999"/>
    <n v="208293.24983893"/>
    <n v="246449.750282989"/>
    <m/>
    <m/>
    <m/>
    <m/>
    <m/>
    <m/>
    <m/>
    <m/>
    <m/>
    <m/>
  </r>
  <r>
    <x v="882"/>
    <n v="1"/>
    <n v="177209232"/>
    <n v="242972.04595936"/>
    <n v="20.023481919999998"/>
    <n v="207368.26387536101"/>
    <n v="240716.14900004401"/>
    <m/>
    <m/>
    <m/>
    <m/>
    <m/>
    <m/>
    <m/>
    <m/>
    <m/>
    <m/>
  </r>
  <r>
    <x v="883"/>
    <n v="1"/>
    <n v="165517449"/>
    <n v="242112.00193083999"/>
    <n v="19.65371635"/>
    <n v="207209.28795796799"/>
    <n v="254123.887053218"/>
    <m/>
    <m/>
    <m/>
    <m/>
    <m/>
    <m/>
    <m/>
    <m/>
    <m/>
    <m/>
  </r>
  <r>
    <x v="884"/>
    <n v="1"/>
    <n v="163087860"/>
    <n v="240613.54381823499"/>
    <n v="19.506103370000002"/>
    <n v="206217.26063753999"/>
    <n v="264907.11534292198"/>
    <m/>
    <m/>
    <m/>
    <m/>
    <m/>
    <m/>
    <m/>
    <m/>
    <m/>
    <m/>
  </r>
  <r>
    <x v="885"/>
    <n v="1"/>
    <n v="172153067"/>
    <n v="237902.059063333"/>
    <n v="19.50264782"/>
    <n v="204993.262604952"/>
    <n v="270560.66745935503"/>
    <m/>
    <m/>
    <m/>
    <m/>
    <m/>
    <m/>
    <m/>
    <m/>
    <m/>
    <m/>
  </r>
  <r>
    <x v="886"/>
    <n v="1"/>
    <n v="176948323"/>
    <n v="235532.26270182399"/>
    <n v="19.096650199999999"/>
    <n v="203661.87984772"/>
    <n v="264847.32327704399"/>
    <m/>
    <m/>
    <m/>
    <m/>
    <m/>
    <m/>
    <m/>
    <m/>
    <m/>
    <m/>
  </r>
  <r>
    <x v="887"/>
    <n v="1"/>
    <n v="176495675"/>
    <n v="236023.04791452101"/>
    <n v="18.932300049999998"/>
    <n v="202527.55716492"/>
    <n v="264100.81242225098"/>
    <m/>
    <m/>
    <m/>
    <m/>
    <m/>
    <m/>
    <m/>
    <m/>
    <m/>
    <m/>
  </r>
  <r>
    <x v="888"/>
    <n v="1"/>
    <n v="174224263"/>
    <n v="231561.10926514101"/>
    <n v="18.791669670000001"/>
    <n v="198306.42683118299"/>
    <n v="259211.54288153301"/>
    <m/>
    <m/>
    <m/>
    <m/>
    <m/>
    <m/>
    <m/>
    <m/>
    <m/>
    <m/>
  </r>
  <r>
    <x v="889"/>
    <n v="1"/>
    <n v="180996674"/>
    <n v="228996.66493756199"/>
    <n v="18.707774310000001"/>
    <n v="196778.53422110999"/>
    <n v="263566.38946021901"/>
    <m/>
    <m/>
    <m/>
    <m/>
    <m/>
    <m/>
    <m/>
    <m/>
    <m/>
    <m/>
  </r>
  <r>
    <x v="890"/>
    <n v="1"/>
    <n v="186855019"/>
    <n v="228823.545475697"/>
    <n v="18.872452710000001"/>
    <n v="195769.517966313"/>
    <n v="263965.25329969003"/>
    <m/>
    <m/>
    <m/>
    <m/>
    <m/>
    <m/>
    <m/>
    <m/>
    <m/>
    <m/>
  </r>
  <r>
    <x v="891"/>
    <n v="1"/>
    <n v="180360136"/>
    <n v="229995.45518305499"/>
    <n v="18.66689715"/>
    <n v="196791.28982176699"/>
    <n v="270344.60122820601"/>
    <m/>
    <m/>
    <m/>
    <m/>
    <m/>
    <m/>
    <m/>
    <m/>
    <m/>
    <m/>
  </r>
  <r>
    <x v="892"/>
    <n v="1"/>
    <n v="178900895"/>
    <n v="230014.77924348699"/>
    <n v="18.570216389999999"/>
    <n v="196553.157604215"/>
    <n v="270154.65343095199"/>
    <m/>
    <m/>
    <m/>
    <m/>
    <m/>
    <m/>
    <m/>
    <m/>
    <m/>
    <m/>
  </r>
  <r>
    <x v="893"/>
    <n v="1"/>
    <n v="162812040"/>
    <n v="237079.59344147699"/>
    <n v="18.458335930000001"/>
    <n v="197359.10739409301"/>
    <n v="259778.11095044401"/>
    <m/>
    <m/>
    <m/>
    <m/>
    <m/>
    <m/>
    <m/>
    <m/>
    <m/>
    <m/>
  </r>
  <r>
    <x v="894"/>
    <n v="1"/>
    <n v="157696272"/>
    <n v="235083.36488722501"/>
    <n v="18.40067213"/>
    <n v="197632.17282103599"/>
    <n v="260266.622659399"/>
    <m/>
    <m/>
    <m/>
    <m/>
    <m/>
    <m/>
    <m/>
    <m/>
    <m/>
    <m/>
  </r>
  <r>
    <x v="895"/>
    <n v="1"/>
    <n v="156692266"/>
    <n v="233855.09223329899"/>
    <n v="18.421115570000001"/>
    <n v="199434.96497093001"/>
    <n v="272314.48509586102"/>
    <m/>
    <m/>
    <m/>
    <m/>
    <m/>
    <m/>
    <m/>
    <m/>
    <m/>
    <m/>
  </r>
  <r>
    <x v="896"/>
    <n v="1"/>
    <n v="163161811"/>
    <n v="236703.09584947201"/>
    <n v="18.250752559999999"/>
    <n v="201632.49627435001"/>
    <n v="276356.39757178898"/>
    <m/>
    <m/>
    <m/>
    <m/>
    <m/>
    <m/>
    <m/>
    <m/>
    <m/>
    <m/>
  </r>
  <r>
    <x v="897"/>
    <n v="1"/>
    <n v="163311364"/>
    <n v="239101.87695821401"/>
    <n v="17.95351389"/>
    <n v="201073.73134186899"/>
    <n v="273451.62687417603"/>
    <m/>
    <m/>
    <m/>
    <m/>
    <m/>
    <m/>
    <m/>
    <m/>
    <m/>
    <m/>
  </r>
  <r>
    <x v="898"/>
    <n v="1"/>
    <n v="152781395"/>
    <n v="237562.81098395301"/>
    <n v="17.76884501"/>
    <n v="200107.57311128601"/>
    <n v="273548.24068878498"/>
    <m/>
    <m/>
    <m/>
    <m/>
    <m/>
    <m/>
    <m/>
    <m/>
    <m/>
    <m/>
  </r>
  <r>
    <x v="899"/>
    <n v="1"/>
    <n v="149241031"/>
    <n v="225640.72360562999"/>
    <n v="17.309942899999999"/>
    <n v="191004.15853305999"/>
    <n v="279201.223416725"/>
    <m/>
    <m/>
    <m/>
    <m/>
    <m/>
    <m/>
    <m/>
    <m/>
    <m/>
    <m/>
  </r>
  <r>
    <x v="900"/>
    <n v="1"/>
    <n v="140011691"/>
    <n v="226695.526375441"/>
    <n v="16.994167059999999"/>
    <n v="189653.109470358"/>
    <n v="284097.60756488901"/>
    <m/>
    <m/>
    <m/>
    <m/>
    <m/>
    <m/>
    <m/>
    <m/>
    <m/>
    <m/>
  </r>
  <r>
    <x v="901"/>
    <n v="1"/>
    <n v="152877574"/>
    <n v="217340.87858970699"/>
    <n v="16.935318389999999"/>
    <n v="184820.766173312"/>
    <n v="276646.53224918101"/>
    <m/>
    <m/>
    <m/>
    <m/>
    <m/>
    <m/>
    <m/>
    <m/>
    <m/>
    <m/>
  </r>
  <r>
    <x v="902"/>
    <n v="1"/>
    <n v="142534136"/>
    <n v="221281.62948473101"/>
    <n v="16.899765309999999"/>
    <n v="185730.818889708"/>
    <n v="278176.37301875203"/>
    <m/>
    <m/>
    <m/>
    <m/>
    <m/>
    <m/>
    <m/>
    <m/>
    <m/>
    <m/>
  </r>
  <r>
    <x v="903"/>
    <n v="1"/>
    <n v="134757182"/>
    <n v="216885.04015579401"/>
    <n v="16.899765309999999"/>
    <n v="188951.59958473401"/>
    <n v="264524.81757102202"/>
    <m/>
    <m/>
    <m/>
    <m/>
    <m/>
    <m/>
    <m/>
    <m/>
    <m/>
    <m/>
  </r>
  <r>
    <x v="904"/>
    <n v="1"/>
    <n v="130767036"/>
    <n v="216083.14357948999"/>
    <n v="16.899765309999999"/>
    <n v="189004.07584179199"/>
    <n v="260582.94353925099"/>
    <m/>
    <m/>
    <m/>
    <m/>
    <m/>
    <m/>
    <m/>
    <m/>
    <m/>
    <m/>
  </r>
  <r>
    <x v="905"/>
    <n v="1"/>
    <n v="133184099"/>
    <n v="215798.07670495901"/>
    <n v="17.009204700000002"/>
    <n v="187777.252844806"/>
    <n v="259758.92219495101"/>
    <m/>
    <m/>
    <m/>
    <m/>
    <m/>
    <m/>
    <m/>
    <m/>
    <m/>
    <m/>
  </r>
  <r>
    <x v="906"/>
    <n v="1"/>
    <n v="123097085"/>
    <n v="217006.76068752701"/>
    <n v="16.57995365"/>
    <n v="187756.210283377"/>
    <n v="264797.99750681099"/>
    <m/>
    <m/>
    <m/>
    <m/>
    <m/>
    <m/>
    <m/>
    <m/>
    <m/>
    <m/>
  </r>
  <r>
    <x v="907"/>
    <n v="1"/>
    <n v="113028841"/>
    <n v="214973.64106660499"/>
    <n v="16.41456105"/>
    <n v="188610.86768294801"/>
    <n v="266732.92709051498"/>
    <m/>
    <m/>
    <m/>
    <m/>
    <m/>
    <m/>
    <m/>
    <m/>
    <m/>
    <m/>
  </r>
  <r>
    <x v="908"/>
    <n v="1"/>
    <n v="106473264"/>
    <n v="211663.84509870099"/>
    <n v="16.016995250000001"/>
    <n v="185110.586380739"/>
    <n v="259054.91098943501"/>
    <m/>
    <m/>
    <m/>
    <m/>
    <m/>
    <m/>
    <m/>
    <m/>
    <m/>
    <m/>
  </r>
  <r>
    <x v="909"/>
    <n v="1"/>
    <n v="106490164"/>
    <n v="208122.74317431101"/>
    <n v="16.05185067"/>
    <n v="183947.53618528499"/>
    <n v="260652.428279299"/>
    <m/>
    <m/>
    <m/>
    <m/>
    <m/>
    <m/>
    <m/>
    <m/>
    <m/>
    <m/>
  </r>
  <r>
    <x v="910"/>
    <n v="1"/>
    <n v="109596066"/>
    <n v="205174.60311517099"/>
    <n v="16.435958209999999"/>
    <n v="182162.94410775599"/>
    <n v="251074.61427565201"/>
    <m/>
    <m/>
    <m/>
    <m/>
    <m/>
    <m/>
    <m/>
    <m/>
    <m/>
    <m/>
  </r>
  <r>
    <x v="911"/>
    <n v="1"/>
    <n v="104559325"/>
    <n v="207958.24300403701"/>
    <n v="17.17834276"/>
    <n v="181274.81708644101"/>
    <n v="264503.91986812698"/>
    <m/>
    <m/>
    <m/>
    <m/>
    <m/>
    <m/>
    <m/>
    <m/>
    <m/>
    <m/>
  </r>
  <r>
    <x v="912"/>
    <n v="1"/>
    <n v="102124287"/>
    <n v="206328.36390819401"/>
    <n v="16.625354789999999"/>
    <n v="179945.64501767899"/>
    <n v="248675.929312411"/>
    <m/>
    <m/>
    <m/>
    <m/>
    <m/>
    <m/>
    <m/>
    <m/>
    <m/>
    <m/>
  </r>
  <r>
    <x v="913"/>
    <n v="1"/>
    <n v="101142114"/>
    <n v="204761.846340722"/>
    <n v="16.372404370000002"/>
    <n v="174355.19456256001"/>
    <n v="239209.12844796601"/>
    <m/>
    <m/>
    <m/>
    <m/>
    <m/>
    <m/>
    <m/>
    <m/>
    <m/>
    <m/>
  </r>
  <r>
    <x v="914"/>
    <n v="1"/>
    <n v="85994827"/>
    <n v="199806.74969213901"/>
    <n v="16.33381717"/>
    <n v="167285.312948715"/>
    <n v="236500.65310130399"/>
    <m/>
    <m/>
    <m/>
    <m/>
    <m/>
    <m/>
    <m/>
    <m/>
    <m/>
    <m/>
  </r>
  <r>
    <x v="915"/>
    <n v="1"/>
    <n v="79684901"/>
    <n v="191711.53855407101"/>
    <n v="16.682268310000001"/>
    <n v="164457.809477314"/>
    <n v="238236.20516857301"/>
    <m/>
    <m/>
    <m/>
    <m/>
    <m/>
    <m/>
    <m/>
    <m/>
    <m/>
    <m/>
  </r>
  <r>
    <x v="916"/>
    <n v="1"/>
    <n v="75411934"/>
    <n v="188992.867525437"/>
    <n v="16.669714620000001"/>
    <n v="162238.09401186899"/>
    <n v="227667.05165598899"/>
    <m/>
    <m/>
    <m/>
    <m/>
    <m/>
    <m/>
    <m/>
    <m/>
    <m/>
    <m/>
  </r>
  <r>
    <x v="917"/>
    <n v="1"/>
    <n v="74549899"/>
    <n v="186039.87572369701"/>
    <n v="14.48937765"/>
    <n v="160120.034426222"/>
    <n v="217672.245989708"/>
    <m/>
    <m/>
    <m/>
    <m/>
    <m/>
    <m/>
    <m/>
    <m/>
    <m/>
    <m/>
  </r>
  <r>
    <x v="918"/>
    <n v="1"/>
    <n v="71698905"/>
    <n v="186240.596914125"/>
    <n v="14.20680099"/>
    <n v="158272.610901832"/>
    <n v="212019.255707704"/>
    <m/>
    <m/>
    <m/>
    <m/>
    <m/>
    <m/>
    <m/>
    <m/>
    <m/>
    <m/>
  </r>
  <r>
    <x v="919"/>
    <n v="1"/>
    <n v="68881346"/>
    <n v="185989.86364249999"/>
    <n v="13.884285780000001"/>
    <n v="157959.74689443101"/>
    <n v="213494.03462819499"/>
    <m/>
    <m/>
    <m/>
    <m/>
    <m/>
    <m/>
    <m/>
    <m/>
    <m/>
    <m/>
  </r>
  <r>
    <x v="920"/>
    <n v="1"/>
    <n v="70107146"/>
    <n v="183800.81797446401"/>
    <n v="13.428693669999999"/>
    <n v="156623.908656382"/>
    <n v="214934.64772680699"/>
    <m/>
    <m/>
    <m/>
    <m/>
    <m/>
    <m/>
    <m/>
    <m/>
    <m/>
    <m/>
  </r>
  <r>
    <x v="921"/>
    <n v="1"/>
    <n v="69024749"/>
    <n v="182291.691535719"/>
    <n v="12.89848327"/>
    <n v="155913.42505125201"/>
    <n v="211068.175572179"/>
    <m/>
    <m/>
    <m/>
    <m/>
    <m/>
    <m/>
    <m/>
    <m/>
    <m/>
    <m/>
  </r>
  <r>
    <x v="922"/>
    <n v="1"/>
    <n v="72630318"/>
    <n v="174621.49400139399"/>
    <n v="12.97536335"/>
    <n v="153940.43645153599"/>
    <n v="208372.880818857"/>
    <m/>
    <m/>
    <m/>
    <m/>
    <m/>
    <m/>
    <m/>
    <m/>
    <m/>
    <m/>
  </r>
  <r>
    <x v="923"/>
    <n v="1"/>
    <n v="68179506"/>
    <n v="177236.93979411401"/>
    <n v="12.266011410000001"/>
    <n v="153393.16995227101"/>
    <n v="207745.019669848"/>
    <m/>
    <m/>
    <m/>
    <m/>
    <m/>
    <m/>
    <m/>
    <m/>
    <m/>
    <m/>
  </r>
  <r>
    <x v="924"/>
    <n v="1"/>
    <n v="65404640"/>
    <n v="172639.93665038899"/>
    <n v="12.28511625"/>
    <n v="149735.948721611"/>
    <n v="194903.046968082"/>
    <m/>
    <m/>
    <m/>
    <m/>
    <m/>
    <m/>
    <m/>
    <m/>
    <m/>
    <m/>
  </r>
  <r>
    <x v="925"/>
    <n v="1"/>
    <n v="66446158"/>
    <n v="168615.11406602801"/>
    <n v="12.04772979"/>
    <n v="144208.665408153"/>
    <n v="187442.71888211201"/>
    <m/>
    <m/>
    <m/>
    <m/>
    <m/>
    <m/>
    <m/>
    <m/>
    <m/>
    <m/>
  </r>
  <r>
    <x v="926"/>
    <n v="1"/>
    <n v="67573072"/>
    <n v="171579.290556839"/>
    <n v="11.976437300000001"/>
    <n v="145922.37628075099"/>
    <n v="182364.00195753801"/>
    <m/>
    <m/>
    <m/>
    <m/>
    <m/>
    <m/>
    <m/>
    <m/>
    <m/>
    <m/>
  </r>
  <r>
    <x v="927"/>
    <n v="1"/>
    <n v="60454750"/>
    <n v="157450.64590061401"/>
    <n v="11.12837257"/>
    <n v="132860.19431956499"/>
    <n v="183671.08150995499"/>
    <m/>
    <m/>
    <m/>
    <m/>
    <m/>
    <m/>
    <m/>
    <m/>
    <m/>
    <m/>
  </r>
  <r>
    <x v="928"/>
    <n v="1"/>
    <n v="64534583"/>
    <n v="144719.08819769899"/>
    <n v="10.727196340000001"/>
    <n v="123349.81269310899"/>
    <n v="179781.679112351"/>
    <m/>
    <m/>
    <m/>
    <m/>
    <m/>
    <m/>
    <m/>
    <m/>
    <m/>
    <m/>
  </r>
  <r>
    <x v="929"/>
    <n v="1"/>
    <n v="64699277"/>
    <n v="144167.02393154701"/>
    <n v="9.2813276899999995"/>
    <n v="121284.836875953"/>
    <n v="175995.90214055401"/>
    <m/>
    <m/>
    <m/>
    <m/>
    <m/>
    <m/>
    <m/>
    <m/>
    <m/>
    <m/>
  </r>
  <r>
    <x v="930"/>
    <n v="1"/>
    <n v="67563427"/>
    <n v="138979.36191220599"/>
    <n v="9.3278277999999997"/>
    <n v="118475.047639123"/>
    <n v="180787.10208919499"/>
    <m/>
    <m/>
    <m/>
    <m/>
    <m/>
    <m/>
    <m/>
    <m/>
    <m/>
    <m/>
  </r>
  <r>
    <x v="931"/>
    <n v="1"/>
    <n v="72197504"/>
    <n v="138052.859628659"/>
    <n v="9.0479178999999998"/>
    <n v="116145.892169912"/>
    <n v="178536.167278901"/>
    <m/>
    <m/>
    <m/>
    <m/>
    <m/>
    <m/>
    <m/>
    <m/>
    <m/>
    <m/>
  </r>
  <r>
    <x v="932"/>
    <n v="1"/>
    <n v="72123558"/>
    <n v="138653.820866255"/>
    <n v="8.9436511000000003"/>
    <n v="114867.361222687"/>
    <n v="183706.91369348299"/>
    <m/>
    <m/>
    <m/>
    <m/>
    <m/>
    <m/>
    <m/>
    <m/>
    <m/>
    <m/>
  </r>
  <r>
    <x v="933"/>
    <n v="1"/>
    <n v="74822899"/>
    <n v="137582.55920859001"/>
    <n v="9.1613582600000001"/>
    <n v="114801.02093216"/>
    <n v="178581.17361067"/>
    <m/>
    <m/>
    <m/>
    <m/>
    <m/>
    <m/>
    <m/>
    <m/>
    <m/>
    <m/>
  </r>
  <r>
    <x v="934"/>
    <n v="1"/>
    <n v="74375836"/>
    <n v="137761.09207431099"/>
    <n v="8.5338618999999998"/>
    <n v="114437.979758107"/>
    <n v="176124.951397328"/>
    <m/>
    <m/>
    <m/>
    <m/>
    <m/>
    <m/>
    <m/>
    <m/>
    <m/>
    <m/>
  </r>
  <r>
    <x v="935"/>
    <n v="1"/>
    <n v="76202390"/>
    <n v="136097.56925220101"/>
    <n v="7.8994140599999998"/>
    <n v="114110.181456206"/>
    <n v="180639.83050496501"/>
    <m/>
    <m/>
    <m/>
    <m/>
    <m/>
    <m/>
    <m/>
    <m/>
    <m/>
    <m/>
  </r>
  <r>
    <x v="936"/>
    <n v="1"/>
    <n v="75110273"/>
    <n v="134710.03282099101"/>
    <n v="7.0053018099999997"/>
    <n v="113527.257791817"/>
    <n v="179252.13940763299"/>
    <m/>
    <m/>
    <m/>
    <m/>
    <m/>
    <m/>
    <m/>
    <m/>
    <m/>
    <m/>
  </r>
  <r>
    <x v="937"/>
    <n v="1"/>
    <n v="74687687"/>
    <n v="134439.180991809"/>
    <n v="6.7929666299999996"/>
    <n v="112647.77600744599"/>
    <n v="179443.507419609"/>
    <m/>
    <m/>
    <m/>
    <m/>
    <m/>
    <m/>
    <m/>
    <m/>
    <m/>
    <m/>
  </r>
  <r>
    <x v="938"/>
    <n v="1"/>
    <n v="69588405"/>
    <n v="129495.710670289"/>
    <n v="6.05523129"/>
    <n v="108228.877389639"/>
    <n v="191236.16893651601"/>
    <m/>
    <m/>
    <m/>
    <m/>
    <m/>
    <m/>
    <m/>
    <m/>
    <m/>
    <m/>
  </r>
  <r>
    <x v="939"/>
    <n v="1"/>
    <n v="72706836"/>
    <n v="132244.740719183"/>
    <n v="5.4519034499999997"/>
    <n v="110631.208672373"/>
    <n v="190872.151116305"/>
    <m/>
    <m/>
    <m/>
    <m/>
    <m/>
    <m/>
    <m/>
    <m/>
    <m/>
    <m/>
  </r>
  <r>
    <x v="940"/>
    <n v="1"/>
    <n v="77939406"/>
    <n v="129784.367142357"/>
    <n v="5.2851833099999999"/>
    <n v="109122.948357867"/>
    <n v="197655.877983577"/>
    <m/>
    <m/>
    <m/>
    <m/>
    <m/>
    <m/>
    <m/>
    <m/>
    <m/>
    <m/>
  </r>
  <r>
    <x v="941"/>
    <n v="1"/>
    <n v="77954914"/>
    <n v="127656.820489306"/>
    <n v="5.22245516"/>
    <n v="107583.558579855"/>
    <n v="207312.48850844501"/>
    <m/>
    <m/>
    <m/>
    <m/>
    <m/>
    <m/>
    <m/>
    <m/>
    <m/>
    <m/>
  </r>
  <r>
    <x v="942"/>
    <n v="1"/>
    <n v="76177207"/>
    <n v="124239.104623664"/>
    <n v="5.2433360000000002"/>
    <n v="103518.72383072101"/>
    <n v="207344.37773011799"/>
    <m/>
    <m/>
    <m/>
    <m/>
    <m/>
    <m/>
    <m/>
    <m/>
    <m/>
    <m/>
  </r>
  <r>
    <x v="943"/>
    <n v="1"/>
    <n v="81671089"/>
    <n v="118370.759174444"/>
    <n v="5.1886399299999999"/>
    <n v="99343.832106418602"/>
    <n v="208909.58537394501"/>
    <m/>
    <m/>
    <m/>
    <m/>
    <m/>
    <m/>
    <m/>
    <m/>
    <m/>
    <m/>
  </r>
  <r>
    <x v="944"/>
    <n v="1"/>
    <n v="83466548"/>
    <n v="119751.14490674299"/>
    <n v="4.8040501100000004"/>
    <n v="98655.190726072702"/>
    <n v="206524.958919747"/>
    <m/>
    <m/>
    <m/>
    <m/>
    <m/>
    <m/>
    <m/>
    <m/>
    <m/>
    <m/>
  </r>
  <r>
    <x v="945"/>
    <n v="1"/>
    <n v="85584130"/>
    <n v="118805.794244624"/>
    <n v="4.5018670299999997"/>
    <n v="98107.483164803896"/>
    <n v="211754.989707837"/>
    <m/>
    <m/>
    <m/>
    <m/>
    <m/>
    <m/>
    <m/>
    <m/>
    <m/>
    <m/>
  </r>
  <r>
    <x v="946"/>
    <n v="1"/>
    <n v="82163637"/>
    <n v="120421.569690751"/>
    <n v="4.1885918799999997"/>
    <n v="96263.458472283601"/>
    <n v="210207.92745036699"/>
    <m/>
    <m/>
    <m/>
    <m/>
    <m/>
    <m/>
    <m/>
    <m/>
    <m/>
    <m/>
  </r>
  <r>
    <x v="947"/>
    <n v="1"/>
    <n v="85325813"/>
    <n v="117405.763938576"/>
    <n v="3.4241616000000001"/>
    <n v="95615.051063114501"/>
    <n v="207400.15972375701"/>
    <m/>
    <m/>
    <m/>
    <m/>
    <m/>
    <m/>
    <m/>
    <m/>
    <m/>
    <m/>
  </r>
  <r>
    <x v="948"/>
    <n v="1"/>
    <n v="83526322"/>
    <n v="119523.091452856"/>
    <n v="3.2799151700000002"/>
    <n v="94674.013232858502"/>
    <n v="203091.698267898"/>
    <m/>
    <m/>
    <m/>
    <m/>
    <m/>
    <m/>
    <m/>
    <m/>
    <m/>
    <m/>
  </r>
  <r>
    <x v="949"/>
    <n v="1"/>
    <n v="89827949"/>
    <n v="119590.415773567"/>
    <n v="3.1004599100000001"/>
    <n v="95954.761372413195"/>
    <n v="206127.75067566801"/>
    <m/>
    <m/>
    <m/>
    <m/>
    <m/>
    <m/>
    <m/>
    <m/>
    <m/>
    <m/>
  </r>
  <r>
    <x v="950"/>
    <n v="1"/>
    <n v="96154942"/>
    <n v="117887.503218292"/>
    <n v="3.21131564"/>
    <n v="94201.906240355107"/>
    <n v="216346.40138743"/>
    <m/>
    <m/>
    <m/>
    <m/>
    <m/>
    <m/>
    <m/>
    <m/>
    <m/>
    <m/>
  </r>
  <r>
    <x v="951"/>
    <n v="1"/>
    <n v="100856136"/>
    <n v="118714.33313323199"/>
    <n v="3.4676024700000001"/>
    <n v="93670.032860682302"/>
    <n v="216680.653360111"/>
    <m/>
    <m/>
    <m/>
    <m/>
    <m/>
    <m/>
    <m/>
    <m/>
    <m/>
    <m/>
  </r>
  <r>
    <x v="952"/>
    <n v="1"/>
    <n v="104005391"/>
    <n v="120248.567497572"/>
    <n v="3.8755391000000001"/>
    <n v="94151.125789425903"/>
    <n v="221712.45206895101"/>
    <m/>
    <m/>
    <m/>
    <m/>
    <m/>
    <m/>
    <m/>
    <m/>
    <m/>
    <m/>
  </r>
  <r>
    <x v="953"/>
    <n v="1"/>
    <n v="102696576"/>
    <n v="120021.709811254"/>
    <n v="3.9177875900000001"/>
    <n v="94250.493742344202"/>
    <n v="235984.08920604899"/>
    <m/>
    <m/>
    <m/>
    <m/>
    <m/>
    <m/>
    <m/>
    <m/>
    <m/>
    <m/>
  </r>
  <r>
    <x v="954"/>
    <n v="1"/>
    <n v="103379499"/>
    <n v="120826.90392706799"/>
    <n v="3.89145713"/>
    <n v="94453.730084644601"/>
    <n v="238384.99165108701"/>
    <m/>
    <m/>
    <m/>
    <m/>
    <m/>
    <m/>
    <m/>
    <m/>
    <m/>
    <m/>
  </r>
  <r>
    <x v="955"/>
    <n v="1"/>
    <n v="103545997"/>
    <n v="119040.279821576"/>
    <n v="4.02961467"/>
    <n v="93764.195008414303"/>
    <n v="244417.31953101099"/>
    <m/>
    <m/>
    <m/>
    <m/>
    <m/>
    <m/>
    <m/>
    <m/>
    <m/>
    <m/>
  </r>
  <r>
    <x v="956"/>
    <n v="1"/>
    <n v="98820460"/>
    <n v="116054.562536699"/>
    <n v="4.5552079799999996"/>
    <n v="94370.375769677397"/>
    <n v="238512.326796637"/>
    <m/>
    <m/>
    <m/>
    <m/>
    <m/>
    <m/>
    <m/>
    <m/>
    <m/>
    <m/>
  </r>
  <r>
    <x v="957"/>
    <n v="1"/>
    <n v="99825253"/>
    <n v="114532.35236751199"/>
    <n v="4.4886306899999999"/>
    <n v="93298.878041199103"/>
    <n v="243631.88337035899"/>
    <m/>
    <m/>
    <m/>
    <m/>
    <m/>
    <m/>
    <m/>
    <m/>
    <m/>
    <m/>
  </r>
  <r>
    <x v="958"/>
    <n v="1"/>
    <n v="98691300"/>
    <n v="113749.452525299"/>
    <n v="4.5946827700000004"/>
    <n v="93884.016148802504"/>
    <n v="240958.190695539"/>
    <m/>
    <m/>
    <m/>
    <m/>
    <m/>
    <m/>
    <m/>
    <m/>
    <m/>
    <m/>
  </r>
  <r>
    <x v="959"/>
    <n v="1"/>
    <n v="92536272"/>
    <n v="110125.52006474001"/>
    <n v="4.6003651999999997"/>
    <n v="90552.673344928597"/>
    <n v="256577.607626221"/>
    <m/>
    <m/>
    <m/>
    <m/>
    <m/>
    <m/>
    <m/>
    <m/>
    <m/>
    <m/>
  </r>
  <r>
    <x v="960"/>
    <n v="1"/>
    <n v="89373648"/>
    <n v="107228.218694885"/>
    <n v="4.6054099800000001"/>
    <n v="89948.7497493626"/>
    <n v="268900.97372817202"/>
    <m/>
    <m/>
    <m/>
    <m/>
    <m/>
    <m/>
    <m/>
    <m/>
    <m/>
    <m/>
  </r>
  <r>
    <x v="961"/>
    <n v="1"/>
    <n v="90910790"/>
    <n v="106365.73066573001"/>
    <n v="4.5641741299999996"/>
    <n v="89888.421251303997"/>
    <n v="275634.75917122199"/>
    <m/>
    <m/>
    <m/>
    <m/>
    <m/>
    <m/>
    <m/>
    <m/>
    <m/>
    <m/>
  </r>
  <r>
    <x v="962"/>
    <n v="1"/>
    <n v="85610279"/>
    <n v="106399.720361417"/>
    <n v="4.4693556900000004"/>
    <n v="89050.865447255797"/>
    <n v="277248.522768797"/>
    <m/>
    <m/>
    <m/>
    <m/>
    <m/>
    <m/>
    <m/>
    <m/>
    <m/>
    <m/>
  </r>
  <r>
    <x v="963"/>
    <n v="1"/>
    <n v="88301085"/>
    <n v="105096.56744307801"/>
    <n v="4.2510267500000003"/>
    <n v="89057.819432124801"/>
    <n v="277913.53474650899"/>
    <m/>
    <m/>
    <m/>
    <m/>
    <m/>
    <m/>
    <m/>
    <m/>
    <m/>
    <m/>
  </r>
  <r>
    <x v="964"/>
    <n v="1"/>
    <n v="93045466"/>
    <n v="105074.38115457501"/>
    <n v="3.9383108"/>
    <n v="88868.191832828103"/>
    <n v="278491.06347835599"/>
    <m/>
    <m/>
    <m/>
    <m/>
    <m/>
    <m/>
    <m/>
    <m/>
    <m/>
    <m/>
  </r>
  <r>
    <x v="965"/>
    <n v="1"/>
    <n v="99891414"/>
    <n v="106291.20761021"/>
    <n v="3.8859158800000002"/>
    <n v="88753.683323295394"/>
    <n v="280393.66101151501"/>
    <m/>
    <m/>
    <m/>
    <m/>
    <m/>
    <m/>
    <m/>
    <m/>
    <m/>
    <m/>
  </r>
  <r>
    <x v="966"/>
    <n v="1"/>
    <n v="97714894"/>
    <n v="106920.77251340399"/>
    <n v="3.9036632899999999"/>
    <n v="87761.027208704501"/>
    <n v="274600.20893866499"/>
    <m/>
    <m/>
    <m/>
    <m/>
    <m/>
    <m/>
    <m/>
    <m/>
    <m/>
    <m/>
  </r>
  <r>
    <x v="967"/>
    <n v="1"/>
    <n v="102220287"/>
    <n v="104864.981842056"/>
    <n v="4.0578711800000002"/>
    <n v="88730.145262222402"/>
    <n v="280317.74779154302"/>
    <m/>
    <m/>
    <m/>
    <m/>
    <m/>
    <m/>
    <m/>
    <m/>
    <m/>
    <m/>
  </r>
  <r>
    <x v="968"/>
    <n v="1"/>
    <n v="98604963"/>
    <n v="105131.52827533201"/>
    <n v="3.395035"/>
    <n v="89111.917576443404"/>
    <n v="279674.16032684903"/>
    <m/>
    <m/>
    <m/>
    <m/>
    <m/>
    <m/>
    <m/>
    <m/>
    <m/>
    <m/>
  </r>
  <r>
    <x v="969"/>
    <n v="1"/>
    <n v="96519516"/>
    <n v="104013.70332453201"/>
    <n v="3.3713560400000002"/>
    <n v="89164.761950337401"/>
    <n v="275412.85914498899"/>
    <m/>
    <m/>
    <m/>
    <m/>
    <m/>
    <m/>
    <m/>
    <m/>
    <m/>
    <m/>
  </r>
  <r>
    <x v="970"/>
    <n v="1"/>
    <n v="90268949"/>
    <n v="98106.692678049294"/>
    <n v="3.7268920200000002"/>
    <n v="83025.457644035603"/>
    <n v="273781.73862759501"/>
    <m/>
    <m/>
    <m/>
    <m/>
    <m/>
    <m/>
    <m/>
    <m/>
    <m/>
    <m/>
  </r>
  <r>
    <x v="971"/>
    <n v="1"/>
    <n v="82113672"/>
    <n v="97639.296543359596"/>
    <n v="4.0338053800000004"/>
    <n v="82156.309888600896"/>
    <n v="277671.11011988402"/>
    <m/>
    <m/>
    <m/>
    <m/>
    <m/>
    <m/>
    <m/>
    <m/>
    <m/>
    <m/>
  </r>
  <r>
    <x v="972"/>
    <n v="1"/>
    <n v="82064851"/>
    <n v="94841.959828032501"/>
    <n v="4.0266957300000001"/>
    <n v="81415.411645025903"/>
    <n v="272099.97250904102"/>
    <m/>
    <m/>
    <m/>
    <m/>
    <m/>
    <m/>
    <m/>
    <m/>
    <m/>
    <m/>
  </r>
  <r>
    <x v="973"/>
    <n v="1"/>
    <n v="77833965"/>
    <n v="95952.716446614097"/>
    <n v="4.5947859500000003"/>
    <n v="80692.376204345099"/>
    <n v="282788.29093186703"/>
    <m/>
    <m/>
    <m/>
    <m/>
    <m/>
    <m/>
    <m/>
    <m/>
    <m/>
    <m/>
  </r>
  <r>
    <x v="974"/>
    <n v="1"/>
    <n v="79665163"/>
    <n v="93614.687599149198"/>
    <n v="4.63350069"/>
    <n v="80150.107564410893"/>
    <n v="290244.94384706998"/>
    <m/>
    <m/>
    <m/>
    <m/>
    <m/>
    <m/>
    <m/>
    <m/>
    <m/>
    <m/>
  </r>
  <r>
    <x v="975"/>
    <n v="1"/>
    <n v="82222365"/>
    <n v="93683.618941275607"/>
    <n v="4.6032614199999999"/>
    <n v="79927.240749372795"/>
    <n v="301615.39079892699"/>
    <m/>
    <m/>
    <m/>
    <m/>
    <m/>
    <m/>
    <m/>
    <m/>
    <m/>
    <m/>
  </r>
  <r>
    <x v="976"/>
    <n v="1"/>
    <n v="70451708"/>
    <n v="86597.883350746706"/>
    <n v="4.5867072599999998"/>
    <n v="72334.310487941199"/>
    <n v="299305.63651411899"/>
    <m/>
    <m/>
    <m/>
    <m/>
    <m/>
    <m/>
    <m/>
    <m/>
    <m/>
    <m/>
  </r>
  <r>
    <x v="977"/>
    <n v="1"/>
    <n v="65300967"/>
    <n v="86852.561647115101"/>
    <n v="4.7777657199999997"/>
    <n v="72420.542846761702"/>
    <n v="305379.11501651403"/>
    <m/>
    <m/>
    <m/>
    <m/>
    <m/>
    <m/>
    <m/>
    <m/>
    <m/>
    <m/>
  </r>
  <r>
    <x v="978"/>
    <n v="1"/>
    <n v="65971481"/>
    <n v="84022.977482296599"/>
    <n v="5.7645756099999996"/>
    <n v="71123.667099430197"/>
    <n v="300013.68885594199"/>
    <m/>
    <m/>
    <m/>
    <m/>
    <m/>
    <m/>
    <m/>
    <m/>
    <m/>
    <m/>
  </r>
  <r>
    <x v="979"/>
    <n v="1"/>
    <n v="57176760"/>
    <n v="82262.801237320993"/>
    <n v="5.6969648299999998"/>
    <n v="68094.778632055299"/>
    <n v="298348.42804318701"/>
    <m/>
    <m/>
    <m/>
    <m/>
    <m/>
    <m/>
    <m/>
    <m/>
    <m/>
    <m/>
  </r>
  <r>
    <x v="980"/>
    <n v="1"/>
    <n v="61988724"/>
    <n v="75016.0030979984"/>
    <n v="5.8469730200000001"/>
    <n v="61717.859063966098"/>
    <n v="296811.01746647101"/>
    <m/>
    <m/>
    <m/>
    <m/>
    <m/>
    <m/>
    <m/>
    <m/>
    <m/>
    <m/>
  </r>
  <r>
    <x v="981"/>
    <n v="1"/>
    <n v="71789512"/>
    <n v="73943.485739594296"/>
    <n v="5.8840135299999998"/>
    <n v="60191.015768327998"/>
    <n v="284576.14368535602"/>
    <m/>
    <m/>
    <m/>
    <m/>
    <m/>
    <m/>
    <m/>
    <m/>
    <m/>
    <m/>
  </r>
  <r>
    <x v="982"/>
    <n v="1"/>
    <n v="68896116"/>
    <n v="75093.589981143799"/>
    <n v="5.7977618099999999"/>
    <n v="59436.4022607148"/>
    <n v="288492.91398184898"/>
    <m/>
    <m/>
    <m/>
    <m/>
    <m/>
    <m/>
    <m/>
    <m/>
    <m/>
    <m/>
  </r>
  <r>
    <x v="983"/>
    <n v="1"/>
    <n v="72945655"/>
    <n v="71083.9659322347"/>
    <n v="5.6200492899999999"/>
    <n v="57710.028906695901"/>
    <n v="265715.52279354399"/>
    <m/>
    <m/>
    <m/>
    <m/>
    <m/>
    <m/>
    <m/>
    <m/>
    <m/>
    <m/>
  </r>
  <r>
    <x v="984"/>
    <n v="1"/>
    <n v="78328314"/>
    <n v="70484.134654320602"/>
    <n v="5.5936857"/>
    <n v="57461.266618927802"/>
    <n v="269845.99040057103"/>
    <m/>
    <m/>
    <m/>
    <m/>
    <m/>
    <m/>
    <m/>
    <m/>
    <m/>
    <m/>
  </r>
  <r>
    <x v="985"/>
    <n v="1"/>
    <n v="77008937"/>
    <n v="72392.469236771096"/>
    <n v="5.5767930000000003"/>
    <n v="57826.832073563703"/>
    <n v="273288.152476024"/>
    <m/>
    <m/>
    <m/>
    <m/>
    <m/>
    <m/>
    <m/>
    <m/>
    <m/>
    <m/>
  </r>
  <r>
    <x v="986"/>
    <n v="1"/>
    <n v="83475721"/>
    <n v="71350.429081833194"/>
    <n v="5.4976300499999997"/>
    <n v="57040.760294309002"/>
    <n v="263433.60975765501"/>
    <m/>
    <m/>
    <m/>
    <m/>
    <m/>
    <m/>
    <m/>
    <m/>
    <m/>
    <m/>
  </r>
  <r>
    <x v="987"/>
    <n v="1"/>
    <n v="89232298"/>
    <n v="72454.101675097598"/>
    <n v="5.4604515400000002"/>
    <n v="56284.2055685788"/>
    <n v="255097.69604576999"/>
    <m/>
    <m/>
    <m/>
    <m/>
    <m/>
    <m/>
    <m/>
    <m/>
    <m/>
    <m/>
  </r>
  <r>
    <x v="988"/>
    <n v="1"/>
    <n v="82983347"/>
    <n v="74821.786525769101"/>
    <n v="5.3485533500000004"/>
    <n v="56452.871873700897"/>
    <n v="257932.65316691599"/>
    <m/>
    <m/>
    <m/>
    <m/>
    <m/>
    <m/>
    <m/>
    <m/>
    <m/>
    <m/>
  </r>
  <r>
    <x v="989"/>
    <n v="1"/>
    <n v="78831535"/>
    <n v="75179.323466020694"/>
    <n v="4.4819915899999998"/>
    <n v="56393.964765492899"/>
    <n v="242130.066443346"/>
    <m/>
    <m/>
    <m/>
    <m/>
    <m/>
    <m/>
    <m/>
    <m/>
    <m/>
    <m/>
  </r>
  <r>
    <x v="990"/>
    <n v="1"/>
    <n v="79242602"/>
    <n v="75730.957500692806"/>
    <n v="4.1647352599999996"/>
    <n v="58151.582948275201"/>
    <n v="271996.15683366399"/>
    <m/>
    <m/>
    <m/>
    <m/>
    <m/>
    <m/>
    <m/>
    <m/>
    <m/>
    <m/>
  </r>
  <r>
    <x v="991"/>
    <n v="1"/>
    <n v="80973666"/>
    <n v="76274.400203464495"/>
    <n v="4.1669118200000002"/>
    <n v="59011.8714945272"/>
    <n v="293292.76909336401"/>
    <m/>
    <m/>
    <m/>
    <m/>
    <m/>
    <m/>
    <m/>
    <m/>
    <m/>
    <m/>
  </r>
  <r>
    <x v="992"/>
    <n v="1"/>
    <n v="75850735"/>
    <n v="77046.496627661298"/>
    <n v="4.0328808499999997"/>
    <n v="58945.437236104299"/>
    <n v="287700.169630213"/>
    <m/>
    <m/>
    <m/>
    <m/>
    <m/>
    <m/>
    <m/>
    <m/>
    <m/>
    <m/>
  </r>
  <r>
    <x v="993"/>
    <n v="1"/>
    <n v="75026171"/>
    <n v="75044.932233058207"/>
    <n v="3.9911744800000002"/>
    <n v="57884.860020171502"/>
    <n v="302695.77818415599"/>
    <m/>
    <m/>
    <m/>
    <m/>
    <m/>
    <m/>
    <m/>
    <m/>
    <m/>
    <m/>
  </r>
  <r>
    <x v="994"/>
    <n v="1"/>
    <n v="77716764"/>
    <n v="74080.168527009097"/>
    <n v="3.8609063400000001"/>
    <n v="57736.135993142198"/>
    <n v="314225.20147431397"/>
    <m/>
    <m/>
    <m/>
    <m/>
    <m/>
    <m/>
    <m/>
    <m/>
    <m/>
    <m/>
  </r>
  <r>
    <x v="995"/>
    <n v="1"/>
    <n v="85638433"/>
    <n v="74435.839200347604"/>
    <n v="3.6637441399999999"/>
    <n v="58104.599724909698"/>
    <n v="312777.24096692097"/>
    <m/>
    <m/>
    <m/>
    <m/>
    <m/>
    <m/>
    <m/>
    <m/>
    <m/>
    <m/>
  </r>
  <r>
    <x v="996"/>
    <n v="1"/>
    <n v="78054938"/>
    <n v="75243.828564818294"/>
    <n v="3.67753525"/>
    <n v="58704.5243077622"/>
    <n v="334145.05163729802"/>
    <m/>
    <m/>
    <m/>
    <m/>
    <m/>
    <m/>
    <m/>
    <m/>
    <m/>
    <m/>
  </r>
  <r>
    <x v="997"/>
    <n v="1"/>
    <n v="75238286"/>
    <n v="74274.940027838893"/>
    <n v="0"/>
    <n v="59800.645422288901"/>
    <n v="344310.05549372302"/>
    <m/>
    <m/>
    <m/>
    <m/>
    <m/>
    <m/>
    <m/>
    <m/>
    <m/>
    <m/>
  </r>
  <r>
    <x v="998"/>
    <n v="1"/>
    <n v="74326033"/>
    <n v="72520.278075909795"/>
    <n v="0"/>
    <n v="60787.9562465907"/>
    <n v="326521.49576383299"/>
    <m/>
    <m/>
    <m/>
    <m/>
    <m/>
    <m/>
    <m/>
    <m/>
    <m/>
    <m/>
  </r>
  <r>
    <x v="999"/>
    <n v="1"/>
    <n v="71399412"/>
    <n v="67982.606211795093"/>
    <n v="0"/>
    <n v="56539.853736693301"/>
    <n v="310835.22481108602"/>
    <m/>
    <m/>
    <m/>
    <m/>
    <m/>
    <m/>
    <m/>
    <m/>
    <m/>
    <m/>
  </r>
  <r>
    <x v="1000"/>
    <n v="1"/>
    <n v="88219997"/>
    <n v="68991.942597950998"/>
    <n v="0"/>
    <n v="57421.066090943903"/>
    <n v="310680.96971396799"/>
    <m/>
    <m/>
    <m/>
    <m/>
    <m/>
    <m/>
    <m/>
    <m/>
    <m/>
    <m/>
  </r>
  <r>
    <x v="1001"/>
    <n v="1"/>
    <n v="99806389"/>
    <n v="73420.521855551706"/>
    <n v="0"/>
    <n v="57713.836113451202"/>
    <n v="307521.42300043401"/>
    <m/>
    <m/>
    <m/>
    <m/>
    <m/>
    <m/>
    <m/>
    <m/>
    <m/>
    <m/>
  </r>
  <r>
    <x v="1002"/>
    <n v="1"/>
    <n v="103374935"/>
    <n v="74637.864435170603"/>
    <n v="0"/>
    <n v="57798.2336452647"/>
    <n v="304436.84487083001"/>
    <m/>
    <m/>
    <m/>
    <m/>
    <m/>
    <m/>
    <m/>
    <m/>
    <m/>
    <m/>
  </r>
  <r>
    <x v="1003"/>
    <n v="1"/>
    <n v="98858837"/>
    <n v="78393.444403914094"/>
    <n v="0"/>
    <n v="57570.0714162039"/>
    <n v="0"/>
    <m/>
    <m/>
    <m/>
    <m/>
    <m/>
    <m/>
    <m/>
    <m/>
    <m/>
    <m/>
  </r>
  <r>
    <x v="1004"/>
    <n v="1"/>
    <n v="88712830"/>
    <n v="77864.717550819798"/>
    <n v="0"/>
    <n v="58753.944199135003"/>
    <n v="0"/>
    <m/>
    <m/>
    <m/>
    <m/>
    <m/>
    <m/>
    <m/>
    <m/>
    <m/>
    <m/>
  </r>
  <r>
    <x v="1005"/>
    <n v="1"/>
    <n v="95293222"/>
    <n v="76298.057583909802"/>
    <n v="0"/>
    <n v="59508.196214600401"/>
    <n v="0"/>
    <m/>
    <m/>
    <m/>
    <m/>
    <m/>
    <m/>
    <m/>
    <m/>
    <m/>
    <m/>
  </r>
  <r>
    <x v="1006"/>
    <n v="1"/>
    <n v="103410300"/>
    <n v="80210.278924017199"/>
    <n v="0"/>
    <n v="58545.9469787751"/>
    <n v="0"/>
    <m/>
    <m/>
    <m/>
    <m/>
    <m/>
    <m/>
    <m/>
    <m/>
    <m/>
    <m/>
  </r>
  <r>
    <x v="1007"/>
    <n v="1"/>
    <n v="89677700"/>
    <n v="78933.994067475796"/>
    <n v="0"/>
    <n v="58357.219171364399"/>
    <n v="0"/>
    <m/>
    <m/>
    <m/>
    <m/>
    <m/>
    <m/>
    <m/>
    <m/>
    <m/>
    <m/>
  </r>
  <r>
    <x v="1008"/>
    <n v="1"/>
    <n v="87758898"/>
    <n v="78513.887720867802"/>
    <n v="0"/>
    <n v="57471.595936072299"/>
    <n v="0"/>
    <m/>
    <m/>
    <m/>
    <m/>
    <m/>
    <m/>
    <m/>
    <m/>
    <m/>
    <m/>
  </r>
  <r>
    <x v="1009"/>
    <n v="1"/>
    <n v="78593372"/>
    <n v="78092.797170139398"/>
    <n v="0"/>
    <n v="57633.811084921501"/>
    <n v="0"/>
    <m/>
    <m/>
    <m/>
    <m/>
    <m/>
    <m/>
    <m/>
    <m/>
    <m/>
    <m/>
  </r>
  <r>
    <x v="1010"/>
    <n v="1"/>
    <n v="73542908"/>
    <n v="76042.4224251134"/>
    <n v="0"/>
    <n v="58671.145670550097"/>
    <n v="0"/>
    <m/>
    <m/>
    <m/>
    <m/>
    <m/>
    <m/>
    <m/>
    <m/>
    <m/>
    <m/>
  </r>
  <r>
    <x v="1011"/>
    <n v="1"/>
    <n v="71301491"/>
    <n v="75464.8889218166"/>
    <n v="0"/>
    <n v="61238.344642571501"/>
    <n v="0"/>
    <m/>
    <m/>
    <m/>
    <m/>
    <m/>
    <m/>
    <m/>
    <m/>
    <m/>
    <m/>
  </r>
  <r>
    <x v="1012"/>
    <n v="1"/>
    <n v="63044139"/>
    <n v="66996.959617428205"/>
    <n v="0"/>
    <n v="58715.460769885802"/>
    <n v="0"/>
    <m/>
    <m/>
    <m/>
    <m/>
    <m/>
    <m/>
    <m/>
    <m/>
    <m/>
    <m/>
  </r>
  <r>
    <x v="1013"/>
    <n v="1"/>
    <n v="56942145"/>
    <n v="66060.471942178905"/>
    <n v="0"/>
    <n v="56553.0867716219"/>
    <n v="0"/>
    <m/>
    <m/>
    <m/>
    <m/>
    <m/>
    <m/>
    <m/>
    <m/>
    <m/>
    <m/>
  </r>
  <r>
    <x v="1014"/>
    <n v="1"/>
    <n v="50815621"/>
    <n v="67201.318486583696"/>
    <n v="0"/>
    <n v="56845.735708856599"/>
    <n v="0"/>
    <m/>
    <m/>
    <m/>
    <m/>
    <m/>
    <m/>
    <m/>
    <m/>
    <m/>
    <m/>
  </r>
  <r>
    <x v="1015"/>
    <n v="1"/>
    <n v="48518175"/>
    <n v="65468.667773144902"/>
    <n v="0"/>
    <n v="57327.8221370889"/>
    <n v="0"/>
    <m/>
    <m/>
    <m/>
    <m/>
    <m/>
    <m/>
    <m/>
    <m/>
    <m/>
    <m/>
  </r>
  <r>
    <x v="1016"/>
    <n v="1"/>
    <n v="45320142"/>
    <n v="65397.973996738699"/>
    <n v="0"/>
    <n v="58253.9276866238"/>
    <n v="0"/>
    <m/>
    <m/>
    <m/>
    <m/>
    <m/>
    <m/>
    <m/>
    <m/>
    <m/>
    <m/>
  </r>
  <r>
    <x v="1017"/>
    <n v="1"/>
    <n v="48578456"/>
    <n v="65682.065981611595"/>
    <n v="0"/>
    <n v="58388.805179667703"/>
    <n v="0"/>
    <m/>
    <m/>
    <m/>
    <m/>
    <m/>
    <m/>
    <m/>
    <m/>
    <m/>
    <m/>
  </r>
  <r>
    <x v="1018"/>
    <n v="1"/>
    <n v="44371099"/>
    <n v="61911.1456836289"/>
    <n v="0"/>
    <n v="57930.139084494003"/>
    <n v="0"/>
    <m/>
    <m/>
    <m/>
    <m/>
    <m/>
    <m/>
    <m/>
    <m/>
    <m/>
    <m/>
  </r>
  <r>
    <x v="1019"/>
    <n v="1"/>
    <n v="43007119"/>
    <n v="58123.226521427699"/>
    <n v="0"/>
    <n v="58244.824570565099"/>
    <n v="0"/>
    <m/>
    <m/>
    <m/>
    <m/>
    <m/>
    <m/>
    <m/>
    <m/>
    <m/>
    <m/>
  </r>
  <r>
    <x v="1020"/>
    <n v="1"/>
    <n v="41765822"/>
    <n v="55433.507644935198"/>
    <n v="0"/>
    <n v="55438.192815417497"/>
    <n v="0"/>
    <m/>
    <m/>
    <m/>
    <m/>
    <m/>
    <m/>
    <m/>
    <m/>
    <m/>
    <m/>
  </r>
  <r>
    <x v="1021"/>
    <n v="1"/>
    <n v="40972890"/>
    <n v="56659.692452360498"/>
    <n v="0"/>
    <n v="54341.6700285888"/>
    <n v="0"/>
    <m/>
    <m/>
    <m/>
    <m/>
    <m/>
    <m/>
    <m/>
    <m/>
    <m/>
    <m/>
  </r>
  <r>
    <x v="1022"/>
    <n v="1"/>
    <n v="31646081"/>
    <n v="46808.189859188198"/>
    <n v="0"/>
    <n v="51241.526537121099"/>
    <n v="0"/>
    <m/>
    <m/>
    <m/>
    <m/>
    <m/>
    <m/>
    <m/>
    <m/>
    <m/>
    <m/>
  </r>
  <r>
    <x v="1023"/>
    <n v="1"/>
    <n v="30291023"/>
    <n v="43245.706984181299"/>
    <n v="0"/>
    <n v="48743.285269776497"/>
    <n v="0"/>
    <m/>
    <m/>
    <m/>
    <m/>
    <m/>
    <m/>
    <m/>
    <m/>
    <m/>
    <m/>
  </r>
  <r>
    <x v="1024"/>
    <n v="1"/>
    <n v="28096734"/>
    <n v="42712.537054772598"/>
    <n v="0"/>
    <n v="47458.403449477002"/>
    <n v="0"/>
    <m/>
    <m/>
    <m/>
    <m/>
    <m/>
    <m/>
    <m/>
    <m/>
    <m/>
    <m/>
  </r>
  <r>
    <x v="1025"/>
    <n v="1"/>
    <n v="30312295"/>
    <n v="38399.644028933697"/>
    <n v="0"/>
    <n v="43899.610604711699"/>
    <n v="0"/>
    <m/>
    <m/>
    <m/>
    <m/>
    <m/>
    <m/>
    <m/>
    <m/>
    <m/>
    <m/>
  </r>
  <r>
    <x v="1026"/>
    <n v="1"/>
    <n v="29386938"/>
    <n v="36771.823266639098"/>
    <n v="0"/>
    <n v="42264.278447975201"/>
    <n v="0"/>
    <m/>
    <m/>
    <m/>
    <m/>
    <m/>
    <m/>
    <m/>
    <m/>
    <m/>
    <m/>
  </r>
  <r>
    <x v="1027"/>
    <n v="1"/>
    <n v="24685057"/>
    <n v="30381.608615384601"/>
    <n v="0"/>
    <n v="36992.869055007002"/>
    <n v="0"/>
    <m/>
    <m/>
    <m/>
    <m/>
    <m/>
    <m/>
    <m/>
    <m/>
    <m/>
    <m/>
  </r>
  <r>
    <x v="1028"/>
    <n v="1"/>
    <n v="20846431"/>
    <n v="26516.441736519999"/>
    <n v="0"/>
    <n v="29061.5563063956"/>
    <n v="0"/>
    <m/>
    <m/>
    <m/>
    <m/>
    <m/>
    <m/>
    <m/>
    <m/>
    <m/>
    <m/>
  </r>
  <r>
    <x v="1029"/>
    <n v="1"/>
    <n v="15797364"/>
    <n v="22010.1765287782"/>
    <n v="0"/>
    <n v="23992.887603230702"/>
    <n v="0"/>
    <m/>
    <m/>
    <m/>
    <m/>
    <m/>
    <m/>
    <m/>
    <m/>
    <m/>
    <m/>
  </r>
  <r>
    <x v="1030"/>
    <n v="1"/>
    <n v="14600775"/>
    <n v="21089.633406517201"/>
    <n v="0"/>
    <n v="24118.740802703"/>
    <n v="0"/>
    <m/>
    <m/>
    <m/>
    <m/>
    <m/>
    <m/>
    <m/>
    <m/>
    <m/>
    <m/>
  </r>
  <r>
    <x v="1031"/>
    <n v="1"/>
    <n v="13715902"/>
    <n v="20049.850165913798"/>
    <n v="0"/>
    <n v="23342.907397464602"/>
    <n v="0"/>
    <m/>
    <m/>
    <m/>
    <m/>
    <m/>
    <m/>
    <m/>
    <m/>
    <m/>
    <m/>
  </r>
  <r>
    <x v="1032"/>
    <n v="1"/>
    <n v="13219941"/>
    <n v="19060.441477551201"/>
    <n v="0"/>
    <n v="15473.1397150424"/>
    <n v="0"/>
    <m/>
    <m/>
    <m/>
    <m/>
    <m/>
    <m/>
    <m/>
    <m/>
    <m/>
    <m/>
  </r>
  <r>
    <x v="1033"/>
    <n v="1"/>
    <n v="13612594"/>
    <n v="19471.876296327999"/>
    <n v="0"/>
    <n v="15266.389761783599"/>
    <n v="0"/>
    <m/>
    <m/>
    <m/>
    <m/>
    <m/>
    <m/>
    <m/>
    <m/>
    <m/>
    <m/>
  </r>
  <r>
    <x v="1034"/>
    <n v="1"/>
    <n v="13343930"/>
    <n v="20325.245232437701"/>
    <n v="0"/>
    <n v="16291.995902124299"/>
    <n v="0"/>
    <m/>
    <m/>
    <m/>
    <m/>
    <m/>
    <m/>
    <m/>
    <m/>
    <m/>
    <m/>
  </r>
  <r>
    <x v="1035"/>
    <n v="1"/>
    <n v="11630174"/>
    <n v="22655.0062334424"/>
    <n v="0"/>
    <n v="16627.587760585899"/>
    <n v="0"/>
    <m/>
    <m/>
    <m/>
    <m/>
    <m/>
    <m/>
    <m/>
    <m/>
    <m/>
    <m/>
  </r>
  <r>
    <x v="1036"/>
    <n v="1"/>
    <n v="10339780"/>
    <n v="23685.756173546499"/>
    <n v="0"/>
    <n v="15928.0226321887"/>
    <n v="0"/>
    <m/>
    <m/>
    <m/>
    <m/>
    <m/>
    <m/>
    <m/>
    <m/>
    <m/>
    <m/>
  </r>
  <r>
    <x v="1037"/>
    <n v="1"/>
    <n v="11046204"/>
    <n v="23387.614067032198"/>
    <n v="0"/>
    <n v="17329.074153604899"/>
    <n v="0"/>
    <m/>
    <m/>
    <m/>
    <m/>
    <m/>
    <m/>
    <m/>
    <m/>
    <m/>
    <m/>
  </r>
  <r>
    <x v="1038"/>
    <n v="1"/>
    <n v="10571618"/>
    <n v="23399.924742131101"/>
    <n v="0"/>
    <n v="17287.439206265601"/>
    <n v="0"/>
    <m/>
    <m/>
    <m/>
    <m/>
    <m/>
    <m/>
    <m/>
    <m/>
    <m/>
    <m/>
  </r>
  <r>
    <x v="1039"/>
    <n v="1"/>
    <n v="10195547"/>
    <n v="24231.264854073499"/>
    <n v="0"/>
    <n v="15046.9181404635"/>
    <n v="0"/>
    <m/>
    <m/>
    <m/>
    <m/>
    <m/>
    <m/>
    <m/>
    <m/>
    <m/>
    <m/>
  </r>
  <r>
    <x v="1040"/>
    <n v="1"/>
    <n v="10984395"/>
    <n v="26005.338668055501"/>
    <n v="0"/>
    <n v="14556.764998173199"/>
    <n v="0"/>
    <m/>
    <m/>
    <m/>
    <m/>
    <m/>
    <m/>
    <m/>
    <m/>
    <m/>
    <m/>
  </r>
  <r>
    <x v="1041"/>
    <n v="1"/>
    <n v="11582730"/>
    <n v="25514.869151466999"/>
    <n v="0"/>
    <n v="14339.358585628999"/>
    <n v="0"/>
    <m/>
    <m/>
    <m/>
    <m/>
    <m/>
    <m/>
    <m/>
    <m/>
    <m/>
    <m/>
  </r>
  <r>
    <x v="1042"/>
    <n v="1"/>
    <n v="9739269"/>
    <n v="20858.092219390401"/>
    <n v="0"/>
    <n v="14175.115749397"/>
    <n v="0"/>
    <m/>
    <m/>
    <m/>
    <m/>
    <m/>
    <m/>
    <m/>
    <m/>
    <m/>
    <m/>
  </r>
  <r>
    <x v="1043"/>
    <n v="1"/>
    <n v="9276538"/>
    <n v="20039.181716063202"/>
    <n v="0"/>
    <n v="14960.6214334412"/>
    <n v="0"/>
    <m/>
    <m/>
    <m/>
    <m/>
    <m/>
    <m/>
    <m/>
    <m/>
    <m/>
    <m/>
  </r>
  <r>
    <x v="1044"/>
    <n v="1"/>
    <n v="8998308"/>
    <n v="19648.676740326599"/>
    <n v="0"/>
    <n v="15749.499941751799"/>
    <n v="0"/>
    <m/>
    <m/>
    <m/>
    <m/>
    <m/>
    <m/>
    <m/>
    <m/>
    <m/>
    <m/>
  </r>
  <r>
    <x v="1045"/>
    <n v="1"/>
    <n v="9168312"/>
    <n v="19862.8883400493"/>
    <n v="0"/>
    <n v="17061.964784791999"/>
    <n v="0"/>
    <m/>
    <m/>
    <m/>
    <m/>
    <m/>
    <m/>
    <m/>
    <m/>
    <m/>
    <m/>
  </r>
  <r>
    <x v="1046"/>
    <n v="1"/>
    <n v="8845547"/>
    <n v="20320.109806804299"/>
    <n v="0"/>
    <n v="17549.8006423144"/>
    <n v="0"/>
    <m/>
    <m/>
    <m/>
    <m/>
    <m/>
    <m/>
    <m/>
    <m/>
    <m/>
    <m/>
  </r>
  <r>
    <x v="1047"/>
    <n v="1"/>
    <n v="8697058"/>
    <n v="20353.5174350573"/>
    <n v="0"/>
    <n v="17818.0983215042"/>
    <n v="0"/>
    <m/>
    <m/>
    <m/>
    <m/>
    <m/>
    <m/>
    <m/>
    <m/>
    <m/>
    <m/>
  </r>
  <r>
    <x v="1048"/>
    <n v="1"/>
    <n v="8824505"/>
    <n v="18926.958218943"/>
    <n v="0"/>
    <n v="18011.6674151894"/>
    <n v="0"/>
    <m/>
    <m/>
    <m/>
    <m/>
    <m/>
    <m/>
    <m/>
    <m/>
    <m/>
    <m/>
  </r>
  <r>
    <x v="1049"/>
    <n v="1"/>
    <n v="8832017"/>
    <n v="18585.8943602693"/>
    <n v="0"/>
    <n v="18525.986566539701"/>
    <n v="0"/>
    <m/>
    <m/>
    <m/>
    <m/>
    <m/>
    <m/>
    <m/>
    <m/>
    <m/>
    <m/>
  </r>
  <r>
    <x v="1050"/>
    <n v="1"/>
    <n v="8939618"/>
    <n v="19002.270166861501"/>
    <n v="0"/>
    <n v="18973.699075151399"/>
    <n v="0"/>
    <m/>
    <m/>
    <m/>
    <m/>
    <m/>
    <m/>
    <m/>
    <m/>
    <m/>
    <m/>
  </r>
  <r>
    <x v="1051"/>
    <n v="1"/>
    <n v="8758371"/>
    <n v="18853.451727478201"/>
    <n v="0"/>
    <n v="18801.635724512002"/>
    <n v="0"/>
    <m/>
    <m/>
    <m/>
    <m/>
    <m/>
    <m/>
    <m/>
    <m/>
    <m/>
    <m/>
  </r>
  <r>
    <x v="1052"/>
    <n v="1"/>
    <n v="8983722"/>
    <n v="19098.048469387701"/>
    <n v="0"/>
    <n v="15445.1746701228"/>
    <n v="0"/>
    <m/>
    <m/>
    <m/>
    <m/>
    <m/>
    <m/>
    <m/>
    <m/>
    <m/>
    <m/>
  </r>
  <r>
    <x v="1053"/>
    <n v="1"/>
    <n v="8023171"/>
    <n v="19736.712503997402"/>
    <n v="0"/>
    <n v="14592.665657178901"/>
    <n v="0"/>
    <m/>
    <m/>
    <m/>
    <m/>
    <m/>
    <m/>
    <m/>
    <m/>
    <m/>
    <m/>
  </r>
  <r>
    <x v="1054"/>
    <n v="1"/>
    <n v="7817731"/>
    <n v="20528.138539505799"/>
    <n v="0"/>
    <n v="14441.5517496259"/>
    <n v="0"/>
    <m/>
    <m/>
    <m/>
    <m/>
    <m/>
    <m/>
    <m/>
    <m/>
    <m/>
    <m/>
  </r>
  <r>
    <x v="1055"/>
    <n v="1"/>
    <n v="7127275"/>
    <n v="19769.430267391501"/>
    <n v="0"/>
    <n v="14567.2702737901"/>
    <n v="0"/>
    <m/>
    <m/>
    <m/>
    <m/>
    <m/>
    <m/>
    <m/>
    <m/>
    <m/>
    <m/>
  </r>
  <r>
    <x v="1056"/>
    <n v="1"/>
    <n v="7304792"/>
    <n v="19865.6332435886"/>
    <n v="0"/>
    <n v="15096.315622095801"/>
    <n v="0"/>
    <m/>
    <m/>
    <m/>
    <m/>
    <m/>
    <m/>
    <m/>
    <m/>
    <m/>
    <m/>
  </r>
  <r>
    <x v="1057"/>
    <n v="1"/>
    <n v="7178571"/>
    <n v="20240.141540023102"/>
    <n v="0"/>
    <n v="15276.9313086518"/>
    <n v="0"/>
    <m/>
    <m/>
    <m/>
    <m/>
    <m/>
    <m/>
    <m/>
    <m/>
    <m/>
    <m/>
  </r>
  <r>
    <x v="1058"/>
    <n v="1"/>
    <n v="7163984"/>
    <n v="20666.332035193998"/>
    <n v="0"/>
    <n v="15422.084340621501"/>
    <n v="0"/>
    <m/>
    <m/>
    <m/>
    <m/>
    <m/>
    <m/>
    <m/>
    <m/>
    <m/>
    <m/>
  </r>
  <r>
    <x v="1059"/>
    <n v="1"/>
    <n v="6848192"/>
    <n v="20644.495357530399"/>
    <n v="0"/>
    <n v="15616.010865520901"/>
    <n v="0"/>
    <m/>
    <m/>
    <m/>
    <m/>
    <m/>
    <m/>
    <m/>
    <m/>
    <m/>
    <m/>
  </r>
  <r>
    <x v="1060"/>
    <n v="1"/>
    <n v="6908299"/>
    <n v="20913.959191087401"/>
    <n v="0"/>
    <n v="16011.902578454001"/>
    <n v="0"/>
    <m/>
    <m/>
    <m/>
    <m/>
    <m/>
    <m/>
    <m/>
    <m/>
    <m/>
    <m/>
  </r>
  <r>
    <x v="1061"/>
    <n v="1"/>
    <n v="1706140"/>
    <n v="5151.3888888888796"/>
    <n v="0"/>
    <n v="16147.140219254299"/>
    <n v="0"/>
    <m/>
    <m/>
    <m/>
    <m/>
    <m/>
    <m/>
    <m/>
    <m/>
    <m/>
    <m/>
  </r>
  <r>
    <x v="1062"/>
    <n v="1"/>
    <n v="1871145"/>
    <n v="5590.1798518164396"/>
    <n v="0"/>
    <n v="16262.751572258199"/>
    <n v="0"/>
    <m/>
    <m/>
    <m/>
    <m/>
    <m/>
    <m/>
    <m/>
    <m/>
    <m/>
    <m/>
  </r>
  <r>
    <x v="1063"/>
    <n v="1"/>
    <n v="1917241"/>
    <n v="6094.2180546725904"/>
    <n v="0"/>
    <n v="17061.9791322085"/>
    <n v="0"/>
    <m/>
    <m/>
    <m/>
    <m/>
    <m/>
    <m/>
    <m/>
    <m/>
    <m/>
    <m/>
  </r>
  <r>
    <x v="1064"/>
    <n v="1"/>
    <n v="1550713"/>
    <n v="5067.3583425919796"/>
    <n v="0"/>
    <n v="18054.879850086101"/>
    <n v="0"/>
    <m/>
    <m/>
    <m/>
    <m/>
    <m/>
    <m/>
    <m/>
    <m/>
    <m/>
    <m/>
  </r>
  <r>
    <x v="1065"/>
    <n v="1"/>
    <n v="1727079"/>
    <n v="5496.2256945549398"/>
    <n v="0"/>
    <n v="17233.752956175402"/>
    <n v="0"/>
    <m/>
    <m/>
    <m/>
    <m/>
    <m/>
    <m/>
    <m/>
    <m/>
    <m/>
    <m/>
  </r>
  <r>
    <x v="1066"/>
    <n v="1"/>
    <n v="2312229"/>
    <n v="7788.9543892743995"/>
    <n v="0"/>
    <n v="17297.345863845501"/>
    <n v="0"/>
    <m/>
    <m/>
    <m/>
    <m/>
    <m/>
    <m/>
    <m/>
    <m/>
    <m/>
    <m/>
  </r>
  <r>
    <x v="1067"/>
    <n v="1"/>
    <n v="2819162"/>
    <n v="8818.9758188131509"/>
    <n v="0"/>
    <n v="17539.349911275"/>
    <n v="0"/>
    <m/>
    <m/>
    <m/>
    <m/>
    <m/>
    <m/>
    <m/>
    <m/>
    <m/>
    <m/>
  </r>
  <r>
    <x v="1068"/>
    <n v="1"/>
    <n v="2452697"/>
    <n v="7980.1431592646804"/>
    <n v="0"/>
    <n v="17879.3000581458"/>
    <n v="0"/>
    <m/>
    <m/>
    <m/>
    <m/>
    <m/>
    <m/>
    <m/>
    <m/>
    <m/>
    <m/>
  </r>
  <r>
    <x v="1069"/>
    <n v="1"/>
    <n v="2604644"/>
    <n v="8924.9040570175403"/>
    <n v="0"/>
    <n v="17926.808946559599"/>
    <n v="0"/>
    <m/>
    <m/>
    <m/>
    <m/>
    <m/>
    <m/>
    <m/>
    <m/>
    <m/>
    <m/>
  </r>
  <r>
    <x v="1070"/>
    <n v="1"/>
    <n v="2369142"/>
    <n v="7981.7465130381997"/>
    <n v="0"/>
    <n v="18120.483277543099"/>
    <n v="0"/>
    <m/>
    <m/>
    <m/>
    <m/>
    <m/>
    <m/>
    <m/>
    <m/>
    <m/>
    <m/>
  </r>
  <r>
    <x v="1071"/>
    <n v="1"/>
    <n v="2278501"/>
    <n v="7691.9215447977804"/>
    <n v="0"/>
    <n v="2090.9546807073998"/>
    <n v="0"/>
    <m/>
    <m/>
    <m/>
    <m/>
    <m/>
    <m/>
    <m/>
    <m/>
    <m/>
    <m/>
  </r>
  <r>
    <x v="1072"/>
    <n v="1"/>
    <n v="2383687"/>
    <n v="7945.6233333333303"/>
    <n v="0"/>
    <n v="2439.6883615185998"/>
    <n v="0"/>
    <m/>
    <m/>
    <m/>
    <m/>
    <m/>
    <m/>
    <m/>
    <m/>
    <m/>
    <m/>
  </r>
  <r>
    <x v="1073"/>
    <n v="1"/>
    <n v="2250921"/>
    <n v="7391.9444353223198"/>
    <n v="0"/>
    <n v="3011.7542739757"/>
    <n v="0"/>
    <m/>
    <m/>
    <m/>
    <m/>
    <m/>
    <m/>
    <m/>
    <m/>
    <m/>
    <m/>
  </r>
  <r>
    <x v="1074"/>
    <n v="1"/>
    <n v="2182976"/>
    <n v="7661.7155692826"/>
    <n v="0"/>
    <n v="1903.9310929306"/>
    <n v="0"/>
    <m/>
    <m/>
    <m/>
    <m/>
    <m/>
    <m/>
    <m/>
    <m/>
    <m/>
    <m/>
  </r>
  <r>
    <x v="1075"/>
    <n v="1"/>
    <n v="2498818"/>
    <n v="8633.8815562158798"/>
    <n v="0"/>
    <n v="2453.4342161678001"/>
    <n v="0"/>
    <m/>
    <m/>
    <m/>
    <m/>
    <m/>
    <m/>
    <m/>
    <m/>
    <m/>
    <m/>
  </r>
  <r>
    <x v="1076"/>
    <n v="1"/>
    <n v="2615404"/>
    <n v="8613.7865164838695"/>
    <n v="0"/>
    <n v="4431.3863484572003"/>
    <n v="0"/>
    <m/>
    <m/>
    <m/>
    <m/>
    <m/>
    <m/>
    <m/>
    <m/>
    <m/>
    <m/>
  </r>
  <r>
    <x v="1077"/>
    <n v="1"/>
    <n v="2660420"/>
    <n v="8671.5123859191608"/>
    <n v="0"/>
    <n v="5068.9176390884004"/>
    <n v="0"/>
    <m/>
    <m/>
    <m/>
    <m/>
    <m/>
    <m/>
    <m/>
    <m/>
    <m/>
    <m/>
  </r>
  <r>
    <x v="1078"/>
    <n v="1"/>
    <n v="2620378"/>
    <n v="8618.5304565188708"/>
    <n v="0"/>
    <n v="4294.5534799019997"/>
    <n v="0"/>
    <m/>
    <m/>
    <m/>
    <m/>
    <m/>
    <m/>
    <m/>
    <m/>
    <m/>
    <m/>
  </r>
  <r>
    <x v="1079"/>
    <n v="1"/>
    <n v="2599813"/>
    <n v="8863.0995806770497"/>
    <n v="0"/>
    <n v="4579.8833562700001"/>
    <n v="0"/>
    <m/>
    <m/>
    <m/>
    <m/>
    <m/>
    <m/>
    <m/>
    <m/>
    <m/>
    <m/>
  </r>
  <r>
    <x v="1080"/>
    <n v="1"/>
    <n v="2586193"/>
    <n v="8726.2307251071197"/>
    <n v="0"/>
    <n v="4198.6606567510999"/>
    <n v="0"/>
    <m/>
    <m/>
    <m/>
    <m/>
    <m/>
    <m/>
    <m/>
    <m/>
    <m/>
    <m/>
  </r>
  <r>
    <x v="1081"/>
    <n v="1"/>
    <n v="2495857"/>
    <n v="8445.0734249171001"/>
    <n v="0"/>
    <n v="4526.3886512248"/>
    <n v="0"/>
    <m/>
    <m/>
    <m/>
    <m/>
    <m/>
    <m/>
    <m/>
    <m/>
    <m/>
    <m/>
  </r>
  <r>
    <x v="1082"/>
    <n v="1"/>
    <n v="3077011"/>
    <n v="10383.0302007761"/>
    <n v="0"/>
    <n v="4820.2574675028"/>
    <n v="0"/>
    <m/>
    <m/>
    <m/>
    <m/>
    <m/>
    <m/>
    <m/>
    <m/>
    <m/>
    <m/>
  </r>
  <r>
    <x v="1083"/>
    <n v="1"/>
    <n v="3130369"/>
    <n v="10557.736930859999"/>
    <n v="0"/>
    <n v="4491.2416019363"/>
    <n v="0"/>
    <m/>
    <m/>
    <m/>
    <m/>
    <m/>
    <m/>
    <m/>
    <m/>
    <m/>
    <m/>
  </r>
  <r>
    <x v="1084"/>
    <n v="1"/>
    <n v="2976913"/>
    <n v="10435.422582115099"/>
    <n v="0"/>
    <n v="4829.7234437827001"/>
    <n v="0"/>
    <m/>
    <m/>
    <m/>
    <m/>
    <m/>
    <m/>
    <m/>
    <m/>
    <m/>
    <m/>
  </r>
  <r>
    <x v="1085"/>
    <n v="1"/>
    <n v="3167783"/>
    <n v="10773.6727544808"/>
    <n v="0"/>
    <n v="5467.8086572541997"/>
    <n v="0"/>
    <m/>
    <m/>
    <m/>
    <m/>
    <m/>
    <m/>
    <m/>
    <m/>
    <m/>
    <m/>
  </r>
  <r>
    <x v="1086"/>
    <n v="1"/>
    <n v="3372824"/>
    <n v="11259.636120847899"/>
    <n v="0"/>
    <n v="5679.3498688250002"/>
    <n v="0"/>
    <m/>
    <m/>
    <m/>
    <m/>
    <m/>
    <m/>
    <m/>
    <m/>
    <m/>
    <m/>
  </r>
  <r>
    <x v="1087"/>
    <n v="1"/>
    <n v="3614010"/>
    <n v="11924.277418503299"/>
    <n v="0"/>
    <n v="5697.8991620835995"/>
    <n v="0"/>
    <m/>
    <m/>
    <m/>
    <m/>
    <m/>
    <m/>
    <m/>
    <m/>
    <m/>
    <m/>
  </r>
  <r>
    <x v="1088"/>
    <n v="1"/>
    <n v="3727645"/>
    <n v="12125.971829153201"/>
    <n v="0"/>
    <n v="5770.8367780006001"/>
    <n v="0"/>
    <m/>
    <m/>
    <m/>
    <m/>
    <m/>
    <m/>
    <m/>
    <m/>
    <m/>
    <m/>
  </r>
  <r>
    <x v="1089"/>
    <n v="1"/>
    <n v="3765240"/>
    <n v="12008.802704599"/>
    <n v="0"/>
    <n v="5826.8443165637"/>
    <n v="0"/>
    <m/>
    <m/>
    <m/>
    <m/>
    <m/>
    <m/>
    <m/>
    <m/>
    <m/>
    <m/>
  </r>
  <r>
    <x v="1090"/>
    <n v="1"/>
    <n v="4105398"/>
    <n v="12986.012526095999"/>
    <n v="0"/>
    <n v="5904.9665554134999"/>
    <n v="0"/>
    <m/>
    <m/>
    <m/>
    <m/>
    <m/>
    <m/>
    <m/>
    <m/>
    <m/>
    <m/>
  </r>
  <r>
    <x v="1091"/>
    <n v="1"/>
    <n v="4392076"/>
    <n v="13140.879035394701"/>
    <n v="0"/>
    <n v="5705.7619179372996"/>
    <n v="0"/>
    <m/>
    <m/>
    <m/>
    <m/>
    <m/>
    <m/>
    <m/>
    <m/>
    <m/>
    <m/>
  </r>
  <r>
    <x v="1092"/>
    <n v="1"/>
    <n v="4538303"/>
    <n v="13483.578941113499"/>
    <n v="0"/>
    <n v="7327.6929955783999"/>
    <n v="0"/>
    <m/>
    <m/>
    <m/>
    <m/>
    <m/>
    <m/>
    <m/>
    <m/>
    <m/>
    <m/>
  </r>
  <r>
    <x v="1093"/>
    <n v="1"/>
    <n v="1348483"/>
    <n v="3980.0566689294801"/>
    <n v="0"/>
    <n v="7511.0467641228997"/>
    <n v="0"/>
    <m/>
    <m/>
    <m/>
    <m/>
    <m/>
    <m/>
    <m/>
    <m/>
    <m/>
    <m/>
  </r>
  <r>
    <x v="1094"/>
    <n v="1"/>
    <n v="1803655"/>
    <n v="5354.7932191313103"/>
    <n v="0"/>
    <n v="7801.5523412761004"/>
    <n v="0"/>
    <m/>
    <m/>
    <m/>
    <m/>
    <m/>
    <m/>
    <m/>
    <m/>
    <m/>
    <m/>
  </r>
  <r>
    <x v="1095"/>
    <n v="1"/>
    <n v="2184832"/>
    <n v="7213.2853511175599"/>
    <n v="0"/>
    <n v="7871.5683300508999"/>
    <n v="0"/>
    <m/>
    <m/>
    <m/>
    <m/>
    <m/>
    <m/>
    <m/>
    <m/>
    <m/>
    <m/>
  </r>
  <r>
    <x v="1096"/>
    <n v="1"/>
    <n v="2368811"/>
    <n v="7821.4719672455903"/>
    <n v="0"/>
    <n v="8313.2228821489007"/>
    <n v="0"/>
    <m/>
    <m/>
    <m/>
    <m/>
    <m/>
    <m/>
    <m/>
    <m/>
    <m/>
    <m/>
  </r>
  <r>
    <x v="1097"/>
    <n v="1"/>
    <n v="1779275"/>
    <n v="5961.5191315419097"/>
    <n v="0"/>
    <n v="8930.6094845644002"/>
    <n v="0"/>
    <m/>
    <m/>
    <m/>
    <m/>
    <m/>
    <m/>
    <m/>
    <m/>
    <m/>
    <m/>
  </r>
  <r>
    <x v="1098"/>
    <n v="1"/>
    <n v="1157661"/>
    <n v="3898.5047987876701"/>
    <n v="0"/>
    <n v="8868.5349436080996"/>
    <n v="0"/>
    <m/>
    <m/>
    <m/>
    <m/>
    <m/>
    <m/>
    <m/>
    <m/>
    <m/>
    <m/>
  </r>
  <r>
    <x v="1099"/>
    <n v="1"/>
    <n v="1230356"/>
    <n v="3975.4305470289801"/>
    <n v="0"/>
    <n v="8936.3369197247994"/>
    <n v="0"/>
    <m/>
    <m/>
    <m/>
    <m/>
    <m/>
    <m/>
    <m/>
    <m/>
    <m/>
    <m/>
  </r>
  <r>
    <x v="1100"/>
    <n v="1"/>
    <n v="1721351"/>
    <n v="5530.2673006489704"/>
    <n v="0"/>
    <n v="9874.4931015827005"/>
    <n v="0"/>
    <m/>
    <m/>
    <m/>
    <m/>
    <m/>
    <m/>
    <m/>
    <m/>
    <m/>
    <m/>
  </r>
  <r>
    <x v="1101"/>
    <n v="1"/>
    <n v="1529506"/>
    <n v="4960.6136282554398"/>
    <n v="0"/>
    <n v="10082.392800174301"/>
    <n v="0"/>
    <m/>
    <m/>
    <m/>
    <m/>
    <m/>
    <m/>
    <m/>
    <m/>
    <m/>
    <m/>
  </r>
  <r>
    <x v="1102"/>
    <n v="1"/>
    <n v="4227210"/>
    <n v="14330.0111868198"/>
    <n v="0"/>
    <n v="10534.997753714"/>
    <n v="0"/>
    <m/>
    <m/>
    <m/>
    <m/>
    <m/>
    <m/>
    <m/>
    <m/>
    <m/>
    <m/>
  </r>
  <r>
    <x v="1103"/>
    <n v="1"/>
    <n v="4200506"/>
    <n v="14401.076522216101"/>
    <n v="0"/>
    <n v="828.32525234510001"/>
    <n v="0"/>
    <m/>
    <m/>
    <m/>
    <m/>
    <m/>
    <m/>
    <m/>
    <m/>
    <m/>
    <m/>
  </r>
  <r>
    <x v="1104"/>
    <n v="1"/>
    <n v="1266586"/>
    <n v="4340.44755148898"/>
    <n v="0"/>
    <n v="1758.7805448905999"/>
    <n v="0"/>
    <m/>
    <m/>
    <m/>
    <m/>
    <m/>
    <m/>
    <m/>
    <m/>
    <m/>
    <m/>
  </r>
  <r>
    <x v="1105"/>
    <n v="1"/>
    <n v="1340804"/>
    <n v="4517.3814898419796"/>
    <n v="0"/>
    <n v="3144.6807910772"/>
    <n v="0"/>
    <m/>
    <m/>
    <m/>
    <m/>
    <m/>
    <m/>
    <m/>
    <m/>
    <m/>
    <m/>
  </r>
  <r>
    <x v="1106"/>
    <n v="1"/>
    <n v="1406890"/>
    <n v="4628.6889291001798"/>
    <n v="0"/>
    <n v="3528.5791923147999"/>
    <n v="0"/>
    <m/>
    <m/>
    <m/>
    <m/>
    <m/>
    <m/>
    <m/>
    <m/>
    <m/>
    <m/>
  </r>
  <r>
    <x v="1107"/>
    <n v="1"/>
    <n v="2627295"/>
    <n v="8677.5274961191608"/>
    <n v="0"/>
    <n v="4377.1283966830997"/>
    <n v="0"/>
    <m/>
    <m/>
    <m/>
    <m/>
    <m/>
    <m/>
    <m/>
    <m/>
    <m/>
    <m/>
  </r>
  <r>
    <x v="1108"/>
    <n v="1"/>
    <n v="1616384"/>
    <n v="5524.5881468316302"/>
    <n v="0"/>
    <n v="3889.9933540198999"/>
    <n v="0"/>
    <m/>
    <m/>
    <m/>
    <m/>
    <m/>
    <m/>
    <m/>
    <m/>
    <m/>
    <m/>
  </r>
  <r>
    <x v="1109"/>
    <n v="1"/>
    <n v="1406365"/>
    <n v="4644.99455031872"/>
    <n v="0"/>
    <n v="3966.5773870293001"/>
    <n v="0"/>
    <m/>
    <m/>
    <m/>
    <m/>
    <m/>
    <m/>
    <m/>
    <m/>
    <m/>
    <m/>
  </r>
  <r>
    <x v="1110"/>
    <n v="1"/>
    <n v="1230081"/>
    <n v="3968.3872632835401"/>
    <n v="0"/>
    <n v="5528.3932469906003"/>
    <n v="0"/>
    <m/>
    <m/>
    <m/>
    <m/>
    <m/>
    <m/>
    <m/>
    <m/>
    <m/>
    <m/>
  </r>
  <r>
    <x v="1111"/>
    <n v="1"/>
    <n v="1340764"/>
    <n v="4645.1080931263796"/>
    <n v="0"/>
    <n v="4958.7852675483"/>
    <n v="0"/>
    <m/>
    <m/>
    <m/>
    <m/>
    <m/>
    <m/>
    <m/>
    <m/>
    <m/>
    <m/>
  </r>
  <r>
    <x v="1112"/>
    <n v="1"/>
    <n v="1332142"/>
    <n v="4517.4200549357301"/>
    <n v="0"/>
    <n v="10635.8038684084"/>
    <n v="0"/>
    <m/>
    <m/>
    <m/>
    <m/>
    <m/>
    <m/>
    <m/>
    <m/>
    <m/>
    <m/>
  </r>
  <r>
    <x v="1113"/>
    <n v="1"/>
    <n v="1322087"/>
    <n v="4678.2979476291503"/>
    <n v="0"/>
    <n v="10635.8038684084"/>
    <n v="0"/>
    <m/>
    <m/>
    <m/>
    <m/>
    <m/>
    <m/>
    <m/>
    <m/>
    <m/>
    <m/>
  </r>
  <r>
    <x v="1114"/>
    <n v="1"/>
    <n v="1363800"/>
    <n v="4766.1983644369802"/>
    <n v="0"/>
    <n v="843.11055673169994"/>
    <n v="0"/>
    <m/>
    <m/>
    <m/>
    <m/>
    <m/>
    <m/>
    <m/>
    <m/>
    <m/>
    <m/>
  </r>
  <r>
    <x v="1115"/>
    <n v="1"/>
    <n v="1208691"/>
    <n v="4596.8319768768497"/>
    <n v="0"/>
    <n v="4515.5973316240998"/>
    <n v="0"/>
    <m/>
    <m/>
    <m/>
    <m/>
    <m/>
    <m/>
    <m/>
    <m/>
    <m/>
    <m/>
  </r>
  <r>
    <x v="1116"/>
    <n v="1"/>
    <n v="1197336"/>
    <n v="4644.9780812352101"/>
    <n v="0"/>
    <n v="4626.8175166341998"/>
    <n v="0"/>
    <m/>
    <m/>
    <m/>
    <m/>
    <m/>
    <m/>
    <m/>
    <m/>
    <m/>
    <m/>
  </r>
  <r>
    <x v="1117"/>
    <n v="1"/>
    <n v="1375273"/>
    <n v="4850.0246861334399"/>
    <n v="0"/>
    <n v="4000.7779875561"/>
    <n v="0"/>
    <m/>
    <m/>
    <m/>
    <m/>
    <m/>
    <m/>
    <m/>
    <m/>
    <m/>
    <m/>
  </r>
  <r>
    <x v="1118"/>
    <n v="1"/>
    <n v="1346872"/>
    <n v="4759.2650176678399"/>
    <n v="0"/>
    <n v="3649.3426113137002"/>
    <n v="0"/>
    <m/>
    <m/>
    <m/>
    <m/>
    <m/>
    <m/>
    <m/>
    <m/>
    <m/>
    <m/>
  </r>
  <r>
    <x v="1119"/>
    <n v="1"/>
    <n v="1492881"/>
    <n v="5017.5814203609698"/>
    <n v="0"/>
    <n v="4643.1395877754003"/>
    <n v="0"/>
    <m/>
    <m/>
    <m/>
    <m/>
    <m/>
    <m/>
    <m/>
    <m/>
    <m/>
    <m/>
  </r>
  <r>
    <x v="1120"/>
    <n v="1"/>
    <n v="1406269"/>
    <n v="5442.2174922600598"/>
    <n v="0"/>
    <n v="3959.5113870292998"/>
    <n v="0"/>
    <m/>
    <m/>
    <m/>
    <m/>
    <m/>
    <m/>
    <m/>
    <m/>
    <m/>
    <m/>
  </r>
  <r>
    <x v="1121"/>
    <n v="1"/>
    <n v="1299343"/>
    <n v="5105.6740932845996"/>
    <n v="0"/>
    <n v="4643.1395877754003"/>
    <n v="0"/>
    <m/>
    <m/>
    <m/>
    <m/>
    <m/>
    <m/>
    <m/>
    <m/>
    <m/>
    <m/>
  </r>
  <r>
    <x v="1122"/>
    <n v="1"/>
    <n v="1395519"/>
    <n v="5376.2722964903496"/>
    <n v="0"/>
    <n v="4515.5973316240998"/>
    <n v="0"/>
    <m/>
    <m/>
    <m/>
    <m/>
    <m/>
    <m/>
    <m/>
    <m/>
    <m/>
    <m/>
  </r>
  <r>
    <x v="1123"/>
    <n v="1"/>
    <n v="1322049"/>
    <n v="5924.7512772250602"/>
    <n v="0"/>
    <n v="4676.3547983454"/>
    <n v="0"/>
    <m/>
    <m/>
    <m/>
    <m/>
    <m/>
    <m/>
    <m/>
    <m/>
    <m/>
    <m/>
  </r>
  <r>
    <x v="1124"/>
    <n v="1"/>
    <n v="1761431"/>
    <n v="6385.6982308584602"/>
    <n v="0"/>
    <n v="4764.4248597734004"/>
    <n v="0"/>
    <m/>
    <m/>
    <m/>
    <m/>
    <m/>
    <m/>
    <m/>
    <m/>
    <m/>
    <m/>
  </r>
  <r>
    <x v="1125"/>
    <n v="1"/>
    <n v="2187923"/>
    <n v="7439.3845630737796"/>
    <n v="0"/>
    <n v="4594.9481700008"/>
    <n v="0"/>
    <m/>
    <m/>
    <m/>
    <m/>
    <m/>
    <m/>
    <m/>
    <m/>
    <m/>
    <m/>
  </r>
  <r>
    <x v="1126"/>
    <n v="1"/>
    <n v="2100574"/>
    <n v="7050.0889410974996"/>
    <n v="0"/>
    <n v="4643.1395877754003"/>
    <n v="0"/>
    <m/>
    <m/>
    <m/>
    <m/>
    <m/>
    <m/>
    <m/>
    <m/>
    <m/>
    <m/>
  </r>
  <r>
    <x v="1127"/>
    <n v="1"/>
    <n v="632"/>
    <n v="2.1122288693559699"/>
    <n v="0"/>
    <n v="4848.3025312029004"/>
    <n v="0"/>
    <m/>
    <m/>
    <m/>
    <m/>
    <m/>
    <m/>
    <m/>
    <m/>
    <m/>
    <m/>
  </r>
  <r>
    <x v="1128"/>
    <n v="1"/>
    <n v="649"/>
    <n v="2.1363441851278799"/>
    <n v="0"/>
    <n v="4757.4431246940003"/>
    <n v="0"/>
    <m/>
    <m/>
    <m/>
    <m/>
    <m/>
    <m/>
    <m/>
    <m/>
    <m/>
    <m/>
  </r>
  <r>
    <x v="1129"/>
    <n v="1"/>
    <n v="679"/>
    <n v="2.2137454355764201"/>
    <n v="0"/>
    <n v="5015.8835920419997"/>
    <n v="0"/>
    <m/>
    <m/>
    <m/>
    <m/>
    <m/>
    <m/>
    <m/>
    <m/>
    <m/>
    <m/>
  </r>
  <r>
    <x v="1130"/>
    <n v="1"/>
    <n v="698"/>
    <n v="2.08128335867847"/>
    <n v="0"/>
    <n v="5440.0446480115997"/>
    <n v="0"/>
    <m/>
    <m/>
    <m/>
    <m/>
    <m/>
    <m/>
    <m/>
    <m/>
    <m/>
    <m/>
  </r>
  <r>
    <x v="1131"/>
    <n v="1"/>
    <n v="745"/>
    <n v="2.1981588575475"/>
    <n v="0"/>
    <n v="5103.5055019844003"/>
    <n v="0"/>
    <m/>
    <m/>
    <m/>
    <m/>
    <m/>
    <m/>
    <m/>
    <m/>
    <m/>
    <m/>
  </r>
  <r>
    <x v="1132"/>
    <n v="1"/>
    <n v="723"/>
    <n v="2.2740139648990301"/>
    <n v="0"/>
    <n v="5374.2613943542001"/>
    <n v="0"/>
    <m/>
    <m/>
    <m/>
    <m/>
    <m/>
    <m/>
    <m/>
    <m/>
    <m/>
    <m/>
  </r>
  <r>
    <x v="1133"/>
    <n v="1"/>
    <n v="684"/>
    <n v="2.2522225880803401"/>
    <n v="0"/>
    <n v="5922.3285972133999"/>
    <n v="0"/>
    <m/>
    <m/>
    <m/>
    <m/>
    <m/>
    <m/>
    <m/>
    <m/>
    <m/>
    <m/>
  </r>
  <r>
    <x v="1134"/>
    <n v="1"/>
    <n v="1141"/>
    <n v="3.2373386295928501"/>
    <n v="0"/>
    <n v="6383.9369078795999"/>
    <n v="0"/>
    <m/>
    <m/>
    <m/>
    <m/>
    <m/>
    <m/>
    <m/>
    <m/>
    <m/>
    <m/>
  </r>
  <r>
    <x v="1135"/>
    <n v="1"/>
    <n v="1451"/>
    <n v="4.1335498390450898"/>
    <n v="0"/>
    <n v="7437.3660046257"/>
    <n v="0"/>
    <m/>
    <m/>
    <m/>
    <m/>
    <m/>
    <m/>
    <m/>
    <m/>
    <m/>
    <m/>
  </r>
  <r>
    <x v="1136"/>
    <n v="1"/>
    <n v="1516"/>
    <n v="3.87307751264626"/>
    <n v="0"/>
    <n v="7047.8374171437999"/>
    <n v="0"/>
    <m/>
    <m/>
    <m/>
    <m/>
    <m/>
    <m/>
    <m/>
    <m/>
    <m/>
    <m/>
  </r>
  <r>
    <x v="1137"/>
    <n v="1"/>
    <n v="1652"/>
    <n v="4.2541137692169002"/>
    <n v="0"/>
    <n v="0"/>
    <n v="0"/>
    <m/>
    <m/>
    <m/>
    <m/>
    <m/>
    <m/>
    <m/>
    <m/>
    <m/>
    <m/>
  </r>
  <r>
    <x v="1138"/>
    <n v="1"/>
    <n v="1647"/>
    <n v="4.2906267910175497"/>
    <n v="0"/>
    <n v="0"/>
    <n v="0"/>
    <m/>
    <m/>
    <m/>
    <m/>
    <m/>
    <m/>
    <m/>
    <m/>
    <m/>
    <m/>
  </r>
  <r>
    <x v="1139"/>
    <n v="1"/>
    <n v="1591"/>
    <n v="4.2728615549885802"/>
    <n v="0"/>
    <n v="0"/>
    <n v="0"/>
    <m/>
    <m/>
    <m/>
    <m/>
    <m/>
    <m/>
    <m/>
    <m/>
    <m/>
    <m/>
  </r>
  <r>
    <x v="1140"/>
    <n v="1"/>
    <n v="1531"/>
    <n v="4.4037277800149504"/>
    <n v="0"/>
    <n v="0"/>
    <n v="0"/>
    <m/>
    <m/>
    <m/>
    <m/>
    <m/>
    <m/>
    <m/>
    <m/>
    <m/>
    <m/>
  </r>
  <r>
    <x v="1141"/>
    <n v="1"/>
    <n v="1521"/>
    <n v="4.3721973094170403"/>
    <n v="0"/>
    <n v="0"/>
    <n v="0"/>
    <m/>
    <m/>
    <m/>
    <m/>
    <m/>
    <m/>
    <m/>
    <m/>
    <m/>
    <m/>
  </r>
  <r>
    <x v="1142"/>
    <n v="1"/>
    <n v="1365"/>
    <n v="4.1008231688998302"/>
    <n v="0"/>
    <n v="0"/>
    <n v="0"/>
    <m/>
    <m/>
    <m/>
    <m/>
    <m/>
    <m/>
    <m/>
    <m/>
    <m/>
    <m/>
  </r>
  <r>
    <x v="1143"/>
    <n v="1"/>
    <n v="1300"/>
    <n v="3.9386778161546299"/>
    <n v="0"/>
    <n v="0"/>
    <n v="0"/>
    <m/>
    <m/>
    <m/>
    <m/>
    <m/>
    <m/>
    <m/>
    <m/>
    <m/>
    <m/>
  </r>
  <r>
    <x v="1144"/>
    <n v="1"/>
    <n v="1355"/>
    <n v="4.1656419085095902"/>
    <n v="0"/>
    <n v="0"/>
    <n v="0"/>
    <m/>
    <m/>
    <m/>
    <m/>
    <m/>
    <m/>
    <m/>
    <m/>
    <m/>
    <m/>
  </r>
  <r>
    <x v="1145"/>
    <n v="1"/>
    <n v="1386"/>
    <n v="4.36672967863894"/>
    <n v="0"/>
    <n v="0"/>
    <n v="0"/>
    <m/>
    <m/>
    <m/>
    <m/>
    <m/>
    <m/>
    <m/>
    <m/>
    <m/>
    <m/>
  </r>
  <r>
    <x v="1146"/>
    <n v="1"/>
    <n v="5"/>
    <n v="1.59555796662092E-2"/>
    <n v="0"/>
    <n v="0"/>
    <n v="0"/>
    <m/>
    <m/>
    <m/>
    <m/>
    <m/>
    <m/>
    <m/>
    <m/>
    <m/>
    <m/>
  </r>
  <r>
    <x v="1147"/>
    <n v="1"/>
    <n v="6"/>
    <n v="1.8642224638806802E-2"/>
    <n v="0"/>
    <n v="0"/>
    <n v="0"/>
    <m/>
    <m/>
    <m/>
    <m/>
    <m/>
    <m/>
    <m/>
    <m/>
    <m/>
    <m/>
  </r>
  <r>
    <x v="1148"/>
    <n v="1"/>
    <n v="5"/>
    <n v="1.6767270288397002E-2"/>
    <n v="0"/>
    <n v="0"/>
    <n v="0"/>
    <m/>
    <m/>
    <m/>
    <m/>
    <m/>
    <m/>
    <m/>
    <m/>
    <m/>
    <m/>
  </r>
  <r>
    <x v="1149"/>
    <n v="1"/>
    <n v="5"/>
    <n v="1.70636816599549E-2"/>
    <n v="0"/>
    <n v="0"/>
    <n v="0"/>
    <m/>
    <m/>
    <m/>
    <m/>
    <m/>
    <m/>
    <m/>
    <m/>
    <m/>
    <m/>
  </r>
  <r>
    <x v="1150"/>
    <n v="1"/>
    <n v="5"/>
    <n v="1.7087007039846901E-2"/>
    <n v="0"/>
    <n v="0"/>
    <n v="0"/>
    <m/>
    <m/>
    <m/>
    <m/>
    <m/>
    <m/>
    <m/>
    <m/>
    <m/>
    <m/>
  </r>
  <r>
    <x v="1151"/>
    <n v="1"/>
    <n v="5"/>
    <n v="1.66500166500166E-2"/>
    <n v="0"/>
    <n v="0"/>
    <n v="0"/>
    <m/>
    <m/>
    <m/>
    <m/>
    <m/>
    <m/>
    <m/>
    <m/>
    <m/>
    <m/>
  </r>
  <r>
    <x v="1152"/>
    <n v="1"/>
    <n v="5"/>
    <n v="1.6590351051828201E-2"/>
    <n v="0"/>
    <n v="0"/>
    <n v="0"/>
    <m/>
    <m/>
    <m/>
    <m/>
    <m/>
    <m/>
    <m/>
    <m/>
    <m/>
    <m/>
  </r>
  <r>
    <x v="1153"/>
    <n v="1"/>
    <n v="6"/>
    <n v="2.09409465307831E-2"/>
    <n v="0"/>
    <n v="0"/>
    <n v="0"/>
    <m/>
    <m/>
    <m/>
    <m/>
    <m/>
    <m/>
    <m/>
    <m/>
    <m/>
    <m/>
  </r>
  <r>
    <x v="1154"/>
    <n v="1"/>
    <n v="5"/>
    <n v="1.6713464366893901E-2"/>
    <n v="0"/>
    <n v="0"/>
    <n v="0"/>
    <m/>
    <m/>
    <m/>
    <m/>
    <m/>
    <m/>
    <m/>
    <m/>
    <m/>
    <m/>
  </r>
  <r>
    <x v="1155"/>
    <n v="1"/>
    <n v="6"/>
    <n v="2.0227901018137599E-2"/>
    <n v="0"/>
    <n v="0"/>
    <n v="0"/>
    <m/>
    <m/>
    <m/>
    <m/>
    <m/>
    <m/>
    <m/>
    <m/>
    <m/>
    <m/>
  </r>
  <r>
    <x v="1156"/>
    <n v="1"/>
    <n v="6"/>
    <n v="1.9479254593857499E-2"/>
    <n v="0"/>
    <n v="0"/>
    <n v="0"/>
    <m/>
    <m/>
    <m/>
    <m/>
    <m/>
    <m/>
    <m/>
    <m/>
    <m/>
    <m/>
  </r>
  <r>
    <x v="1157"/>
    <n v="1"/>
    <n v="6"/>
    <n v="1.9397387818440401E-2"/>
    <n v="0"/>
    <n v="0"/>
    <n v="0"/>
    <m/>
    <m/>
    <m/>
    <m/>
    <m/>
    <m/>
    <m/>
    <m/>
    <m/>
    <m/>
  </r>
  <r>
    <x v="1158"/>
    <n v="1"/>
    <n v="6"/>
    <n v="2.0115327879844401E-2"/>
    <n v="0"/>
    <n v="0"/>
    <n v="0"/>
    <m/>
    <m/>
    <m/>
    <m/>
    <m/>
    <m/>
    <m/>
    <m/>
    <m/>
    <m/>
  </r>
  <r>
    <x v="1159"/>
    <n v="1"/>
    <n v="5"/>
    <n v="1.69353746104863E-2"/>
    <n v="0"/>
    <n v="0"/>
    <n v="0"/>
    <m/>
    <m/>
    <m/>
    <m/>
    <m/>
    <m/>
    <m/>
    <m/>
    <m/>
    <m/>
  </r>
  <r>
    <x v="1160"/>
    <n v="1"/>
    <n v="5"/>
    <n v="1.6862837678324499E-2"/>
    <n v="0"/>
    <n v="0"/>
    <n v="0"/>
    <m/>
    <m/>
    <m/>
    <m/>
    <m/>
    <m/>
    <m/>
    <m/>
    <m/>
    <m/>
  </r>
  <r>
    <x v="1161"/>
    <n v="1"/>
    <n v="5"/>
    <n v="1.8522634659553901E-2"/>
    <n v="0"/>
    <n v="0"/>
    <n v="0"/>
    <m/>
    <m/>
    <m/>
    <m/>
    <m/>
    <m/>
    <m/>
    <m/>
    <m/>
    <m/>
  </r>
  <r>
    <x v="1162"/>
    <n v="1"/>
    <n v="5"/>
    <n v="1.88993045055941E-2"/>
    <n v="0"/>
    <n v="0"/>
    <n v="0"/>
    <m/>
    <m/>
    <m/>
    <m/>
    <m/>
    <m/>
    <m/>
    <m/>
    <m/>
    <m/>
  </r>
  <r>
    <x v="1163"/>
    <n v="1"/>
    <n v="5"/>
    <n v="1.9755818088427E-2"/>
    <n v="0"/>
    <n v="0"/>
    <n v="0"/>
    <m/>
    <m/>
    <m/>
    <m/>
    <m/>
    <m/>
    <m/>
    <m/>
    <m/>
    <m/>
  </r>
  <r>
    <x v="1164"/>
    <n v="1"/>
    <n v="5"/>
    <n v="2.2665457842248399E-2"/>
    <n v="0"/>
    <n v="0"/>
    <n v="0"/>
    <m/>
    <m/>
    <m/>
    <m/>
    <m/>
    <m/>
    <m/>
    <m/>
    <m/>
    <m/>
  </r>
  <r>
    <x v="1165"/>
    <n v="1"/>
    <n v="4"/>
    <n v="1.78261063327242E-2"/>
    <n v="0"/>
    <n v="0"/>
    <n v="0"/>
    <m/>
    <m/>
    <m/>
    <m/>
    <m/>
    <m/>
    <m/>
    <m/>
    <m/>
    <m/>
  </r>
  <r>
    <x v="1166"/>
    <n v="1"/>
    <n v="4"/>
    <n v="1.8338529249954098E-2"/>
    <n v="0"/>
    <n v="0"/>
    <n v="0"/>
    <m/>
    <m/>
    <m/>
    <m/>
    <m/>
    <m/>
    <m/>
    <m/>
    <m/>
    <m/>
  </r>
  <r>
    <x v="1167"/>
    <n v="1"/>
    <n v="0"/>
    <n v="0"/>
    <n v="0"/>
    <n v="0"/>
    <n v="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s v="2020-09-02T11:02:32Z"/>
    <x v="0"/>
    <x v="0"/>
    <x v="0"/>
    <x v="0"/>
  </r>
  <r>
    <s v="2020-09-02T11:02:27Z"/>
    <x v="0"/>
    <x v="0"/>
    <x v="0"/>
    <x v="0"/>
  </r>
  <r>
    <s v="2020-09-02T10:58:50Z"/>
    <x v="0"/>
    <x v="0"/>
    <x v="0"/>
    <x v="0"/>
  </r>
  <r>
    <s v="2020-09-02T10:58:39Z"/>
    <x v="0"/>
    <x v="0"/>
    <x v="0"/>
    <x v="0"/>
  </r>
  <r>
    <s v="2020-07-24T13:27:40Z"/>
    <x v="1"/>
    <x v="0"/>
    <x v="0"/>
    <x v="0"/>
  </r>
  <r>
    <s v="2020-07-24T13:27:30Z"/>
    <x v="1"/>
    <x v="0"/>
    <x v="0"/>
    <x v="0"/>
  </r>
  <r>
    <s v="2020-06-12T07:12:53Z"/>
    <x v="2"/>
    <x v="0"/>
    <x v="0"/>
    <x v="0"/>
  </r>
  <r>
    <s v="2020-06-12T07:10:24Z"/>
    <x v="2"/>
    <x v="0"/>
    <x v="0"/>
    <x v="0"/>
  </r>
  <r>
    <s v="2020-06-12T07:09:47Z"/>
    <x v="2"/>
    <x v="0"/>
    <x v="0"/>
    <x v="0"/>
  </r>
  <r>
    <s v="2020-05-29T16:04:58Z"/>
    <x v="3"/>
    <x v="0"/>
    <x v="0"/>
    <x v="0"/>
  </r>
  <r>
    <s v="2020-05-29T16:04:51Z"/>
    <x v="3"/>
    <x v="0"/>
    <x v="0"/>
    <x v="0"/>
  </r>
  <r>
    <s v="2020-05-29T16:02:12Z"/>
    <x v="3"/>
    <x v="0"/>
    <x v="0"/>
    <x v="0"/>
  </r>
  <r>
    <s v="2020-05-29T16:02:08Z"/>
    <x v="3"/>
    <x v="0"/>
    <x v="0"/>
    <x v="0"/>
  </r>
  <r>
    <s v="2020-05-29T15:52:54Z"/>
    <x v="3"/>
    <x v="0"/>
    <x v="0"/>
    <x v="0"/>
  </r>
  <r>
    <s v="2020-05-08T12:07:09Z"/>
    <x v="4"/>
    <x v="0"/>
    <x v="0"/>
    <x v="0"/>
  </r>
  <r>
    <s v="2020-05-08T12:07:01Z"/>
    <x v="4"/>
    <x v="0"/>
    <x v="0"/>
    <x v="0"/>
  </r>
  <r>
    <s v="2020-05-05T12:41:09Z"/>
    <x v="5"/>
    <x v="0"/>
    <x v="0"/>
    <x v="0"/>
  </r>
  <r>
    <s v="2020-05-05T12:38:40Z"/>
    <x v="5"/>
    <x v="0"/>
    <x v="0"/>
    <x v="0"/>
  </r>
  <r>
    <s v="2020-04-22T13:20:55Z"/>
    <x v="6"/>
    <x v="0"/>
    <x v="0"/>
    <x v="0"/>
  </r>
  <r>
    <s v="2020-04-22T13:20:48Z"/>
    <x v="6"/>
    <x v="0"/>
    <x v="0"/>
    <x v="0"/>
  </r>
  <r>
    <s v="2020-04-22T13:16:20Z"/>
    <x v="6"/>
    <x v="0"/>
    <x v="0"/>
    <x v="0"/>
  </r>
  <r>
    <s v="2020-04-22T13:16:06Z"/>
    <x v="6"/>
    <x v="0"/>
    <x v="0"/>
    <x v="0"/>
  </r>
  <r>
    <s v="2020-04-22T11:25:16Z"/>
    <x v="6"/>
    <x v="0"/>
    <x v="0"/>
    <x v="0"/>
  </r>
  <r>
    <s v="2020-04-22T11:21:38Z"/>
    <x v="6"/>
    <x v="0"/>
    <x v="0"/>
    <x v="0"/>
  </r>
  <r>
    <s v="2020-04-09T09:01:38Z"/>
    <x v="7"/>
    <x v="0"/>
    <x v="0"/>
    <x v="0"/>
  </r>
  <r>
    <s v="2020-03-30T08:16:22Z"/>
    <x v="8"/>
    <x v="0"/>
    <x v="0"/>
    <x v="0"/>
  </r>
  <r>
    <s v="2020-03-30T07:05:01Z"/>
    <x v="8"/>
    <x v="0"/>
    <x v="0"/>
    <x v="0"/>
  </r>
  <r>
    <s v="2020-03-25T08:25:35Z"/>
    <x v="9"/>
    <x v="0"/>
    <x v="0"/>
    <x v="0"/>
  </r>
  <r>
    <s v="2020-03-25T08:14:42Z"/>
    <x v="9"/>
    <x v="0"/>
    <x v="0"/>
    <x v="0"/>
  </r>
  <r>
    <s v="2020-03-25T07:27:49Z"/>
    <x v="9"/>
    <x v="0"/>
    <x v="0"/>
    <x v="0"/>
  </r>
  <r>
    <s v="2020-09-30T11:54:57Z"/>
    <x v="10"/>
    <x v="0"/>
    <x v="1"/>
    <x v="1"/>
  </r>
  <r>
    <s v="2020-09-01T07:33:06Z"/>
    <x v="11"/>
    <x v="0"/>
    <x v="1"/>
    <x v="0"/>
  </r>
  <r>
    <s v="2020-06-12T09:48:38Z"/>
    <x v="2"/>
    <x v="0"/>
    <x v="1"/>
    <x v="0"/>
  </r>
  <r>
    <s v="2020-06-12T09:24:19Z"/>
    <x v="2"/>
    <x v="0"/>
    <x v="1"/>
    <x v="0"/>
  </r>
  <r>
    <s v="2020-04-23T15:54:40Z"/>
    <x v="12"/>
    <x v="0"/>
    <x v="1"/>
    <x v="2"/>
  </r>
  <r>
    <s v="2020-04-06T18:30:03Z"/>
    <x v="13"/>
    <x v="0"/>
    <x v="1"/>
    <x v="2"/>
  </r>
  <r>
    <s v="2020-02-07T11:17:43Z"/>
    <x v="14"/>
    <x v="0"/>
    <x v="1"/>
    <x v="2"/>
  </r>
  <r>
    <s v="2020-01-31T13:29:24Z"/>
    <x v="15"/>
    <x v="0"/>
    <x v="1"/>
    <x v="2"/>
  </r>
  <r>
    <s v="2020-01-31T13:26:46Z"/>
    <x v="15"/>
    <x v="0"/>
    <x v="1"/>
    <x v="2"/>
  </r>
  <r>
    <s v="2020-01-31T13:22:11Z"/>
    <x v="15"/>
    <x v="0"/>
    <x v="1"/>
    <x v="1"/>
  </r>
  <r>
    <s v="2020-01-29T15:25:10Z"/>
    <x v="16"/>
    <x v="0"/>
    <x v="1"/>
    <x v="0"/>
  </r>
  <r>
    <s v="2020-01-28T02:36:03Z"/>
    <x v="17"/>
    <x v="0"/>
    <x v="1"/>
    <x v="2"/>
  </r>
  <r>
    <s v="2020-01-28T02:35:14Z"/>
    <x v="17"/>
    <x v="0"/>
    <x v="1"/>
    <x v="2"/>
  </r>
  <r>
    <s v="2020-01-27T11:22:29Z"/>
    <x v="18"/>
    <x v="0"/>
    <x v="1"/>
    <x v="2"/>
  </r>
  <r>
    <s v="2020-01-27T11:22:04Z"/>
    <x v="18"/>
    <x v="0"/>
    <x v="1"/>
    <x v="2"/>
  </r>
  <r>
    <s v="2020-01-27T11:21:29Z"/>
    <x v="18"/>
    <x v="0"/>
    <x v="1"/>
    <x v="2"/>
  </r>
  <r>
    <s v="2020-01-27T11:20:55Z"/>
    <x v="18"/>
    <x v="0"/>
    <x v="1"/>
    <x v="2"/>
  </r>
  <r>
    <s v="2020-01-11T21:21:15Z"/>
    <x v="19"/>
    <x v="0"/>
    <x v="1"/>
    <x v="2"/>
  </r>
  <r>
    <s v="2020-01-09T14:58:34Z"/>
    <x v="20"/>
    <x v="0"/>
    <x v="1"/>
    <x v="1"/>
  </r>
  <r>
    <s v="2020-01-08T19:54:00Z"/>
    <x v="21"/>
    <x v="0"/>
    <x v="1"/>
    <x v="1"/>
  </r>
  <r>
    <s v="2020-01-08T15:45:09Z"/>
    <x v="21"/>
    <x v="0"/>
    <x v="1"/>
    <x v="1"/>
  </r>
  <r>
    <s v="2019-11-02T18:15:45Z"/>
    <x v="22"/>
    <x v="0"/>
    <x v="1"/>
    <x v="3"/>
  </r>
  <r>
    <s v="2019-11-02T18:11:40Z"/>
    <x v="22"/>
    <x v="0"/>
    <x v="1"/>
    <x v="3"/>
  </r>
  <r>
    <s v="2019-10-30T07:48:41Z"/>
    <x v="23"/>
    <x v="0"/>
    <x v="1"/>
    <x v="1"/>
  </r>
  <r>
    <s v="2019-10-30T07:46:03Z"/>
    <x v="23"/>
    <x v="0"/>
    <x v="1"/>
    <x v="1"/>
  </r>
  <r>
    <s v="2019-10-24T11:16:27Z"/>
    <x v="24"/>
    <x v="0"/>
    <x v="1"/>
    <x v="2"/>
  </r>
  <r>
    <s v="2019-10-24T10:19:10Z"/>
    <x v="24"/>
    <x v="0"/>
    <x v="1"/>
    <x v="2"/>
  </r>
  <r>
    <s v="2019-10-24T10:18:21Z"/>
    <x v="24"/>
    <x v="0"/>
    <x v="1"/>
    <x v="2"/>
  </r>
  <r>
    <s v="2019-10-24T10:16:53Z"/>
    <x v="24"/>
    <x v="0"/>
    <x v="1"/>
    <x v="2"/>
  </r>
  <r>
    <s v="2019-10-24T09:54:15Z"/>
    <x v="24"/>
    <x v="0"/>
    <x v="1"/>
    <x v="2"/>
  </r>
  <r>
    <s v="2020-09-25T16:02:10Z"/>
    <x v="25"/>
    <x v="0"/>
    <x v="2"/>
    <x v="1"/>
  </r>
  <r>
    <s v="2020-09-25T10:12:49Z"/>
    <x v="25"/>
    <x v="0"/>
    <x v="2"/>
    <x v="1"/>
  </r>
  <r>
    <s v="2020-09-22T12:27:38Z"/>
    <x v="26"/>
    <x v="0"/>
    <x v="2"/>
    <x v="1"/>
  </r>
  <r>
    <s v="2020-09-25T18:27:58Z"/>
    <x v="25"/>
    <x v="0"/>
    <x v="3"/>
    <x v="2"/>
  </r>
  <r>
    <s v="2020-09-25T16:04:15Z"/>
    <x v="25"/>
    <x v="0"/>
    <x v="3"/>
    <x v="2"/>
  </r>
  <r>
    <s v="2020-09-25T15:22:31Z"/>
    <x v="25"/>
    <x v="0"/>
    <x v="3"/>
    <x v="2"/>
  </r>
  <r>
    <s v="2020-09-25T14:29:17Z"/>
    <x v="25"/>
    <x v="0"/>
    <x v="3"/>
    <x v="2"/>
  </r>
  <r>
    <s v="2020-09-25T14:15:28Z"/>
    <x v="25"/>
    <x v="0"/>
    <x v="3"/>
    <x v="2"/>
  </r>
  <r>
    <s v="2020-09-25T13:51:58Z"/>
    <x v="25"/>
    <x v="0"/>
    <x v="3"/>
    <x v="2"/>
  </r>
  <r>
    <s v="2020-09-25T13:50:05Z"/>
    <x v="25"/>
    <x v="0"/>
    <x v="3"/>
    <x v="2"/>
  </r>
  <r>
    <s v="2020-09-25T13:49:12Z"/>
    <x v="25"/>
    <x v="0"/>
    <x v="3"/>
    <x v="4"/>
  </r>
  <r>
    <s v="2020-09-25T13:42:37Z"/>
    <x v="25"/>
    <x v="0"/>
    <x v="3"/>
    <x v="2"/>
  </r>
  <r>
    <s v="2020-09-25T13:38:59Z"/>
    <x v="25"/>
    <x v="0"/>
    <x v="3"/>
    <x v="2"/>
  </r>
  <r>
    <s v="2020-09-25T13:36:00Z"/>
    <x v="25"/>
    <x v="0"/>
    <x v="3"/>
    <x v="2"/>
  </r>
  <r>
    <s v="2020-09-23T10:22:20Z"/>
    <x v="27"/>
    <x v="0"/>
    <x v="3"/>
    <x v="2"/>
  </r>
  <r>
    <s v="2020-09-23T10:11:50Z"/>
    <x v="27"/>
    <x v="0"/>
    <x v="3"/>
    <x v="2"/>
  </r>
  <r>
    <s v="2020-09-23T10:09:13Z"/>
    <x v="27"/>
    <x v="0"/>
    <x v="3"/>
    <x v="2"/>
  </r>
  <r>
    <s v="2020-09-23T08:45:04Z"/>
    <x v="27"/>
    <x v="0"/>
    <x v="3"/>
    <x v="2"/>
  </r>
  <r>
    <s v="2020-07-30T21:30:53Z"/>
    <x v="28"/>
    <x v="0"/>
    <x v="3"/>
    <x v="5"/>
  </r>
  <r>
    <s v="2020-07-01T15:02:18Z"/>
    <x v="29"/>
    <x v="0"/>
    <x v="3"/>
    <x v="2"/>
  </r>
  <r>
    <s v="2020-07-01T14:59:09Z"/>
    <x v="29"/>
    <x v="0"/>
    <x v="3"/>
    <x v="4"/>
  </r>
  <r>
    <s v="2020-07-01T13:40:04Z"/>
    <x v="29"/>
    <x v="0"/>
    <x v="3"/>
    <x v="2"/>
  </r>
  <r>
    <s v="2020-07-01T13:35:25Z"/>
    <x v="29"/>
    <x v="0"/>
    <x v="3"/>
    <x v="4"/>
  </r>
  <r>
    <s v="2020-07-01T13:28:18Z"/>
    <x v="29"/>
    <x v="0"/>
    <x v="3"/>
    <x v="2"/>
  </r>
  <r>
    <s v="2020-07-01T13:24:04Z"/>
    <x v="29"/>
    <x v="0"/>
    <x v="3"/>
    <x v="2"/>
  </r>
  <r>
    <s v="2020-07-01T13:22:09Z"/>
    <x v="29"/>
    <x v="0"/>
    <x v="3"/>
    <x v="2"/>
  </r>
  <r>
    <s v="2020-07-01T13:20:20Z"/>
    <x v="29"/>
    <x v="0"/>
    <x v="3"/>
    <x v="2"/>
  </r>
  <r>
    <s v="2020-07-01T13:19:09Z"/>
    <x v="29"/>
    <x v="0"/>
    <x v="3"/>
    <x v="2"/>
  </r>
  <r>
    <s v="2020-06-30T08:24:02Z"/>
    <x v="30"/>
    <x v="0"/>
    <x v="3"/>
    <x v="4"/>
  </r>
  <r>
    <s v="2020-06-29T10:05:12Z"/>
    <x v="31"/>
    <x v="0"/>
    <x v="3"/>
    <x v="6"/>
  </r>
  <r>
    <s v="2020-06-26T13:38:18Z"/>
    <x v="32"/>
    <x v="0"/>
    <x v="3"/>
    <x v="6"/>
  </r>
  <r>
    <s v="2020-06-26T12:38:28Z"/>
    <x v="32"/>
    <x v="0"/>
    <x v="3"/>
    <x v="6"/>
  </r>
  <r>
    <s v="2020-06-26T12:18:38Z"/>
    <x v="32"/>
    <x v="0"/>
    <x v="3"/>
    <x v="2"/>
  </r>
  <r>
    <s v="2020-03-19T23:52:02Z"/>
    <x v="33"/>
    <x v="0"/>
    <x v="4"/>
    <x v="7"/>
  </r>
  <r>
    <s v="2020-03-19T23:51:47Z"/>
    <x v="33"/>
    <x v="0"/>
    <x v="4"/>
    <x v="7"/>
  </r>
  <r>
    <s v="2020-03-19T22:19:33Z"/>
    <x v="33"/>
    <x v="0"/>
    <x v="4"/>
    <x v="7"/>
  </r>
  <r>
    <s v="2020-03-19T22:19:12Z"/>
    <x v="33"/>
    <x v="0"/>
    <x v="4"/>
    <x v="7"/>
  </r>
  <r>
    <s v="2020-03-19T18:43:52Z"/>
    <x v="33"/>
    <x v="0"/>
    <x v="4"/>
    <x v="7"/>
  </r>
  <r>
    <s v="2020-03-19T18:43:42Z"/>
    <x v="33"/>
    <x v="0"/>
    <x v="4"/>
    <x v="7"/>
  </r>
  <r>
    <s v="2020-03-19T18:43:31Z"/>
    <x v="33"/>
    <x v="0"/>
    <x v="4"/>
    <x v="7"/>
  </r>
  <r>
    <s v="2020-03-19T18:40:04Z"/>
    <x v="33"/>
    <x v="0"/>
    <x v="4"/>
    <x v="2"/>
  </r>
  <r>
    <s v="2020-03-19T18:26:08Z"/>
    <x v="33"/>
    <x v="0"/>
    <x v="4"/>
    <x v="7"/>
  </r>
  <r>
    <s v="2020-03-19T15:50:43Z"/>
    <x v="33"/>
    <x v="0"/>
    <x v="4"/>
    <x v="2"/>
  </r>
  <r>
    <s v="2020-03-18T20:29:55Z"/>
    <x v="34"/>
    <x v="0"/>
    <x v="4"/>
    <x v="8"/>
  </r>
  <r>
    <s v="2020-03-18T20:17:47Z"/>
    <x v="34"/>
    <x v="0"/>
    <x v="4"/>
    <x v="8"/>
  </r>
  <r>
    <s v="2020-03-18T18:49:56Z"/>
    <x v="34"/>
    <x v="0"/>
    <x v="4"/>
    <x v="7"/>
  </r>
  <r>
    <s v="2020-03-17T17:36:45Z"/>
    <x v="35"/>
    <x v="0"/>
    <x v="4"/>
    <x v="9"/>
  </r>
  <r>
    <s v="2020-03-13T21:05:24Z"/>
    <x v="36"/>
    <x v="0"/>
    <x v="4"/>
    <x v="7"/>
  </r>
  <r>
    <s v="2020-03-11T21:59:11Z"/>
    <x v="37"/>
    <x v="0"/>
    <x v="4"/>
    <x v="2"/>
  </r>
  <r>
    <s v="2020-03-11T16:04:15Z"/>
    <x v="37"/>
    <x v="0"/>
    <x v="4"/>
    <x v="7"/>
  </r>
  <r>
    <s v="2020-03-11T15:48:42Z"/>
    <x v="37"/>
    <x v="0"/>
    <x v="4"/>
    <x v="2"/>
  </r>
  <r>
    <s v="2020-03-10T03:17:04Z"/>
    <x v="38"/>
    <x v="0"/>
    <x v="4"/>
    <x v="10"/>
  </r>
  <r>
    <s v="2020-03-06T00:20:29Z"/>
    <x v="39"/>
    <x v="0"/>
    <x v="4"/>
    <x v="7"/>
  </r>
  <r>
    <s v="2020-03-06T00:19:41Z"/>
    <x v="39"/>
    <x v="0"/>
    <x v="4"/>
    <x v="7"/>
  </r>
  <r>
    <s v="2020-03-06T00:18:33Z"/>
    <x v="39"/>
    <x v="0"/>
    <x v="4"/>
    <x v="7"/>
  </r>
  <r>
    <s v="2020-03-05T20:29:30Z"/>
    <x v="40"/>
    <x v="0"/>
    <x v="4"/>
    <x v="2"/>
  </r>
  <r>
    <s v="2020-03-04T17:44:30Z"/>
    <x v="41"/>
    <x v="0"/>
    <x v="4"/>
    <x v="11"/>
  </r>
  <r>
    <s v="2020-03-04T17:02:21Z"/>
    <x v="41"/>
    <x v="0"/>
    <x v="4"/>
    <x v="7"/>
  </r>
  <r>
    <s v="2020-03-04T17:01:29Z"/>
    <x v="41"/>
    <x v="0"/>
    <x v="4"/>
    <x v="7"/>
  </r>
  <r>
    <s v="2020-03-04T16:57:25Z"/>
    <x v="41"/>
    <x v="0"/>
    <x v="4"/>
    <x v="2"/>
  </r>
  <r>
    <s v="2020-03-04T09:36:42Z"/>
    <x v="41"/>
    <x v="0"/>
    <x v="4"/>
    <x v="8"/>
  </r>
  <r>
    <s v="2020-03-03T20:25:31Z"/>
    <x v="42"/>
    <x v="0"/>
    <x v="4"/>
    <x v="7"/>
  </r>
  <r>
    <s v="2020-03-03T20:25:10Z"/>
    <x v="42"/>
    <x v="0"/>
    <x v="4"/>
    <x v="7"/>
  </r>
  <r>
    <s v="2019-07-19T14:32:01Z"/>
    <x v="43"/>
    <x v="0"/>
    <x v="5"/>
    <x v="2"/>
  </r>
  <r>
    <s v="2019-07-19T14:31:06Z"/>
    <x v="43"/>
    <x v="0"/>
    <x v="5"/>
    <x v="2"/>
  </r>
  <r>
    <s v="2019-07-19T14:29:00Z"/>
    <x v="43"/>
    <x v="0"/>
    <x v="5"/>
    <x v="2"/>
  </r>
  <r>
    <s v="2019-07-19T14:28:11Z"/>
    <x v="43"/>
    <x v="0"/>
    <x v="5"/>
    <x v="2"/>
  </r>
  <r>
    <s v="2019-07-19T14:26:41Z"/>
    <x v="43"/>
    <x v="0"/>
    <x v="5"/>
    <x v="12"/>
  </r>
  <r>
    <s v="2019-07-19T14:22:15Z"/>
    <x v="43"/>
    <x v="0"/>
    <x v="5"/>
    <x v="2"/>
  </r>
  <r>
    <s v="2019-07-19T14:10:35Z"/>
    <x v="43"/>
    <x v="0"/>
    <x v="5"/>
    <x v="2"/>
  </r>
  <r>
    <s v="2019-07-19T13:55:35Z"/>
    <x v="43"/>
    <x v="0"/>
    <x v="5"/>
    <x v="2"/>
  </r>
  <r>
    <s v="2019-07-19T13:48:23Z"/>
    <x v="43"/>
    <x v="0"/>
    <x v="5"/>
    <x v="2"/>
  </r>
  <r>
    <s v="2019-07-19T13:16:59Z"/>
    <x v="43"/>
    <x v="0"/>
    <x v="5"/>
    <x v="2"/>
  </r>
  <r>
    <s v="2019-07-19T13:16:32Z"/>
    <x v="43"/>
    <x v="0"/>
    <x v="5"/>
    <x v="13"/>
  </r>
  <r>
    <s v="2019-07-19T13:13:34Z"/>
    <x v="43"/>
    <x v="0"/>
    <x v="5"/>
    <x v="2"/>
  </r>
  <r>
    <s v="2020-03-03T16:56:44Z"/>
    <x v="42"/>
    <x v="0"/>
    <x v="6"/>
    <x v="2"/>
  </r>
  <r>
    <s v="2020-03-03T16:43:49Z"/>
    <x v="42"/>
    <x v="0"/>
    <x v="6"/>
    <x v="1"/>
  </r>
  <r>
    <s v="2020-03-03T16:43:32Z"/>
    <x v="42"/>
    <x v="0"/>
    <x v="6"/>
    <x v="1"/>
  </r>
  <r>
    <s v="2020-03-03T16:15:25Z"/>
    <x v="42"/>
    <x v="0"/>
    <x v="6"/>
    <x v="2"/>
  </r>
  <r>
    <s v="2020-02-28T20:02:01Z"/>
    <x v="44"/>
    <x v="0"/>
    <x v="6"/>
    <x v="3"/>
  </r>
  <r>
    <s v="2020-02-28T20:01:33Z"/>
    <x v="44"/>
    <x v="0"/>
    <x v="6"/>
    <x v="3"/>
  </r>
  <r>
    <s v="2020-02-28T17:49:25Z"/>
    <x v="44"/>
    <x v="0"/>
    <x v="6"/>
    <x v="1"/>
  </r>
  <r>
    <s v="2020-07-02T10:11:57Z"/>
    <x v="45"/>
    <x v="0"/>
    <x v="7"/>
    <x v="4"/>
  </r>
  <r>
    <s v="2020-06-30T15:12:53Z"/>
    <x v="30"/>
    <x v="0"/>
    <x v="7"/>
    <x v="2"/>
  </r>
  <r>
    <s v="2020-06-30T15:09:04Z"/>
    <x v="30"/>
    <x v="0"/>
    <x v="7"/>
    <x v="2"/>
  </r>
  <r>
    <s v="2020-06-04T12:08:53Z"/>
    <x v="46"/>
    <x v="0"/>
    <x v="7"/>
    <x v="2"/>
  </r>
  <r>
    <s v="2020-05-29T07:35:18Z"/>
    <x v="3"/>
    <x v="0"/>
    <x v="7"/>
    <x v="2"/>
  </r>
  <r>
    <s v="2020-05-29T02:35:15Z"/>
    <x v="3"/>
    <x v="0"/>
    <x v="7"/>
    <x v="14"/>
  </r>
  <r>
    <s v="2020-05-11T11:38:20Z"/>
    <x v="47"/>
    <x v="0"/>
    <x v="7"/>
    <x v="15"/>
  </r>
  <r>
    <s v="2020-04-22T17:43:11Z"/>
    <x v="6"/>
    <x v="0"/>
    <x v="7"/>
    <x v="4"/>
  </r>
  <r>
    <s v="2020-04-22T09:14:00Z"/>
    <x v="6"/>
    <x v="0"/>
    <x v="7"/>
    <x v="4"/>
  </r>
  <r>
    <s v="2020-04-21T19:47:39Z"/>
    <x v="48"/>
    <x v="0"/>
    <x v="7"/>
    <x v="4"/>
  </r>
  <r>
    <s v="2020-09-25T10:46:47Z"/>
    <x v="25"/>
    <x v="0"/>
    <x v="8"/>
    <x v="1"/>
  </r>
  <r>
    <s v="2020-09-25T10:44:25Z"/>
    <x v="25"/>
    <x v="0"/>
    <x v="8"/>
    <x v="1"/>
  </r>
  <r>
    <s v="2020-03-23T11:06:16Z"/>
    <x v="49"/>
    <x v="0"/>
    <x v="9"/>
    <x v="6"/>
  </r>
  <r>
    <s v="2020-03-23T10:48:47Z"/>
    <x v="49"/>
    <x v="0"/>
    <x v="9"/>
    <x v="3"/>
  </r>
  <r>
    <s v="2020-03-23T10:48:27Z"/>
    <x v="49"/>
    <x v="0"/>
    <x v="9"/>
    <x v="3"/>
  </r>
  <r>
    <s v="2020-03-23T10:46:52Z"/>
    <x v="49"/>
    <x v="0"/>
    <x v="9"/>
    <x v="6"/>
  </r>
  <r>
    <s v="2020-03-23T10:36:21Z"/>
    <x v="49"/>
    <x v="0"/>
    <x v="9"/>
    <x v="3"/>
  </r>
  <r>
    <s v="2020-03-23T10:14:13Z"/>
    <x v="49"/>
    <x v="0"/>
    <x v="9"/>
    <x v="6"/>
  </r>
  <r>
    <s v="2020-03-23T09:33:07Z"/>
    <x v="49"/>
    <x v="0"/>
    <x v="9"/>
    <x v="3"/>
  </r>
  <r>
    <s v="2020-03-23T09:29:31Z"/>
    <x v="49"/>
    <x v="0"/>
    <x v="9"/>
    <x v="0"/>
  </r>
  <r>
    <s v="2020-03-19T10:08:52Z"/>
    <x v="33"/>
    <x v="0"/>
    <x v="9"/>
    <x v="6"/>
  </r>
  <r>
    <s v="2020-03-19T09:48:26Z"/>
    <x v="33"/>
    <x v="0"/>
    <x v="9"/>
    <x v="6"/>
  </r>
  <r>
    <s v="2020-03-16T11:35:27Z"/>
    <x v="50"/>
    <x v="0"/>
    <x v="9"/>
    <x v="6"/>
  </r>
  <r>
    <s v="2020-03-16T10:59:48Z"/>
    <x v="50"/>
    <x v="0"/>
    <x v="9"/>
    <x v="6"/>
  </r>
  <r>
    <s v="2020-03-16T10:55:32Z"/>
    <x v="50"/>
    <x v="0"/>
    <x v="9"/>
    <x v="6"/>
  </r>
  <r>
    <s v="2020-03-16T09:11:00Z"/>
    <x v="50"/>
    <x v="0"/>
    <x v="9"/>
    <x v="3"/>
  </r>
  <r>
    <s v="2020-03-16T09:10:46Z"/>
    <x v="50"/>
    <x v="0"/>
    <x v="9"/>
    <x v="3"/>
  </r>
  <r>
    <s v="2020-03-14T09:30:42Z"/>
    <x v="51"/>
    <x v="0"/>
    <x v="9"/>
    <x v="6"/>
  </r>
  <r>
    <s v="2020-03-14T09:18:25Z"/>
    <x v="51"/>
    <x v="0"/>
    <x v="9"/>
    <x v="6"/>
  </r>
  <r>
    <s v="2020-03-14T09:03:19Z"/>
    <x v="51"/>
    <x v="0"/>
    <x v="9"/>
    <x v="6"/>
  </r>
  <r>
    <s v="2020-03-13T21:45:25Z"/>
    <x v="36"/>
    <x v="0"/>
    <x v="9"/>
    <x v="0"/>
  </r>
  <r>
    <s v="2020-03-13T20:33:43Z"/>
    <x v="36"/>
    <x v="0"/>
    <x v="9"/>
    <x v="0"/>
  </r>
  <r>
    <s v="2020-03-13T19:30:48Z"/>
    <x v="36"/>
    <x v="0"/>
    <x v="9"/>
    <x v="6"/>
  </r>
  <r>
    <s v="2020-03-13T19:17:20Z"/>
    <x v="36"/>
    <x v="0"/>
    <x v="9"/>
    <x v="6"/>
  </r>
  <r>
    <s v="2020-03-13T18:46:43Z"/>
    <x v="36"/>
    <x v="0"/>
    <x v="9"/>
    <x v="0"/>
  </r>
  <r>
    <s v="2020-03-13T18:24:56Z"/>
    <x v="36"/>
    <x v="0"/>
    <x v="9"/>
    <x v="6"/>
  </r>
  <r>
    <s v="2020-03-13T17:51:02Z"/>
    <x v="36"/>
    <x v="0"/>
    <x v="9"/>
    <x v="6"/>
  </r>
  <r>
    <s v="2020-03-13T16:44:56Z"/>
    <x v="36"/>
    <x v="0"/>
    <x v="9"/>
    <x v="6"/>
  </r>
  <r>
    <s v="2020-03-13T16:30:29Z"/>
    <x v="36"/>
    <x v="0"/>
    <x v="9"/>
    <x v="6"/>
  </r>
  <r>
    <s v="2020-03-13T16:25:54Z"/>
    <x v="36"/>
    <x v="0"/>
    <x v="9"/>
    <x v="6"/>
  </r>
  <r>
    <s v="2020-03-13T15:55:38Z"/>
    <x v="36"/>
    <x v="0"/>
    <x v="9"/>
    <x v="6"/>
  </r>
  <r>
    <s v="2020-03-13T14:42:59Z"/>
    <x v="36"/>
    <x v="0"/>
    <x v="9"/>
    <x v="6"/>
  </r>
  <r>
    <s v="2019-04-18T17:21:34Z"/>
    <x v="52"/>
    <x v="0"/>
    <x v="10"/>
    <x v="12"/>
  </r>
  <r>
    <s v="2019-02-22T13:27:57Z"/>
    <x v="53"/>
    <x v="0"/>
    <x v="10"/>
    <x v="12"/>
  </r>
  <r>
    <s v="2019-02-22T13:17:19Z"/>
    <x v="53"/>
    <x v="0"/>
    <x v="10"/>
    <x v="12"/>
  </r>
  <r>
    <s v="2019-02-21T16:31:57Z"/>
    <x v="54"/>
    <x v="0"/>
    <x v="10"/>
    <x v="12"/>
  </r>
  <r>
    <s v="2019-02-21T16:31:11Z"/>
    <x v="54"/>
    <x v="0"/>
    <x v="10"/>
    <x v="12"/>
  </r>
  <r>
    <s v="2019-02-21T16:28:10Z"/>
    <x v="54"/>
    <x v="0"/>
    <x v="10"/>
    <x v="12"/>
  </r>
  <r>
    <s v="2019-02-21T14:52:33Z"/>
    <x v="54"/>
    <x v="0"/>
    <x v="10"/>
    <x v="12"/>
  </r>
  <r>
    <s v="2019-02-21T11:29:28Z"/>
    <x v="54"/>
    <x v="0"/>
    <x v="10"/>
    <x v="12"/>
  </r>
  <r>
    <s v="2019-02-21T11:08:29Z"/>
    <x v="54"/>
    <x v="0"/>
    <x v="10"/>
    <x v="12"/>
  </r>
  <r>
    <s v="2019-02-20T19:07:24Z"/>
    <x v="55"/>
    <x v="0"/>
    <x v="10"/>
    <x v="12"/>
  </r>
  <r>
    <s v="2019-02-20T19:05:00Z"/>
    <x v="55"/>
    <x v="0"/>
    <x v="10"/>
    <x v="12"/>
  </r>
  <r>
    <s v="2019-02-20T19:04:46Z"/>
    <x v="55"/>
    <x v="0"/>
    <x v="10"/>
    <x v="12"/>
  </r>
  <r>
    <s v="2019-02-20T19:02:42Z"/>
    <x v="55"/>
    <x v="0"/>
    <x v="10"/>
    <x v="12"/>
  </r>
  <r>
    <s v="2019-02-20T18:54:36Z"/>
    <x v="55"/>
    <x v="0"/>
    <x v="10"/>
    <x v="12"/>
  </r>
  <r>
    <s v="2020-05-27T15:28:24Z"/>
    <x v="56"/>
    <x v="0"/>
    <x v="11"/>
    <x v="1"/>
  </r>
  <r>
    <s v="2020-05-27T14:25:24Z"/>
    <x v="56"/>
    <x v="0"/>
    <x v="11"/>
    <x v="1"/>
  </r>
  <r>
    <s v="2020-05-27T14:20:48Z"/>
    <x v="56"/>
    <x v="0"/>
    <x v="11"/>
    <x v="1"/>
  </r>
  <r>
    <s v="2020-09-25T10:26:41Z"/>
    <x v="25"/>
    <x v="0"/>
    <x v="12"/>
    <x v="1"/>
  </r>
  <r>
    <s v="2020-09-22T12:21:03Z"/>
    <x v="26"/>
    <x v="0"/>
    <x v="12"/>
    <x v="1"/>
  </r>
  <r>
    <s v="2020-09-22T12:19:37Z"/>
    <x v="26"/>
    <x v="0"/>
    <x v="12"/>
    <x v="1"/>
  </r>
  <r>
    <s v="2020-09-25T16:20:50Z"/>
    <x v="25"/>
    <x v="0"/>
    <x v="13"/>
    <x v="2"/>
  </r>
  <r>
    <s v="2020-09-25T16:08:54Z"/>
    <x v="25"/>
    <x v="0"/>
    <x v="13"/>
    <x v="2"/>
  </r>
  <r>
    <s v="2020-09-25T16:06:58Z"/>
    <x v="25"/>
    <x v="0"/>
    <x v="13"/>
    <x v="2"/>
  </r>
  <r>
    <s v="2020-09-25T16:06:01Z"/>
    <x v="25"/>
    <x v="0"/>
    <x v="13"/>
    <x v="2"/>
  </r>
  <r>
    <s v="2020-09-25T10:32:06Z"/>
    <x v="25"/>
    <x v="0"/>
    <x v="13"/>
    <x v="2"/>
  </r>
  <r>
    <s v="2020-09-25T10:30:24Z"/>
    <x v="25"/>
    <x v="0"/>
    <x v="13"/>
    <x v="2"/>
  </r>
  <r>
    <s v="2020-09-25T10:24:51Z"/>
    <x v="25"/>
    <x v="0"/>
    <x v="13"/>
    <x v="2"/>
  </r>
  <r>
    <s v="2020-09-25T10:22:17Z"/>
    <x v="25"/>
    <x v="0"/>
    <x v="13"/>
    <x v="2"/>
  </r>
  <r>
    <s v="2019-04-25T03:40:17Z"/>
    <x v="57"/>
    <x v="0"/>
    <x v="14"/>
    <x v="1"/>
  </r>
  <r>
    <s v="2019-04-25T01:07:48Z"/>
    <x v="57"/>
    <x v="0"/>
    <x v="14"/>
    <x v="1"/>
  </r>
  <r>
    <s v="2019-04-25T01:07:05Z"/>
    <x v="57"/>
    <x v="0"/>
    <x v="14"/>
    <x v="1"/>
  </r>
  <r>
    <s v="2019-04-25T01:01:04Z"/>
    <x v="57"/>
    <x v="0"/>
    <x v="14"/>
    <x v="1"/>
  </r>
  <r>
    <s v="2019-04-25T01:00:55Z"/>
    <x v="57"/>
    <x v="0"/>
    <x v="14"/>
    <x v="12"/>
  </r>
  <r>
    <s v="2019-04-25T00:59:01Z"/>
    <x v="57"/>
    <x v="0"/>
    <x v="14"/>
    <x v="12"/>
  </r>
  <r>
    <s v="2019-04-24T23:23:10Z"/>
    <x v="58"/>
    <x v="0"/>
    <x v="14"/>
    <x v="1"/>
  </r>
  <r>
    <s v="2019-04-24T23:22:03Z"/>
    <x v="58"/>
    <x v="0"/>
    <x v="14"/>
    <x v="1"/>
  </r>
  <r>
    <s v="2019-04-24T23:21:02Z"/>
    <x v="58"/>
    <x v="0"/>
    <x v="14"/>
    <x v="1"/>
  </r>
  <r>
    <s v="2019-04-24T23:19:38Z"/>
    <x v="58"/>
    <x v="0"/>
    <x v="14"/>
    <x v="1"/>
  </r>
  <r>
    <s v="2019-04-24T23:18:09Z"/>
    <x v="58"/>
    <x v="0"/>
    <x v="14"/>
    <x v="1"/>
  </r>
  <r>
    <s v="2019-04-24T23:05:26Z"/>
    <x v="58"/>
    <x v="0"/>
    <x v="14"/>
    <x v="1"/>
  </r>
  <r>
    <s v="2019-04-24T22:53:53Z"/>
    <x v="58"/>
    <x v="0"/>
    <x v="14"/>
    <x v="1"/>
  </r>
  <r>
    <s v="2019-04-24T22:40:36Z"/>
    <x v="58"/>
    <x v="0"/>
    <x v="14"/>
    <x v="1"/>
  </r>
  <r>
    <s v="2019-04-24T20:59:02Z"/>
    <x v="58"/>
    <x v="0"/>
    <x v="14"/>
    <x v="16"/>
  </r>
  <r>
    <s v="2019-04-24T15:39:34Z"/>
    <x v="58"/>
    <x v="0"/>
    <x v="14"/>
    <x v="16"/>
  </r>
  <r>
    <s v="2019-04-24T09:15:43Z"/>
    <x v="58"/>
    <x v="0"/>
    <x v="14"/>
    <x v="12"/>
  </r>
  <r>
    <s v="2019-04-24T08:49:00Z"/>
    <x v="58"/>
    <x v="0"/>
    <x v="14"/>
    <x v="12"/>
  </r>
  <r>
    <s v="2019-04-24T08:22:14Z"/>
    <x v="58"/>
    <x v="0"/>
    <x v="14"/>
    <x v="12"/>
  </r>
  <r>
    <s v="2019-04-24T08:21:59Z"/>
    <x v="58"/>
    <x v="0"/>
    <x v="14"/>
    <x v="12"/>
  </r>
  <r>
    <s v="2019-04-24T06:48:51Z"/>
    <x v="58"/>
    <x v="0"/>
    <x v="14"/>
    <x v="1"/>
  </r>
  <r>
    <s v="2019-04-24T06:47:47Z"/>
    <x v="58"/>
    <x v="0"/>
    <x v="14"/>
    <x v="1"/>
  </r>
  <r>
    <s v="2019-04-24T06:22:47Z"/>
    <x v="58"/>
    <x v="0"/>
    <x v="14"/>
    <x v="1"/>
  </r>
  <r>
    <s v="2019-04-24T03:02:55Z"/>
    <x v="58"/>
    <x v="0"/>
    <x v="14"/>
    <x v="16"/>
  </r>
  <r>
    <s v="2019-04-23T21:39:53Z"/>
    <x v="59"/>
    <x v="0"/>
    <x v="14"/>
    <x v="16"/>
  </r>
  <r>
    <s v="2019-04-23T15:51:18Z"/>
    <x v="59"/>
    <x v="0"/>
    <x v="14"/>
    <x v="12"/>
  </r>
  <r>
    <s v="2019-04-23T15:45:32Z"/>
    <x v="59"/>
    <x v="0"/>
    <x v="14"/>
    <x v="12"/>
  </r>
  <r>
    <s v="2019-04-23T14:37:56Z"/>
    <x v="59"/>
    <x v="0"/>
    <x v="14"/>
    <x v="1"/>
  </r>
  <r>
    <s v="2019-04-23T13:41:49Z"/>
    <x v="59"/>
    <x v="0"/>
    <x v="14"/>
    <x v="1"/>
  </r>
  <r>
    <s v="2019-04-23T13:35:06Z"/>
    <x v="59"/>
    <x v="0"/>
    <x v="14"/>
    <x v="1"/>
  </r>
  <r>
    <s v="2019-06-04T23:27:21Z"/>
    <x v="60"/>
    <x v="0"/>
    <x v="15"/>
    <x v="2"/>
  </r>
  <r>
    <s v="2019-05-31T17:39:22Z"/>
    <x v="61"/>
    <x v="0"/>
    <x v="15"/>
    <x v="2"/>
  </r>
  <r>
    <s v="2019-05-30T22:06:20Z"/>
    <x v="62"/>
    <x v="0"/>
    <x v="15"/>
    <x v="17"/>
  </r>
  <r>
    <s v="2019-05-30T21:54:32Z"/>
    <x v="62"/>
    <x v="0"/>
    <x v="15"/>
    <x v="2"/>
  </r>
  <r>
    <s v="2019-05-30T20:42:25Z"/>
    <x v="62"/>
    <x v="0"/>
    <x v="15"/>
    <x v="2"/>
  </r>
  <r>
    <s v="2019-05-30T17:37:36Z"/>
    <x v="62"/>
    <x v="0"/>
    <x v="15"/>
    <x v="17"/>
  </r>
  <r>
    <s v="2019-05-28T22:44:46Z"/>
    <x v="63"/>
    <x v="0"/>
    <x v="15"/>
    <x v="17"/>
  </r>
  <r>
    <s v="2019-05-28T20:57:18Z"/>
    <x v="63"/>
    <x v="0"/>
    <x v="15"/>
    <x v="17"/>
  </r>
  <r>
    <s v="2019-05-28T18:53:47Z"/>
    <x v="63"/>
    <x v="0"/>
    <x v="15"/>
    <x v="17"/>
  </r>
  <r>
    <s v="2019-05-28T18:10:02Z"/>
    <x v="63"/>
    <x v="0"/>
    <x v="15"/>
    <x v="2"/>
  </r>
  <r>
    <s v="2019-05-27T23:36:57Z"/>
    <x v="64"/>
    <x v="0"/>
    <x v="15"/>
    <x v="2"/>
  </r>
  <r>
    <s v="2019-05-27T23:25:52Z"/>
    <x v="64"/>
    <x v="0"/>
    <x v="15"/>
    <x v="2"/>
  </r>
  <r>
    <s v="2019-05-24T20:53:01Z"/>
    <x v="65"/>
    <x v="0"/>
    <x v="15"/>
    <x v="2"/>
  </r>
  <r>
    <s v="2019-05-22T23:11:51Z"/>
    <x v="66"/>
    <x v="0"/>
    <x v="15"/>
    <x v="2"/>
  </r>
  <r>
    <s v="2019-05-22T15:10:09Z"/>
    <x v="66"/>
    <x v="0"/>
    <x v="15"/>
    <x v="17"/>
  </r>
  <r>
    <s v="2019-05-16T21:21:45Z"/>
    <x v="67"/>
    <x v="0"/>
    <x v="15"/>
    <x v="2"/>
  </r>
  <r>
    <s v="2019-05-16T21:03:10Z"/>
    <x v="67"/>
    <x v="0"/>
    <x v="15"/>
    <x v="17"/>
  </r>
  <r>
    <s v="2019-05-16T20:54:15Z"/>
    <x v="67"/>
    <x v="0"/>
    <x v="15"/>
    <x v="2"/>
  </r>
  <r>
    <s v="2019-05-16T17:21:14Z"/>
    <x v="67"/>
    <x v="0"/>
    <x v="15"/>
    <x v="2"/>
  </r>
  <r>
    <s v="2019-05-14T16:05:57Z"/>
    <x v="68"/>
    <x v="0"/>
    <x v="15"/>
    <x v="2"/>
  </r>
  <r>
    <s v="2019-05-14T15:01:25Z"/>
    <x v="68"/>
    <x v="0"/>
    <x v="15"/>
    <x v="17"/>
  </r>
  <r>
    <s v="2019-05-14T14:59:25Z"/>
    <x v="68"/>
    <x v="0"/>
    <x v="15"/>
    <x v="17"/>
  </r>
  <r>
    <s v="2019-05-14T14:19:09Z"/>
    <x v="68"/>
    <x v="0"/>
    <x v="15"/>
    <x v="2"/>
  </r>
  <r>
    <s v="2019-05-13T19:47:15Z"/>
    <x v="69"/>
    <x v="0"/>
    <x v="15"/>
    <x v="18"/>
  </r>
  <r>
    <s v="2019-05-13T19:15:45Z"/>
    <x v="69"/>
    <x v="0"/>
    <x v="15"/>
    <x v="18"/>
  </r>
  <r>
    <s v="2019-05-13T13:49:58Z"/>
    <x v="69"/>
    <x v="0"/>
    <x v="15"/>
    <x v="2"/>
  </r>
  <r>
    <s v="2019-05-10T00:48:34Z"/>
    <x v="70"/>
    <x v="0"/>
    <x v="15"/>
    <x v="17"/>
  </r>
  <r>
    <s v="2019-05-08T02:25:55Z"/>
    <x v="71"/>
    <x v="0"/>
    <x v="15"/>
    <x v="2"/>
  </r>
  <r>
    <s v="2019-05-04T00:18:06Z"/>
    <x v="72"/>
    <x v="0"/>
    <x v="15"/>
    <x v="17"/>
  </r>
  <r>
    <s v="2019-05-03T20:37:59Z"/>
    <x v="73"/>
    <x v="0"/>
    <x v="15"/>
    <x v="2"/>
  </r>
  <r>
    <s v="2019-12-02T14:31:06Z"/>
    <x v="74"/>
    <x v="1"/>
    <x v="16"/>
    <x v="19"/>
  </r>
  <r>
    <s v="2019-12-02T14:30:53Z"/>
    <x v="74"/>
    <x v="1"/>
    <x v="16"/>
    <x v="19"/>
  </r>
  <r>
    <s v="2019-12-02T13:44:01Z"/>
    <x v="74"/>
    <x v="1"/>
    <x v="16"/>
    <x v="20"/>
  </r>
  <r>
    <s v="2019-12-02T13:26:25Z"/>
    <x v="74"/>
    <x v="1"/>
    <x v="16"/>
    <x v="20"/>
  </r>
  <r>
    <s v="2019-12-02T12:38:04Z"/>
    <x v="74"/>
    <x v="1"/>
    <x v="16"/>
    <x v="20"/>
  </r>
  <r>
    <s v="2019-12-02T12:37:43Z"/>
    <x v="74"/>
    <x v="1"/>
    <x v="16"/>
    <x v="20"/>
  </r>
  <r>
    <s v="2019-12-02T12:11:48Z"/>
    <x v="74"/>
    <x v="1"/>
    <x v="16"/>
    <x v="20"/>
  </r>
  <r>
    <s v="2019-12-02T12:09:01Z"/>
    <x v="74"/>
    <x v="1"/>
    <x v="16"/>
    <x v="2"/>
  </r>
  <r>
    <s v="2019-12-02T11:48:09Z"/>
    <x v="74"/>
    <x v="1"/>
    <x v="16"/>
    <x v="20"/>
  </r>
  <r>
    <s v="2019-12-02T07:51:47Z"/>
    <x v="74"/>
    <x v="1"/>
    <x v="16"/>
    <x v="20"/>
  </r>
  <r>
    <s v="2019-12-01T21:06:00Z"/>
    <x v="75"/>
    <x v="1"/>
    <x v="16"/>
    <x v="2"/>
  </r>
  <r>
    <s v="2019-12-01T05:44:31Z"/>
    <x v="75"/>
    <x v="1"/>
    <x v="16"/>
    <x v="21"/>
  </r>
  <r>
    <s v="2019-11-30T22:17:52Z"/>
    <x v="76"/>
    <x v="1"/>
    <x v="16"/>
    <x v="2"/>
  </r>
  <r>
    <s v="2019-11-30T21:31:42Z"/>
    <x v="76"/>
    <x v="1"/>
    <x v="16"/>
    <x v="22"/>
  </r>
  <r>
    <s v="2019-11-30T21:31:36Z"/>
    <x v="76"/>
    <x v="1"/>
    <x v="16"/>
    <x v="22"/>
  </r>
  <r>
    <s v="2019-11-30T02:20:07Z"/>
    <x v="76"/>
    <x v="1"/>
    <x v="16"/>
    <x v="22"/>
  </r>
  <r>
    <s v="2019-11-29T23:55:49Z"/>
    <x v="77"/>
    <x v="1"/>
    <x v="16"/>
    <x v="22"/>
  </r>
  <r>
    <s v="2019-11-28T01:50:24Z"/>
    <x v="78"/>
    <x v="1"/>
    <x v="16"/>
    <x v="2"/>
  </r>
  <r>
    <s v="2019-11-27T02:27:37Z"/>
    <x v="79"/>
    <x v="1"/>
    <x v="16"/>
    <x v="2"/>
  </r>
  <r>
    <s v="2019-11-27T02:02:37Z"/>
    <x v="79"/>
    <x v="1"/>
    <x v="16"/>
    <x v="20"/>
  </r>
  <r>
    <s v="2019-11-27T00:57:56Z"/>
    <x v="79"/>
    <x v="1"/>
    <x v="16"/>
    <x v="20"/>
  </r>
  <r>
    <s v="2019-11-27T00:52:14Z"/>
    <x v="79"/>
    <x v="1"/>
    <x v="16"/>
    <x v="20"/>
  </r>
  <r>
    <s v="2019-11-27T00:43:12Z"/>
    <x v="79"/>
    <x v="1"/>
    <x v="16"/>
    <x v="20"/>
  </r>
  <r>
    <s v="2019-11-26T23:20:54Z"/>
    <x v="80"/>
    <x v="1"/>
    <x v="16"/>
    <x v="2"/>
  </r>
  <r>
    <s v="2019-11-26T22:39:59Z"/>
    <x v="80"/>
    <x v="1"/>
    <x v="16"/>
    <x v="23"/>
  </r>
  <r>
    <s v="2019-11-26T22:19:37Z"/>
    <x v="80"/>
    <x v="1"/>
    <x v="16"/>
    <x v="23"/>
  </r>
  <r>
    <s v="2019-11-26T22:16:54Z"/>
    <x v="80"/>
    <x v="1"/>
    <x v="16"/>
    <x v="23"/>
  </r>
  <r>
    <s v="2019-11-26T22:16:54Z"/>
    <x v="80"/>
    <x v="1"/>
    <x v="16"/>
    <x v="23"/>
  </r>
  <r>
    <s v="2019-11-26T22:16:54Z"/>
    <x v="80"/>
    <x v="1"/>
    <x v="16"/>
    <x v="23"/>
  </r>
  <r>
    <s v="2019-11-26T22:16:54Z"/>
    <x v="80"/>
    <x v="1"/>
    <x v="16"/>
    <x v="23"/>
  </r>
  <r>
    <s v="2020-09-09T22:19:44Z"/>
    <x v="81"/>
    <x v="1"/>
    <x v="17"/>
    <x v="2"/>
  </r>
  <r>
    <s v="2020-09-09T22:19:08Z"/>
    <x v="81"/>
    <x v="1"/>
    <x v="17"/>
    <x v="2"/>
  </r>
  <r>
    <s v="2020-09-09T22:18:03Z"/>
    <x v="81"/>
    <x v="1"/>
    <x v="17"/>
    <x v="2"/>
  </r>
  <r>
    <s v="2020-09-09T21:58:34Z"/>
    <x v="81"/>
    <x v="1"/>
    <x v="17"/>
    <x v="24"/>
  </r>
  <r>
    <s v="2020-09-09T18:38:47Z"/>
    <x v="81"/>
    <x v="1"/>
    <x v="17"/>
    <x v="2"/>
  </r>
  <r>
    <s v="2020-09-09T18:29:35Z"/>
    <x v="81"/>
    <x v="1"/>
    <x v="17"/>
    <x v="2"/>
  </r>
  <r>
    <s v="2020-09-09T18:28:46Z"/>
    <x v="81"/>
    <x v="1"/>
    <x v="17"/>
    <x v="2"/>
  </r>
  <r>
    <s v="2020-09-09T18:14:53Z"/>
    <x v="81"/>
    <x v="1"/>
    <x v="17"/>
    <x v="2"/>
  </r>
  <r>
    <s v="2020-09-04T21:38:32Z"/>
    <x v="82"/>
    <x v="1"/>
    <x v="17"/>
    <x v="2"/>
  </r>
  <r>
    <s v="2020-09-04T21:21:10Z"/>
    <x v="82"/>
    <x v="1"/>
    <x v="17"/>
    <x v="2"/>
  </r>
  <r>
    <s v="2020-09-04T21:17:43Z"/>
    <x v="82"/>
    <x v="1"/>
    <x v="17"/>
    <x v="24"/>
  </r>
  <r>
    <s v="2020-09-04T20:48:13Z"/>
    <x v="82"/>
    <x v="1"/>
    <x v="17"/>
    <x v="24"/>
  </r>
  <r>
    <s v="2020-09-04T20:34:25Z"/>
    <x v="82"/>
    <x v="1"/>
    <x v="17"/>
    <x v="2"/>
  </r>
  <r>
    <s v="2020-09-04T20:08:59Z"/>
    <x v="82"/>
    <x v="1"/>
    <x v="17"/>
    <x v="2"/>
  </r>
  <r>
    <s v="2020-09-04T19:53:31Z"/>
    <x v="82"/>
    <x v="1"/>
    <x v="17"/>
    <x v="2"/>
  </r>
  <r>
    <s v="2020-09-04T19:48:11Z"/>
    <x v="82"/>
    <x v="1"/>
    <x v="17"/>
    <x v="2"/>
  </r>
  <r>
    <s v="2020-09-04T19:21:18Z"/>
    <x v="82"/>
    <x v="1"/>
    <x v="17"/>
    <x v="24"/>
  </r>
  <r>
    <s v="2020-09-04T18:29:37Z"/>
    <x v="82"/>
    <x v="1"/>
    <x v="17"/>
    <x v="24"/>
  </r>
  <r>
    <s v="2020-09-04T17:31:34Z"/>
    <x v="82"/>
    <x v="1"/>
    <x v="17"/>
    <x v="24"/>
  </r>
  <r>
    <s v="2020-09-04T06:01:12Z"/>
    <x v="82"/>
    <x v="1"/>
    <x v="17"/>
    <x v="24"/>
  </r>
  <r>
    <s v="2020-09-04T02:41:06Z"/>
    <x v="82"/>
    <x v="1"/>
    <x v="17"/>
    <x v="24"/>
  </r>
  <r>
    <s v="2020-09-04T00:26:57Z"/>
    <x v="82"/>
    <x v="1"/>
    <x v="17"/>
    <x v="24"/>
  </r>
  <r>
    <s v="2020-09-03T20:27:49Z"/>
    <x v="83"/>
    <x v="1"/>
    <x v="17"/>
    <x v="24"/>
  </r>
  <r>
    <s v="2020-09-03T19:55:04Z"/>
    <x v="83"/>
    <x v="1"/>
    <x v="17"/>
    <x v="24"/>
  </r>
  <r>
    <s v="2020-09-03T06:19:01Z"/>
    <x v="83"/>
    <x v="1"/>
    <x v="17"/>
    <x v="24"/>
  </r>
  <r>
    <s v="2020-09-03T04:12:59Z"/>
    <x v="83"/>
    <x v="1"/>
    <x v="17"/>
    <x v="24"/>
  </r>
  <r>
    <s v="2020-09-02T23:11:12Z"/>
    <x v="0"/>
    <x v="1"/>
    <x v="17"/>
    <x v="24"/>
  </r>
  <r>
    <s v="2020-09-02T21:04:47Z"/>
    <x v="0"/>
    <x v="1"/>
    <x v="17"/>
    <x v="24"/>
  </r>
  <r>
    <s v="2020-09-02T19:23:44Z"/>
    <x v="0"/>
    <x v="1"/>
    <x v="17"/>
    <x v="24"/>
  </r>
  <r>
    <s v="2020-09-02T19:19:09Z"/>
    <x v="0"/>
    <x v="1"/>
    <x v="17"/>
    <x v="24"/>
  </r>
  <r>
    <s v="2018-07-26T16:39:05Z"/>
    <x v="84"/>
    <x v="1"/>
    <x v="18"/>
    <x v="25"/>
  </r>
  <r>
    <s v="2018-07-25T18:43:49Z"/>
    <x v="85"/>
    <x v="1"/>
    <x v="18"/>
    <x v="2"/>
  </r>
  <r>
    <s v="2018-07-24T23:23:02Z"/>
    <x v="86"/>
    <x v="1"/>
    <x v="18"/>
    <x v="2"/>
  </r>
  <r>
    <s v="2018-07-24T19:58:04Z"/>
    <x v="86"/>
    <x v="1"/>
    <x v="18"/>
    <x v="26"/>
  </r>
  <r>
    <s v="2018-07-24T19:56:29Z"/>
    <x v="86"/>
    <x v="1"/>
    <x v="18"/>
    <x v="26"/>
  </r>
  <r>
    <s v="2018-07-24T19:48:14Z"/>
    <x v="86"/>
    <x v="1"/>
    <x v="18"/>
    <x v="26"/>
  </r>
  <r>
    <s v="2018-07-15T15:56:41Z"/>
    <x v="87"/>
    <x v="1"/>
    <x v="18"/>
    <x v="2"/>
  </r>
  <r>
    <s v="2018-07-03T02:04:26Z"/>
    <x v="88"/>
    <x v="1"/>
    <x v="18"/>
    <x v="2"/>
  </r>
  <r>
    <s v="2018-07-01T22:41:03Z"/>
    <x v="89"/>
    <x v="1"/>
    <x v="18"/>
    <x v="2"/>
  </r>
  <r>
    <s v="2018-07-01T22:34:33Z"/>
    <x v="89"/>
    <x v="1"/>
    <x v="18"/>
    <x v="2"/>
  </r>
  <r>
    <s v="2018-07-01T22:28:19Z"/>
    <x v="89"/>
    <x v="1"/>
    <x v="18"/>
    <x v="2"/>
  </r>
  <r>
    <s v="2018-06-29T20:51:06Z"/>
    <x v="90"/>
    <x v="1"/>
    <x v="18"/>
    <x v="2"/>
  </r>
  <r>
    <s v="2018-06-29T20:36:13Z"/>
    <x v="90"/>
    <x v="1"/>
    <x v="18"/>
    <x v="27"/>
  </r>
  <r>
    <s v="2018-06-29T20:34:06Z"/>
    <x v="90"/>
    <x v="1"/>
    <x v="18"/>
    <x v="2"/>
  </r>
  <r>
    <s v="2018-06-28T13:18:06Z"/>
    <x v="91"/>
    <x v="1"/>
    <x v="18"/>
    <x v="2"/>
  </r>
  <r>
    <s v="2018-06-28T13:06:57Z"/>
    <x v="91"/>
    <x v="1"/>
    <x v="18"/>
    <x v="26"/>
  </r>
  <r>
    <s v="2018-06-28T12:59:55Z"/>
    <x v="91"/>
    <x v="1"/>
    <x v="18"/>
    <x v="26"/>
  </r>
  <r>
    <s v="2018-06-28T12:56:42Z"/>
    <x v="91"/>
    <x v="1"/>
    <x v="18"/>
    <x v="26"/>
  </r>
  <r>
    <s v="2018-06-28T12:36:15Z"/>
    <x v="91"/>
    <x v="1"/>
    <x v="18"/>
    <x v="26"/>
  </r>
  <r>
    <s v="2018-06-28T00:02:53Z"/>
    <x v="91"/>
    <x v="1"/>
    <x v="18"/>
    <x v="2"/>
  </r>
  <r>
    <s v="2018-06-27T20:05:15Z"/>
    <x v="92"/>
    <x v="1"/>
    <x v="18"/>
    <x v="25"/>
  </r>
  <r>
    <s v="2018-06-18T13:00:35Z"/>
    <x v="93"/>
    <x v="1"/>
    <x v="18"/>
    <x v="2"/>
  </r>
  <r>
    <s v="2018-06-08T19:56:27Z"/>
    <x v="94"/>
    <x v="1"/>
    <x v="18"/>
    <x v="28"/>
  </r>
  <r>
    <s v="2018-06-06T14:13:49Z"/>
    <x v="95"/>
    <x v="1"/>
    <x v="18"/>
    <x v="2"/>
  </r>
  <r>
    <s v="2018-05-30T15:22:19Z"/>
    <x v="96"/>
    <x v="1"/>
    <x v="18"/>
    <x v="25"/>
  </r>
  <r>
    <s v="2018-05-25T22:04:52Z"/>
    <x v="97"/>
    <x v="1"/>
    <x v="18"/>
    <x v="29"/>
  </r>
  <r>
    <s v="2018-05-18T10:28:09Z"/>
    <x v="98"/>
    <x v="1"/>
    <x v="18"/>
    <x v="25"/>
  </r>
  <r>
    <s v="2018-05-09T18:37:21Z"/>
    <x v="99"/>
    <x v="1"/>
    <x v="18"/>
    <x v="25"/>
  </r>
  <r>
    <s v="2018-05-09T17:31:45Z"/>
    <x v="99"/>
    <x v="1"/>
    <x v="18"/>
    <x v="30"/>
  </r>
  <r>
    <s v="2018-05-08T17:03:52Z"/>
    <x v="100"/>
    <x v="1"/>
    <x v="18"/>
    <x v="2"/>
  </r>
  <r>
    <s v="2020-10-14T22:26:12Z"/>
    <x v="101"/>
    <x v="1"/>
    <x v="19"/>
    <x v="2"/>
  </r>
  <r>
    <s v="2020-10-14T22:23:02Z"/>
    <x v="101"/>
    <x v="1"/>
    <x v="19"/>
    <x v="31"/>
  </r>
  <r>
    <s v="2020-10-03T19:45:41Z"/>
    <x v="102"/>
    <x v="1"/>
    <x v="19"/>
    <x v="2"/>
  </r>
  <r>
    <s v="2020-10-03T19:28:28Z"/>
    <x v="102"/>
    <x v="1"/>
    <x v="19"/>
    <x v="32"/>
  </r>
  <r>
    <s v="2020-10-02T23:30:57Z"/>
    <x v="103"/>
    <x v="1"/>
    <x v="19"/>
    <x v="2"/>
  </r>
  <r>
    <s v="2020-10-02T23:17:46Z"/>
    <x v="103"/>
    <x v="1"/>
    <x v="19"/>
    <x v="33"/>
  </r>
  <r>
    <s v="2020-10-02T23:04:59Z"/>
    <x v="103"/>
    <x v="1"/>
    <x v="19"/>
    <x v="2"/>
  </r>
  <r>
    <s v="2020-09-29T16:53:46Z"/>
    <x v="104"/>
    <x v="1"/>
    <x v="19"/>
    <x v="31"/>
  </r>
  <r>
    <s v="2020-09-23T19:22:53Z"/>
    <x v="27"/>
    <x v="1"/>
    <x v="19"/>
    <x v="2"/>
  </r>
  <r>
    <s v="2020-09-22T21:10:01Z"/>
    <x v="26"/>
    <x v="1"/>
    <x v="19"/>
    <x v="2"/>
  </r>
  <r>
    <s v="2020-09-22T21:09:38Z"/>
    <x v="26"/>
    <x v="1"/>
    <x v="19"/>
    <x v="32"/>
  </r>
  <r>
    <s v="2020-09-22T06:29:43Z"/>
    <x v="26"/>
    <x v="1"/>
    <x v="19"/>
    <x v="32"/>
  </r>
  <r>
    <s v="2020-09-22T05:25:28Z"/>
    <x v="26"/>
    <x v="1"/>
    <x v="19"/>
    <x v="32"/>
  </r>
  <r>
    <s v="2020-09-20T19:18:21Z"/>
    <x v="105"/>
    <x v="1"/>
    <x v="19"/>
    <x v="32"/>
  </r>
  <r>
    <s v="2020-09-20T18:57:31Z"/>
    <x v="105"/>
    <x v="1"/>
    <x v="19"/>
    <x v="32"/>
  </r>
  <r>
    <s v="2020-09-20T05:47:43Z"/>
    <x v="105"/>
    <x v="1"/>
    <x v="19"/>
    <x v="32"/>
  </r>
  <r>
    <s v="2020-09-18T22:37:24Z"/>
    <x v="106"/>
    <x v="1"/>
    <x v="19"/>
    <x v="32"/>
  </r>
  <r>
    <s v="2020-09-15T22:28:26Z"/>
    <x v="107"/>
    <x v="1"/>
    <x v="19"/>
    <x v="2"/>
  </r>
  <r>
    <s v="2020-09-15T22:25:30Z"/>
    <x v="107"/>
    <x v="1"/>
    <x v="19"/>
    <x v="33"/>
  </r>
  <r>
    <s v="2020-09-09T21:55:26Z"/>
    <x v="81"/>
    <x v="1"/>
    <x v="19"/>
    <x v="2"/>
  </r>
  <r>
    <s v="2020-09-09T21:45:54Z"/>
    <x v="81"/>
    <x v="1"/>
    <x v="19"/>
    <x v="24"/>
  </r>
  <r>
    <s v="2020-09-04T22:38:31Z"/>
    <x v="82"/>
    <x v="1"/>
    <x v="19"/>
    <x v="2"/>
  </r>
  <r>
    <s v="2020-09-04T22:36:24Z"/>
    <x v="82"/>
    <x v="1"/>
    <x v="19"/>
    <x v="32"/>
  </r>
  <r>
    <s v="2020-09-04T22:18:11Z"/>
    <x v="82"/>
    <x v="1"/>
    <x v="19"/>
    <x v="2"/>
  </r>
  <r>
    <s v="2020-09-04T22:16:42Z"/>
    <x v="82"/>
    <x v="1"/>
    <x v="19"/>
    <x v="32"/>
  </r>
  <r>
    <s v="2020-09-04T18:03:25Z"/>
    <x v="82"/>
    <x v="1"/>
    <x v="19"/>
    <x v="2"/>
  </r>
  <r>
    <s v="2020-08-05T21:51:51Z"/>
    <x v="108"/>
    <x v="1"/>
    <x v="19"/>
    <x v="32"/>
  </r>
  <r>
    <s v="2020-08-05T19:39:12Z"/>
    <x v="108"/>
    <x v="1"/>
    <x v="19"/>
    <x v="32"/>
  </r>
  <r>
    <s v="2020-08-06T00:28:40Z"/>
    <x v="109"/>
    <x v="1"/>
    <x v="20"/>
    <x v="2"/>
  </r>
  <r>
    <s v="2020-08-05T21:50:25Z"/>
    <x v="108"/>
    <x v="1"/>
    <x v="20"/>
    <x v="32"/>
  </r>
  <r>
    <s v="2020-08-05T21:38:28Z"/>
    <x v="108"/>
    <x v="1"/>
    <x v="20"/>
    <x v="32"/>
  </r>
  <r>
    <s v="2020-08-05T21:33:05Z"/>
    <x v="108"/>
    <x v="1"/>
    <x v="20"/>
    <x v="32"/>
  </r>
  <r>
    <s v="2020-07-29T23:10:32Z"/>
    <x v="110"/>
    <x v="1"/>
    <x v="20"/>
    <x v="32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29T22:36:49Z"/>
    <x v="110"/>
    <x v="1"/>
    <x v="20"/>
    <x v="34"/>
  </r>
  <r>
    <s v="2020-07-03T20:37:16Z"/>
    <x v="111"/>
    <x v="1"/>
    <x v="20"/>
    <x v="2"/>
  </r>
  <r>
    <s v="2020-06-26T22:15:24Z"/>
    <x v="32"/>
    <x v="1"/>
    <x v="20"/>
    <x v="32"/>
  </r>
  <r>
    <s v="2020-06-10T18:46:48Z"/>
    <x v="112"/>
    <x v="1"/>
    <x v="20"/>
    <x v="2"/>
  </r>
  <r>
    <s v="2020-09-25T23:04:18Z"/>
    <x v="25"/>
    <x v="1"/>
    <x v="21"/>
    <x v="35"/>
  </r>
  <r>
    <s v="2020-09-25T23:01:46Z"/>
    <x v="25"/>
    <x v="1"/>
    <x v="21"/>
    <x v="35"/>
  </r>
  <r>
    <s v="2020-09-25T23:01:20Z"/>
    <x v="25"/>
    <x v="1"/>
    <x v="21"/>
    <x v="35"/>
  </r>
  <r>
    <s v="2020-09-25T20:53:16Z"/>
    <x v="25"/>
    <x v="1"/>
    <x v="21"/>
    <x v="35"/>
  </r>
  <r>
    <s v="2020-09-25T20:50:03Z"/>
    <x v="25"/>
    <x v="1"/>
    <x v="21"/>
    <x v="2"/>
  </r>
  <r>
    <s v="2020-09-22T00:31:15Z"/>
    <x v="26"/>
    <x v="1"/>
    <x v="21"/>
    <x v="35"/>
  </r>
  <r>
    <s v="2020-09-22T00:30:54Z"/>
    <x v="26"/>
    <x v="1"/>
    <x v="21"/>
    <x v="35"/>
  </r>
  <r>
    <s v="2020-09-16T22:46:26Z"/>
    <x v="113"/>
    <x v="1"/>
    <x v="21"/>
    <x v="35"/>
  </r>
  <r>
    <s v="2020-09-16T22:45:27Z"/>
    <x v="113"/>
    <x v="1"/>
    <x v="21"/>
    <x v="35"/>
  </r>
  <r>
    <s v="2020-09-16T22:36:50Z"/>
    <x v="113"/>
    <x v="1"/>
    <x v="21"/>
    <x v="35"/>
  </r>
  <r>
    <s v="2020-09-16T00:24:39Z"/>
    <x v="113"/>
    <x v="1"/>
    <x v="21"/>
    <x v="35"/>
  </r>
  <r>
    <s v="2020-09-16T00:24:27Z"/>
    <x v="113"/>
    <x v="1"/>
    <x v="21"/>
    <x v="35"/>
  </r>
  <r>
    <s v="2020-09-16T00:12:12Z"/>
    <x v="113"/>
    <x v="1"/>
    <x v="21"/>
    <x v="35"/>
  </r>
  <r>
    <s v="2020-09-16T00:08:53Z"/>
    <x v="113"/>
    <x v="1"/>
    <x v="21"/>
    <x v="35"/>
  </r>
  <r>
    <s v="2020-09-10T20:33:50Z"/>
    <x v="114"/>
    <x v="1"/>
    <x v="21"/>
    <x v="35"/>
  </r>
  <r>
    <s v="2020-09-10T19:51:56Z"/>
    <x v="114"/>
    <x v="1"/>
    <x v="21"/>
    <x v="35"/>
  </r>
  <r>
    <s v="2020-09-09T18:51:38Z"/>
    <x v="81"/>
    <x v="1"/>
    <x v="21"/>
    <x v="2"/>
  </r>
  <r>
    <s v="2020-09-09T18:48:19Z"/>
    <x v="81"/>
    <x v="1"/>
    <x v="21"/>
    <x v="35"/>
  </r>
  <r>
    <s v="2020-09-09T00:47:35Z"/>
    <x v="81"/>
    <x v="1"/>
    <x v="21"/>
    <x v="35"/>
  </r>
  <r>
    <s v="2020-09-09T00:20:36Z"/>
    <x v="81"/>
    <x v="1"/>
    <x v="21"/>
    <x v="35"/>
  </r>
  <r>
    <s v="2020-09-04T19:03:56Z"/>
    <x v="82"/>
    <x v="1"/>
    <x v="21"/>
    <x v="35"/>
  </r>
  <r>
    <s v="2020-09-04T19:00:27Z"/>
    <x v="82"/>
    <x v="1"/>
    <x v="21"/>
    <x v="35"/>
  </r>
  <r>
    <s v="2020-09-04T19:00:12Z"/>
    <x v="82"/>
    <x v="1"/>
    <x v="21"/>
    <x v="35"/>
  </r>
  <r>
    <s v="2020-09-04T18:14:55Z"/>
    <x v="82"/>
    <x v="1"/>
    <x v="21"/>
    <x v="35"/>
  </r>
  <r>
    <s v="2020-09-04T18:11:51Z"/>
    <x v="82"/>
    <x v="1"/>
    <x v="21"/>
    <x v="35"/>
  </r>
  <r>
    <s v="2020-09-04T18:11:17Z"/>
    <x v="82"/>
    <x v="1"/>
    <x v="21"/>
    <x v="35"/>
  </r>
  <r>
    <s v="2020-09-04T18:10:56Z"/>
    <x v="82"/>
    <x v="1"/>
    <x v="21"/>
    <x v="35"/>
  </r>
  <r>
    <s v="2020-09-04T18:10:42Z"/>
    <x v="82"/>
    <x v="1"/>
    <x v="21"/>
    <x v="35"/>
  </r>
  <r>
    <s v="2020-09-04T18:10:25Z"/>
    <x v="82"/>
    <x v="1"/>
    <x v="21"/>
    <x v="35"/>
  </r>
  <r>
    <s v="2020-09-02T16:46:09Z"/>
    <x v="0"/>
    <x v="1"/>
    <x v="21"/>
    <x v="35"/>
  </r>
  <r>
    <s v="2018-09-26T22:29:34Z"/>
    <x v="115"/>
    <x v="1"/>
    <x v="22"/>
    <x v="32"/>
  </r>
  <r>
    <s v="2020-10-13T23:24:24Z"/>
    <x v="116"/>
    <x v="1"/>
    <x v="23"/>
    <x v="2"/>
  </r>
  <r>
    <s v="2020-10-03T20:35:39Z"/>
    <x v="102"/>
    <x v="1"/>
    <x v="23"/>
    <x v="2"/>
  </r>
  <r>
    <s v="2020-09-21T16:52:12Z"/>
    <x v="117"/>
    <x v="1"/>
    <x v="23"/>
    <x v="2"/>
  </r>
  <r>
    <s v="2020-09-14T22:38:01Z"/>
    <x v="118"/>
    <x v="1"/>
    <x v="23"/>
    <x v="2"/>
  </r>
  <r>
    <s v="2020-08-27T18:38:00Z"/>
    <x v="119"/>
    <x v="1"/>
    <x v="23"/>
    <x v="2"/>
  </r>
  <r>
    <s v="2020-08-19T19:09:59Z"/>
    <x v="120"/>
    <x v="1"/>
    <x v="23"/>
    <x v="2"/>
  </r>
  <r>
    <s v="2020-08-19T18:55:49Z"/>
    <x v="120"/>
    <x v="1"/>
    <x v="23"/>
    <x v="2"/>
  </r>
  <r>
    <s v="2020-08-17T06:44:18Z"/>
    <x v="121"/>
    <x v="1"/>
    <x v="23"/>
    <x v="34"/>
  </r>
  <r>
    <s v="2020-07-29T23:41:55Z"/>
    <x v="110"/>
    <x v="1"/>
    <x v="23"/>
    <x v="2"/>
  </r>
  <r>
    <s v="2020-07-09T17:44:20Z"/>
    <x v="122"/>
    <x v="1"/>
    <x v="23"/>
    <x v="2"/>
  </r>
  <r>
    <s v="2020-07-08T19:27:19Z"/>
    <x v="123"/>
    <x v="1"/>
    <x v="23"/>
    <x v="2"/>
  </r>
  <r>
    <s v="2020-07-08T17:48:42Z"/>
    <x v="123"/>
    <x v="1"/>
    <x v="23"/>
    <x v="2"/>
  </r>
  <r>
    <s v="2020-07-08T17:22:36Z"/>
    <x v="123"/>
    <x v="1"/>
    <x v="23"/>
    <x v="2"/>
  </r>
  <r>
    <s v="2020-06-25T06:03:36Z"/>
    <x v="124"/>
    <x v="1"/>
    <x v="23"/>
    <x v="34"/>
  </r>
  <r>
    <s v="2020-06-23T06:44:47Z"/>
    <x v="125"/>
    <x v="1"/>
    <x v="23"/>
    <x v="34"/>
  </r>
  <r>
    <s v="2020-06-16T22:07:45Z"/>
    <x v="126"/>
    <x v="1"/>
    <x v="23"/>
    <x v="31"/>
  </r>
  <r>
    <s v="2020-04-30T17:19:24Z"/>
    <x v="127"/>
    <x v="1"/>
    <x v="23"/>
    <x v="2"/>
  </r>
  <r>
    <s v="2020-04-25T23:23:50Z"/>
    <x v="128"/>
    <x v="1"/>
    <x v="23"/>
    <x v="32"/>
  </r>
  <r>
    <s v="2020-04-25T23:23:10Z"/>
    <x v="128"/>
    <x v="1"/>
    <x v="23"/>
    <x v="32"/>
  </r>
  <r>
    <s v="2020-04-24T18:12:45Z"/>
    <x v="129"/>
    <x v="1"/>
    <x v="23"/>
    <x v="32"/>
  </r>
  <r>
    <s v="2020-04-24T18:11:25Z"/>
    <x v="129"/>
    <x v="1"/>
    <x v="23"/>
    <x v="32"/>
  </r>
  <r>
    <s v="2020-04-01T20:39:40Z"/>
    <x v="130"/>
    <x v="1"/>
    <x v="23"/>
    <x v="31"/>
  </r>
  <r>
    <s v="2020-03-31T22:45:52Z"/>
    <x v="131"/>
    <x v="1"/>
    <x v="23"/>
    <x v="2"/>
  </r>
  <r>
    <s v="2020-03-24T00:21:57Z"/>
    <x v="132"/>
    <x v="1"/>
    <x v="23"/>
    <x v="31"/>
  </r>
  <r>
    <s v="2020-03-24T00:20:29Z"/>
    <x v="132"/>
    <x v="1"/>
    <x v="23"/>
    <x v="31"/>
  </r>
  <r>
    <s v="2020-03-05T21:58:59Z"/>
    <x v="40"/>
    <x v="1"/>
    <x v="23"/>
    <x v="34"/>
  </r>
  <r>
    <s v="2020-03-05T21:58:59Z"/>
    <x v="40"/>
    <x v="1"/>
    <x v="23"/>
    <x v="34"/>
  </r>
  <r>
    <s v="2020-03-02T18:57:11Z"/>
    <x v="133"/>
    <x v="1"/>
    <x v="23"/>
    <x v="32"/>
  </r>
  <r>
    <s v="2020-02-26T18:28:41Z"/>
    <x v="134"/>
    <x v="1"/>
    <x v="23"/>
    <x v="2"/>
  </r>
  <r>
    <s v="2020-02-26T06:36:16Z"/>
    <x v="134"/>
    <x v="1"/>
    <x v="23"/>
    <x v="32"/>
  </r>
  <r>
    <s v="2019-11-05T19:20:46Z"/>
    <x v="135"/>
    <x v="1"/>
    <x v="24"/>
    <x v="31"/>
  </r>
  <r>
    <s v="2019-11-05T19:18:21Z"/>
    <x v="135"/>
    <x v="1"/>
    <x v="24"/>
    <x v="31"/>
  </r>
  <r>
    <s v="2019-09-23T16:41:24Z"/>
    <x v="136"/>
    <x v="1"/>
    <x v="24"/>
    <x v="31"/>
  </r>
  <r>
    <s v="2019-09-23T15:07:47Z"/>
    <x v="136"/>
    <x v="1"/>
    <x v="24"/>
    <x v="36"/>
  </r>
  <r>
    <s v="2019-09-23T15:01:22Z"/>
    <x v="136"/>
    <x v="1"/>
    <x v="24"/>
    <x v="36"/>
  </r>
  <r>
    <s v="2019-09-20T21:15:54Z"/>
    <x v="137"/>
    <x v="1"/>
    <x v="24"/>
    <x v="36"/>
  </r>
  <r>
    <s v="2019-09-20T20:44:55Z"/>
    <x v="137"/>
    <x v="1"/>
    <x v="24"/>
    <x v="36"/>
  </r>
  <r>
    <s v="2019-09-20T20:44:41Z"/>
    <x v="137"/>
    <x v="1"/>
    <x v="24"/>
    <x v="36"/>
  </r>
  <r>
    <s v="2019-09-20T20:44:18Z"/>
    <x v="137"/>
    <x v="1"/>
    <x v="24"/>
    <x v="36"/>
  </r>
  <r>
    <s v="2019-09-20T20:43:57Z"/>
    <x v="137"/>
    <x v="1"/>
    <x v="24"/>
    <x v="36"/>
  </r>
  <r>
    <s v="2019-09-20T20:43:28Z"/>
    <x v="137"/>
    <x v="1"/>
    <x v="24"/>
    <x v="36"/>
  </r>
  <r>
    <s v="2019-09-16T20:10:19Z"/>
    <x v="138"/>
    <x v="1"/>
    <x v="24"/>
    <x v="36"/>
  </r>
  <r>
    <s v="2019-09-16T18:51:31Z"/>
    <x v="138"/>
    <x v="1"/>
    <x v="24"/>
    <x v="36"/>
  </r>
  <r>
    <s v="2019-05-05T21:27:40Z"/>
    <x v="139"/>
    <x v="1"/>
    <x v="24"/>
    <x v="31"/>
  </r>
  <r>
    <s v="2019-05-04T00:23:20Z"/>
    <x v="72"/>
    <x v="1"/>
    <x v="24"/>
    <x v="31"/>
  </r>
  <r>
    <s v="2019-05-02T00:49:27Z"/>
    <x v="140"/>
    <x v="1"/>
    <x v="24"/>
    <x v="2"/>
  </r>
  <r>
    <s v="2019-05-02T00:48:03Z"/>
    <x v="140"/>
    <x v="1"/>
    <x v="24"/>
    <x v="36"/>
  </r>
  <r>
    <s v="2019-04-26T22:17:45Z"/>
    <x v="141"/>
    <x v="1"/>
    <x v="24"/>
    <x v="36"/>
  </r>
  <r>
    <s v="2019-04-18T20:05:16Z"/>
    <x v="52"/>
    <x v="1"/>
    <x v="24"/>
    <x v="36"/>
  </r>
  <r>
    <s v="2019-04-17T03:15:54Z"/>
    <x v="142"/>
    <x v="1"/>
    <x v="24"/>
    <x v="36"/>
  </r>
  <r>
    <s v="2019-04-17T03:15:26Z"/>
    <x v="142"/>
    <x v="1"/>
    <x v="24"/>
    <x v="36"/>
  </r>
  <r>
    <s v="2019-04-15T22:16:50Z"/>
    <x v="143"/>
    <x v="1"/>
    <x v="24"/>
    <x v="36"/>
  </r>
  <r>
    <s v="2019-04-15T21:44:53Z"/>
    <x v="143"/>
    <x v="1"/>
    <x v="24"/>
    <x v="36"/>
  </r>
  <r>
    <s v="2019-04-15T21:44:10Z"/>
    <x v="143"/>
    <x v="1"/>
    <x v="24"/>
    <x v="36"/>
  </r>
  <r>
    <s v="2019-04-15T18:39:07Z"/>
    <x v="143"/>
    <x v="1"/>
    <x v="24"/>
    <x v="36"/>
  </r>
  <r>
    <s v="2019-04-15T17:55:45Z"/>
    <x v="143"/>
    <x v="1"/>
    <x v="24"/>
    <x v="36"/>
  </r>
  <r>
    <s v="2019-04-12T20:49:33Z"/>
    <x v="144"/>
    <x v="1"/>
    <x v="24"/>
    <x v="36"/>
  </r>
  <r>
    <s v="2019-04-12T19:25:00Z"/>
    <x v="144"/>
    <x v="1"/>
    <x v="24"/>
    <x v="36"/>
  </r>
  <r>
    <s v="2019-04-12T19:03:11Z"/>
    <x v="144"/>
    <x v="1"/>
    <x v="24"/>
    <x v="36"/>
  </r>
  <r>
    <s v="2019-04-12T16:42:02Z"/>
    <x v="144"/>
    <x v="1"/>
    <x v="24"/>
    <x v="36"/>
  </r>
  <r>
    <s v="2020-06-11T18:56:48Z"/>
    <x v="145"/>
    <x v="1"/>
    <x v="4"/>
    <x v="37"/>
  </r>
  <r>
    <s v="2020-06-11T18:55:02Z"/>
    <x v="145"/>
    <x v="1"/>
    <x v="4"/>
    <x v="2"/>
  </r>
  <r>
    <s v="2020-06-11T17:03:41Z"/>
    <x v="145"/>
    <x v="1"/>
    <x v="4"/>
    <x v="2"/>
  </r>
  <r>
    <s v="2020-06-10T19:05:31Z"/>
    <x v="112"/>
    <x v="1"/>
    <x v="4"/>
    <x v="37"/>
  </r>
  <r>
    <s v="2020-06-10T19:04:09Z"/>
    <x v="112"/>
    <x v="1"/>
    <x v="4"/>
    <x v="2"/>
  </r>
  <r>
    <s v="2020-06-09T16:53:31Z"/>
    <x v="146"/>
    <x v="1"/>
    <x v="4"/>
    <x v="37"/>
  </r>
  <r>
    <s v="2020-06-09T16:50:30Z"/>
    <x v="146"/>
    <x v="1"/>
    <x v="4"/>
    <x v="2"/>
  </r>
  <r>
    <s v="2020-06-09T13:23:50Z"/>
    <x v="146"/>
    <x v="1"/>
    <x v="4"/>
    <x v="7"/>
  </r>
  <r>
    <s v="2020-06-09T12:47:48Z"/>
    <x v="146"/>
    <x v="1"/>
    <x v="4"/>
    <x v="7"/>
  </r>
  <r>
    <s v="2020-06-09T12:45:30Z"/>
    <x v="146"/>
    <x v="1"/>
    <x v="4"/>
    <x v="7"/>
  </r>
  <r>
    <s v="2020-06-08T23:38:50Z"/>
    <x v="147"/>
    <x v="1"/>
    <x v="4"/>
    <x v="38"/>
  </r>
  <r>
    <s v="2020-06-08T19:56:31Z"/>
    <x v="147"/>
    <x v="1"/>
    <x v="4"/>
    <x v="2"/>
  </r>
  <r>
    <s v="2020-06-08T19:44:10Z"/>
    <x v="147"/>
    <x v="1"/>
    <x v="4"/>
    <x v="2"/>
  </r>
  <r>
    <s v="2020-06-07T16:47:31Z"/>
    <x v="148"/>
    <x v="1"/>
    <x v="4"/>
    <x v="2"/>
  </r>
  <r>
    <s v="2020-06-05T10:41:56Z"/>
    <x v="149"/>
    <x v="1"/>
    <x v="4"/>
    <x v="39"/>
  </r>
  <r>
    <s v="2020-06-04T16:36:11Z"/>
    <x v="46"/>
    <x v="1"/>
    <x v="4"/>
    <x v="2"/>
  </r>
  <r>
    <s v="2020-06-03T21:17:31Z"/>
    <x v="150"/>
    <x v="1"/>
    <x v="4"/>
    <x v="40"/>
  </r>
  <r>
    <s v="2020-06-03T15:14:09Z"/>
    <x v="150"/>
    <x v="1"/>
    <x v="4"/>
    <x v="2"/>
  </r>
  <r>
    <s v="2020-06-03T15:13:30Z"/>
    <x v="150"/>
    <x v="1"/>
    <x v="4"/>
    <x v="2"/>
  </r>
  <r>
    <s v="2020-05-27T08:11:55Z"/>
    <x v="56"/>
    <x v="1"/>
    <x v="4"/>
    <x v="10"/>
  </r>
  <r>
    <s v="2020-05-24T14:53:05Z"/>
    <x v="151"/>
    <x v="1"/>
    <x v="4"/>
    <x v="2"/>
  </r>
  <r>
    <s v="2020-05-20T03:46:42Z"/>
    <x v="152"/>
    <x v="1"/>
    <x v="4"/>
    <x v="7"/>
  </r>
  <r>
    <s v="2020-05-20T02:38:42Z"/>
    <x v="152"/>
    <x v="1"/>
    <x v="4"/>
    <x v="2"/>
  </r>
  <r>
    <s v="2020-05-13T22:12:56Z"/>
    <x v="153"/>
    <x v="1"/>
    <x v="4"/>
    <x v="41"/>
  </r>
  <r>
    <s v="2020-05-13T22:11:26Z"/>
    <x v="153"/>
    <x v="1"/>
    <x v="4"/>
    <x v="41"/>
  </r>
  <r>
    <s v="2020-05-12T08:59:52Z"/>
    <x v="154"/>
    <x v="1"/>
    <x v="4"/>
    <x v="37"/>
  </r>
  <r>
    <s v="2020-05-12T08:56:36Z"/>
    <x v="154"/>
    <x v="1"/>
    <x v="4"/>
    <x v="2"/>
  </r>
  <r>
    <s v="2020-05-12T06:34:59Z"/>
    <x v="154"/>
    <x v="1"/>
    <x v="4"/>
    <x v="37"/>
  </r>
  <r>
    <s v="2020-05-12T06:00:59Z"/>
    <x v="154"/>
    <x v="1"/>
    <x v="4"/>
    <x v="37"/>
  </r>
  <r>
    <s v="2020-05-12T05:53:06Z"/>
    <x v="154"/>
    <x v="1"/>
    <x v="4"/>
    <x v="2"/>
  </r>
  <r>
    <s v="2019-11-27T00:37:11Z"/>
    <x v="79"/>
    <x v="1"/>
    <x v="25"/>
    <x v="2"/>
  </r>
  <r>
    <s v="2019-11-27T00:34:09Z"/>
    <x v="79"/>
    <x v="1"/>
    <x v="25"/>
    <x v="31"/>
  </r>
  <r>
    <s v="2019-11-14T20:07:51Z"/>
    <x v="155"/>
    <x v="1"/>
    <x v="25"/>
    <x v="31"/>
  </r>
  <r>
    <s v="2019-11-13T22:10:08Z"/>
    <x v="156"/>
    <x v="1"/>
    <x v="25"/>
    <x v="2"/>
  </r>
  <r>
    <s v="2019-11-13T22:06:30Z"/>
    <x v="156"/>
    <x v="1"/>
    <x v="25"/>
    <x v="2"/>
  </r>
  <r>
    <s v="2019-11-13T21:34:18Z"/>
    <x v="156"/>
    <x v="1"/>
    <x v="25"/>
    <x v="42"/>
  </r>
  <r>
    <s v="2019-11-13T21:27:13Z"/>
    <x v="156"/>
    <x v="1"/>
    <x v="25"/>
    <x v="2"/>
  </r>
  <r>
    <s v="2019-11-13T21:07:02Z"/>
    <x v="156"/>
    <x v="1"/>
    <x v="25"/>
    <x v="2"/>
  </r>
  <r>
    <s v="2019-11-13T21:06:47Z"/>
    <x v="156"/>
    <x v="1"/>
    <x v="25"/>
    <x v="2"/>
  </r>
  <r>
    <s v="2019-11-13T21:04:38Z"/>
    <x v="156"/>
    <x v="1"/>
    <x v="25"/>
    <x v="2"/>
  </r>
  <r>
    <s v="2019-10-31T23:35:21Z"/>
    <x v="157"/>
    <x v="1"/>
    <x v="25"/>
    <x v="43"/>
  </r>
  <r>
    <s v="2019-08-29T18:58:36Z"/>
    <x v="158"/>
    <x v="1"/>
    <x v="25"/>
    <x v="2"/>
  </r>
  <r>
    <s v="2019-08-29T18:52:00Z"/>
    <x v="158"/>
    <x v="1"/>
    <x v="25"/>
    <x v="42"/>
  </r>
  <r>
    <s v="2019-08-29T18:48:47Z"/>
    <x v="158"/>
    <x v="1"/>
    <x v="25"/>
    <x v="42"/>
  </r>
  <r>
    <s v="2019-08-29T18:23:53Z"/>
    <x v="158"/>
    <x v="1"/>
    <x v="25"/>
    <x v="42"/>
  </r>
  <r>
    <s v="2019-08-29T18:22:37Z"/>
    <x v="158"/>
    <x v="1"/>
    <x v="25"/>
    <x v="42"/>
  </r>
  <r>
    <s v="2019-08-29T18:19:09Z"/>
    <x v="158"/>
    <x v="1"/>
    <x v="25"/>
    <x v="42"/>
  </r>
  <r>
    <s v="2019-08-29T18:11:29Z"/>
    <x v="158"/>
    <x v="1"/>
    <x v="25"/>
    <x v="42"/>
  </r>
  <r>
    <s v="2019-08-29T17:28:58Z"/>
    <x v="158"/>
    <x v="1"/>
    <x v="25"/>
    <x v="42"/>
  </r>
  <r>
    <s v="2019-08-29T16:55:09Z"/>
    <x v="158"/>
    <x v="1"/>
    <x v="25"/>
    <x v="42"/>
  </r>
  <r>
    <s v="2019-08-29T16:47:16Z"/>
    <x v="158"/>
    <x v="1"/>
    <x v="25"/>
    <x v="42"/>
  </r>
  <r>
    <s v="2019-08-29T16:43:43Z"/>
    <x v="158"/>
    <x v="1"/>
    <x v="25"/>
    <x v="42"/>
  </r>
  <r>
    <s v="2019-08-29T16:37:20Z"/>
    <x v="158"/>
    <x v="1"/>
    <x v="25"/>
    <x v="42"/>
  </r>
  <r>
    <s v="2019-08-29T16:36:13Z"/>
    <x v="158"/>
    <x v="1"/>
    <x v="25"/>
    <x v="42"/>
  </r>
  <r>
    <s v="2019-08-29T16:27:21Z"/>
    <x v="158"/>
    <x v="1"/>
    <x v="25"/>
    <x v="42"/>
  </r>
  <r>
    <s v="2019-08-29T16:23:17Z"/>
    <x v="158"/>
    <x v="1"/>
    <x v="25"/>
    <x v="42"/>
  </r>
  <r>
    <s v="2019-06-19T19:12:08Z"/>
    <x v="159"/>
    <x v="1"/>
    <x v="25"/>
    <x v="2"/>
  </r>
  <r>
    <s v="2019-06-19T19:05:43Z"/>
    <x v="159"/>
    <x v="1"/>
    <x v="25"/>
    <x v="2"/>
  </r>
  <r>
    <s v="2019-06-19T16:57:28Z"/>
    <x v="159"/>
    <x v="1"/>
    <x v="25"/>
    <x v="42"/>
  </r>
  <r>
    <s v="2019-06-19T16:36:47Z"/>
    <x v="159"/>
    <x v="1"/>
    <x v="25"/>
    <x v="42"/>
  </r>
  <r>
    <s v="2019-11-07T10:38:58Z"/>
    <x v="160"/>
    <x v="1"/>
    <x v="26"/>
    <x v="2"/>
  </r>
  <r>
    <s v="2019-11-06T18:46:04Z"/>
    <x v="161"/>
    <x v="1"/>
    <x v="26"/>
    <x v="44"/>
  </r>
  <r>
    <s v="2019-11-05T16:08:25Z"/>
    <x v="135"/>
    <x v="1"/>
    <x v="26"/>
    <x v="45"/>
  </r>
  <r>
    <s v="2019-11-05T13:05:41Z"/>
    <x v="135"/>
    <x v="1"/>
    <x v="26"/>
    <x v="46"/>
  </r>
  <r>
    <s v="2019-11-04T15:13:52Z"/>
    <x v="162"/>
    <x v="1"/>
    <x v="26"/>
    <x v="46"/>
  </r>
  <r>
    <s v="2019-06-28T20:45:14Z"/>
    <x v="163"/>
    <x v="1"/>
    <x v="26"/>
    <x v="2"/>
  </r>
  <r>
    <s v="2019-06-28T20:02:01Z"/>
    <x v="163"/>
    <x v="1"/>
    <x v="26"/>
    <x v="47"/>
  </r>
  <r>
    <s v="2019-06-25T23:08:10Z"/>
    <x v="164"/>
    <x v="1"/>
    <x v="26"/>
    <x v="47"/>
  </r>
  <r>
    <s v="2019-06-25T23:07:20Z"/>
    <x v="164"/>
    <x v="1"/>
    <x v="26"/>
    <x v="47"/>
  </r>
  <r>
    <s v="2019-06-25T19:40:24Z"/>
    <x v="164"/>
    <x v="1"/>
    <x v="26"/>
    <x v="46"/>
  </r>
  <r>
    <s v="2019-06-25T19:25:22Z"/>
    <x v="164"/>
    <x v="1"/>
    <x v="26"/>
    <x v="46"/>
  </r>
  <r>
    <s v="2019-06-25T19:01:54Z"/>
    <x v="164"/>
    <x v="1"/>
    <x v="26"/>
    <x v="46"/>
  </r>
  <r>
    <s v="2019-05-14T20:50:59Z"/>
    <x v="68"/>
    <x v="1"/>
    <x v="26"/>
    <x v="2"/>
  </r>
  <r>
    <s v="2019-05-14T14:59:05Z"/>
    <x v="68"/>
    <x v="1"/>
    <x v="26"/>
    <x v="47"/>
  </r>
  <r>
    <s v="2019-05-14T14:59:05Z"/>
    <x v="68"/>
    <x v="1"/>
    <x v="26"/>
    <x v="47"/>
  </r>
  <r>
    <s v="2019-05-14T14:59:04Z"/>
    <x v="68"/>
    <x v="1"/>
    <x v="26"/>
    <x v="47"/>
  </r>
  <r>
    <s v="2019-05-14T14:59:04Z"/>
    <x v="68"/>
    <x v="1"/>
    <x v="26"/>
    <x v="47"/>
  </r>
  <r>
    <s v="2019-05-14T14:59:04Z"/>
    <x v="68"/>
    <x v="1"/>
    <x v="26"/>
    <x v="47"/>
  </r>
  <r>
    <s v="2019-05-14T14:59:03Z"/>
    <x v="68"/>
    <x v="1"/>
    <x v="26"/>
    <x v="47"/>
  </r>
  <r>
    <s v="2019-05-14T14:59:03Z"/>
    <x v="68"/>
    <x v="1"/>
    <x v="26"/>
    <x v="47"/>
  </r>
  <r>
    <s v="2019-05-14T14:59:03Z"/>
    <x v="68"/>
    <x v="1"/>
    <x v="26"/>
    <x v="47"/>
  </r>
  <r>
    <s v="2019-05-14T14:59:02Z"/>
    <x v="68"/>
    <x v="1"/>
    <x v="26"/>
    <x v="47"/>
  </r>
  <r>
    <s v="2019-05-14T14:59:02Z"/>
    <x v="68"/>
    <x v="1"/>
    <x v="26"/>
    <x v="47"/>
  </r>
  <r>
    <s v="2019-04-29T13:28:00Z"/>
    <x v="165"/>
    <x v="1"/>
    <x v="26"/>
    <x v="2"/>
  </r>
  <r>
    <s v="2019-04-29T13:15:34Z"/>
    <x v="165"/>
    <x v="1"/>
    <x v="26"/>
    <x v="2"/>
  </r>
  <r>
    <s v="2019-04-26T14:42:19Z"/>
    <x v="141"/>
    <x v="1"/>
    <x v="26"/>
    <x v="2"/>
  </r>
  <r>
    <s v="2019-04-26T13:05:35Z"/>
    <x v="141"/>
    <x v="1"/>
    <x v="26"/>
    <x v="45"/>
  </r>
  <r>
    <s v="2019-04-26T13:04:56Z"/>
    <x v="141"/>
    <x v="1"/>
    <x v="26"/>
    <x v="45"/>
  </r>
  <r>
    <s v="2019-04-26T13:04:30Z"/>
    <x v="141"/>
    <x v="1"/>
    <x v="26"/>
    <x v="45"/>
  </r>
  <r>
    <s v="2019-04-26T13:04:06Z"/>
    <x v="141"/>
    <x v="1"/>
    <x v="26"/>
    <x v="2"/>
  </r>
  <r>
    <s v="2019-12-16T18:08:29Z"/>
    <x v="166"/>
    <x v="1"/>
    <x v="27"/>
    <x v="2"/>
  </r>
  <r>
    <s v="2019-12-16T17:41:31Z"/>
    <x v="166"/>
    <x v="1"/>
    <x v="27"/>
    <x v="44"/>
  </r>
  <r>
    <s v="2019-12-16T16:39:53Z"/>
    <x v="166"/>
    <x v="1"/>
    <x v="27"/>
    <x v="44"/>
  </r>
  <r>
    <s v="2019-12-16T16:10:46Z"/>
    <x v="166"/>
    <x v="1"/>
    <x v="27"/>
    <x v="44"/>
  </r>
  <r>
    <s v="2019-12-15T09:15:40Z"/>
    <x v="167"/>
    <x v="1"/>
    <x v="27"/>
    <x v="2"/>
  </r>
  <r>
    <s v="2019-12-13T21:34:17Z"/>
    <x v="168"/>
    <x v="1"/>
    <x v="27"/>
    <x v="48"/>
  </r>
  <r>
    <s v="2019-12-13T21:31:31Z"/>
    <x v="168"/>
    <x v="1"/>
    <x v="27"/>
    <x v="48"/>
  </r>
  <r>
    <s v="2019-12-11T16:56:26Z"/>
    <x v="169"/>
    <x v="1"/>
    <x v="27"/>
    <x v="2"/>
  </r>
  <r>
    <s v="2019-12-11T05:56:53Z"/>
    <x v="169"/>
    <x v="1"/>
    <x v="27"/>
    <x v="48"/>
  </r>
  <r>
    <s v="2019-12-09T17:05:42Z"/>
    <x v="170"/>
    <x v="1"/>
    <x v="27"/>
    <x v="2"/>
  </r>
  <r>
    <s v="2019-12-09T04:19:52Z"/>
    <x v="170"/>
    <x v="1"/>
    <x v="27"/>
    <x v="48"/>
  </r>
  <r>
    <s v="2019-12-06T20:34:33Z"/>
    <x v="171"/>
    <x v="1"/>
    <x v="27"/>
    <x v="48"/>
  </r>
  <r>
    <s v="2019-12-06T20:34:03Z"/>
    <x v="171"/>
    <x v="1"/>
    <x v="27"/>
    <x v="48"/>
  </r>
  <r>
    <s v="2019-11-27T11:01:26Z"/>
    <x v="79"/>
    <x v="1"/>
    <x v="27"/>
    <x v="46"/>
  </r>
  <r>
    <s v="2019-11-27T10:25:17Z"/>
    <x v="79"/>
    <x v="1"/>
    <x v="27"/>
    <x v="46"/>
  </r>
  <r>
    <s v="2019-11-21T10:12:14Z"/>
    <x v="172"/>
    <x v="1"/>
    <x v="27"/>
    <x v="46"/>
  </r>
  <r>
    <s v="2019-11-21T09:45:18Z"/>
    <x v="172"/>
    <x v="1"/>
    <x v="27"/>
    <x v="46"/>
  </r>
  <r>
    <s v="2019-11-20T13:42:06Z"/>
    <x v="173"/>
    <x v="1"/>
    <x v="27"/>
    <x v="46"/>
  </r>
  <r>
    <s v="2019-11-19T19:25:59Z"/>
    <x v="174"/>
    <x v="1"/>
    <x v="27"/>
    <x v="2"/>
  </r>
  <r>
    <s v="2019-11-19T11:36:15Z"/>
    <x v="174"/>
    <x v="1"/>
    <x v="27"/>
    <x v="45"/>
  </r>
  <r>
    <s v="2019-11-18T22:04:51Z"/>
    <x v="175"/>
    <x v="1"/>
    <x v="27"/>
    <x v="2"/>
  </r>
  <r>
    <s v="2019-11-18T12:11:34Z"/>
    <x v="175"/>
    <x v="1"/>
    <x v="27"/>
    <x v="49"/>
  </r>
  <r>
    <s v="2019-11-18T10:24:56Z"/>
    <x v="175"/>
    <x v="1"/>
    <x v="27"/>
    <x v="49"/>
  </r>
  <r>
    <s v="2019-11-15T14:16:21Z"/>
    <x v="176"/>
    <x v="1"/>
    <x v="27"/>
    <x v="49"/>
  </r>
  <r>
    <s v="2019-11-15T10:28:38Z"/>
    <x v="176"/>
    <x v="1"/>
    <x v="27"/>
    <x v="49"/>
  </r>
  <r>
    <s v="2019-11-15T10:15:07Z"/>
    <x v="176"/>
    <x v="1"/>
    <x v="27"/>
    <x v="49"/>
  </r>
  <r>
    <s v="2019-11-15T09:51:44Z"/>
    <x v="176"/>
    <x v="1"/>
    <x v="27"/>
    <x v="49"/>
  </r>
  <r>
    <s v="2019-11-13T15:00:25Z"/>
    <x v="156"/>
    <x v="1"/>
    <x v="27"/>
    <x v="49"/>
  </r>
  <r>
    <s v="2019-11-11T16:19:17Z"/>
    <x v="177"/>
    <x v="1"/>
    <x v="27"/>
    <x v="49"/>
  </r>
  <r>
    <s v="2019-11-11T16:18:18Z"/>
    <x v="177"/>
    <x v="1"/>
    <x v="27"/>
    <x v="49"/>
  </r>
  <r>
    <s v="2020-07-28T20:39:17Z"/>
    <x v="178"/>
    <x v="1"/>
    <x v="28"/>
    <x v="32"/>
  </r>
  <r>
    <s v="2020-07-14T21:33:27Z"/>
    <x v="179"/>
    <x v="1"/>
    <x v="28"/>
    <x v="32"/>
  </r>
  <r>
    <s v="2020-06-02T22:20:58Z"/>
    <x v="180"/>
    <x v="1"/>
    <x v="28"/>
    <x v="32"/>
  </r>
  <r>
    <s v="2020-05-26T20:23:16Z"/>
    <x v="181"/>
    <x v="1"/>
    <x v="28"/>
    <x v="32"/>
  </r>
  <r>
    <s v="2020-05-25T00:58:29Z"/>
    <x v="182"/>
    <x v="1"/>
    <x v="28"/>
    <x v="32"/>
  </r>
  <r>
    <s v="2020-05-22T21:37:52Z"/>
    <x v="183"/>
    <x v="1"/>
    <x v="28"/>
    <x v="32"/>
  </r>
  <r>
    <s v="2020-06-26T18:46:55Z"/>
    <x v="32"/>
    <x v="1"/>
    <x v="29"/>
    <x v="50"/>
  </r>
  <r>
    <s v="2020-06-26T18:25:35Z"/>
    <x v="32"/>
    <x v="1"/>
    <x v="29"/>
    <x v="50"/>
  </r>
  <r>
    <s v="2020-06-26T18:17:23Z"/>
    <x v="32"/>
    <x v="1"/>
    <x v="29"/>
    <x v="50"/>
  </r>
  <r>
    <s v="2020-06-25T22:33:13Z"/>
    <x v="124"/>
    <x v="1"/>
    <x v="29"/>
    <x v="2"/>
  </r>
  <r>
    <s v="2020-06-25T00:33:28Z"/>
    <x v="124"/>
    <x v="1"/>
    <x v="29"/>
    <x v="50"/>
  </r>
  <r>
    <s v="2020-06-24T21:49:50Z"/>
    <x v="184"/>
    <x v="1"/>
    <x v="29"/>
    <x v="2"/>
  </r>
  <r>
    <s v="2020-06-24T21:48:12Z"/>
    <x v="184"/>
    <x v="1"/>
    <x v="29"/>
    <x v="2"/>
  </r>
  <r>
    <s v="2020-06-24T21:46:23Z"/>
    <x v="184"/>
    <x v="1"/>
    <x v="29"/>
    <x v="50"/>
  </r>
  <r>
    <s v="2020-06-24T20:28:32Z"/>
    <x v="184"/>
    <x v="1"/>
    <x v="29"/>
    <x v="50"/>
  </r>
  <r>
    <s v="2020-06-24T14:50:41Z"/>
    <x v="184"/>
    <x v="1"/>
    <x v="29"/>
    <x v="2"/>
  </r>
  <r>
    <s v="2020-05-21T18:25:22Z"/>
    <x v="185"/>
    <x v="1"/>
    <x v="29"/>
    <x v="2"/>
  </r>
  <r>
    <s v="2020-05-20T20:06:02Z"/>
    <x v="152"/>
    <x v="1"/>
    <x v="29"/>
    <x v="2"/>
  </r>
  <r>
    <s v="2020-05-19T16:25:06Z"/>
    <x v="186"/>
    <x v="1"/>
    <x v="29"/>
    <x v="2"/>
  </r>
  <r>
    <s v="2020-05-19T16:19:24Z"/>
    <x v="186"/>
    <x v="1"/>
    <x v="29"/>
    <x v="2"/>
  </r>
  <r>
    <s v="2020-05-18T22:32:20Z"/>
    <x v="187"/>
    <x v="1"/>
    <x v="29"/>
    <x v="50"/>
  </r>
  <r>
    <s v="2020-05-18T22:20:29Z"/>
    <x v="187"/>
    <x v="1"/>
    <x v="29"/>
    <x v="50"/>
  </r>
  <r>
    <s v="2020-05-18T22:04:29Z"/>
    <x v="187"/>
    <x v="1"/>
    <x v="29"/>
    <x v="2"/>
  </r>
  <r>
    <s v="2020-05-15T20:08:18Z"/>
    <x v="188"/>
    <x v="1"/>
    <x v="29"/>
    <x v="2"/>
  </r>
  <r>
    <s v="2020-05-15T16:21:49Z"/>
    <x v="188"/>
    <x v="1"/>
    <x v="29"/>
    <x v="2"/>
  </r>
  <r>
    <s v="2020-05-14T17:19:41Z"/>
    <x v="189"/>
    <x v="1"/>
    <x v="29"/>
    <x v="2"/>
  </r>
  <r>
    <s v="2020-05-06T23:29:54Z"/>
    <x v="190"/>
    <x v="1"/>
    <x v="29"/>
    <x v="2"/>
  </r>
  <r>
    <s v="2020-05-06T20:13:49Z"/>
    <x v="190"/>
    <x v="1"/>
    <x v="29"/>
    <x v="2"/>
  </r>
  <r>
    <s v="2020-04-05T14:55:13Z"/>
    <x v="191"/>
    <x v="1"/>
    <x v="29"/>
    <x v="2"/>
  </r>
  <r>
    <s v="2020-04-03T06:21:10Z"/>
    <x v="192"/>
    <x v="1"/>
    <x v="29"/>
    <x v="51"/>
  </r>
  <r>
    <s v="2020-02-14T00:17:52Z"/>
    <x v="193"/>
    <x v="1"/>
    <x v="29"/>
    <x v="52"/>
  </r>
  <r>
    <s v="2020-02-14T00:02:51Z"/>
    <x v="193"/>
    <x v="1"/>
    <x v="29"/>
    <x v="52"/>
  </r>
  <r>
    <s v="2020-02-12T18:32:19Z"/>
    <x v="194"/>
    <x v="1"/>
    <x v="29"/>
    <x v="2"/>
  </r>
  <r>
    <s v="2020-01-30T16:39:01Z"/>
    <x v="195"/>
    <x v="1"/>
    <x v="29"/>
    <x v="52"/>
  </r>
  <r>
    <s v="2020-01-30T16:14:25Z"/>
    <x v="195"/>
    <x v="1"/>
    <x v="29"/>
    <x v="2"/>
  </r>
  <r>
    <s v="2020-01-30T16:06:37Z"/>
    <x v="195"/>
    <x v="1"/>
    <x v="29"/>
    <x v="52"/>
  </r>
  <r>
    <s v="2020-01-06T18:18:08Z"/>
    <x v="196"/>
    <x v="1"/>
    <x v="30"/>
    <x v="50"/>
  </r>
  <r>
    <s v="2019-12-11T23:48:31Z"/>
    <x v="169"/>
    <x v="1"/>
    <x v="30"/>
    <x v="2"/>
  </r>
  <r>
    <s v="2019-12-12T03:52:25Z"/>
    <x v="197"/>
    <x v="1"/>
    <x v="30"/>
    <x v="50"/>
  </r>
  <r>
    <s v="2019-12-10T22:27:03Z"/>
    <x v="198"/>
    <x v="1"/>
    <x v="30"/>
    <x v="2"/>
  </r>
  <r>
    <s v="2019-12-10T22:17:00Z"/>
    <x v="198"/>
    <x v="1"/>
    <x v="30"/>
    <x v="50"/>
  </r>
  <r>
    <s v="2019-12-10T22:02:12Z"/>
    <x v="198"/>
    <x v="1"/>
    <x v="30"/>
    <x v="50"/>
  </r>
  <r>
    <s v="2019-12-10T19:43:40Z"/>
    <x v="198"/>
    <x v="1"/>
    <x v="30"/>
    <x v="50"/>
  </r>
  <r>
    <s v="2019-12-10T18:05:30Z"/>
    <x v="198"/>
    <x v="1"/>
    <x v="30"/>
    <x v="50"/>
  </r>
  <r>
    <s v="2019-12-10T18:02:39Z"/>
    <x v="198"/>
    <x v="1"/>
    <x v="30"/>
    <x v="50"/>
  </r>
  <r>
    <s v="2019-12-10T17:26:05Z"/>
    <x v="198"/>
    <x v="1"/>
    <x v="30"/>
    <x v="52"/>
  </r>
  <r>
    <s v="2019-12-10T14:31:21Z"/>
    <x v="198"/>
    <x v="1"/>
    <x v="30"/>
    <x v="52"/>
  </r>
  <r>
    <s v="2019-12-10T14:31:21Z"/>
    <x v="198"/>
    <x v="1"/>
    <x v="30"/>
    <x v="52"/>
  </r>
  <r>
    <s v="2019-12-10T14:31:21Z"/>
    <x v="198"/>
    <x v="1"/>
    <x v="30"/>
    <x v="52"/>
  </r>
  <r>
    <s v="2019-12-10T14:31:21Z"/>
    <x v="198"/>
    <x v="1"/>
    <x v="30"/>
    <x v="52"/>
  </r>
  <r>
    <s v="2019-12-10T14:31:20Z"/>
    <x v="198"/>
    <x v="1"/>
    <x v="30"/>
    <x v="52"/>
  </r>
  <r>
    <s v="2019-12-10T14:31:20Z"/>
    <x v="198"/>
    <x v="1"/>
    <x v="30"/>
    <x v="52"/>
  </r>
  <r>
    <s v="2019-12-10T14:31:20Z"/>
    <x v="198"/>
    <x v="1"/>
    <x v="30"/>
    <x v="52"/>
  </r>
  <r>
    <s v="2019-12-10T14:31:20Z"/>
    <x v="198"/>
    <x v="1"/>
    <x v="30"/>
    <x v="52"/>
  </r>
  <r>
    <s v="2019-12-10T14:31:19Z"/>
    <x v="198"/>
    <x v="1"/>
    <x v="30"/>
    <x v="52"/>
  </r>
  <r>
    <s v="2019-12-10T14:31:19Z"/>
    <x v="198"/>
    <x v="1"/>
    <x v="30"/>
    <x v="52"/>
  </r>
  <r>
    <s v="2019-12-10T14:31:19Z"/>
    <x v="198"/>
    <x v="1"/>
    <x v="30"/>
    <x v="52"/>
  </r>
  <r>
    <s v="2019-11-25T21:14:53Z"/>
    <x v="199"/>
    <x v="1"/>
    <x v="30"/>
    <x v="53"/>
  </r>
  <r>
    <s v="2019-11-25T21:14:18Z"/>
    <x v="199"/>
    <x v="1"/>
    <x v="30"/>
    <x v="2"/>
  </r>
  <r>
    <s v="2019-11-07T18:35:17Z"/>
    <x v="160"/>
    <x v="1"/>
    <x v="30"/>
    <x v="53"/>
  </r>
  <r>
    <s v="2019-11-07T18:33:11Z"/>
    <x v="160"/>
    <x v="1"/>
    <x v="30"/>
    <x v="53"/>
  </r>
  <r>
    <s v="2019-11-06T22:56:54Z"/>
    <x v="161"/>
    <x v="1"/>
    <x v="30"/>
    <x v="53"/>
  </r>
  <r>
    <s v="2019-11-06T20:05:21Z"/>
    <x v="161"/>
    <x v="1"/>
    <x v="30"/>
    <x v="54"/>
  </r>
  <r>
    <s v="2019-10-09T05:09:53Z"/>
    <x v="200"/>
    <x v="1"/>
    <x v="30"/>
    <x v="50"/>
  </r>
  <r>
    <s v="2019-10-09T05:03:24Z"/>
    <x v="200"/>
    <x v="1"/>
    <x v="30"/>
    <x v="2"/>
  </r>
  <r>
    <s v="2019-10-09T05:03:05Z"/>
    <x v="200"/>
    <x v="1"/>
    <x v="30"/>
    <x v="2"/>
  </r>
  <r>
    <s v="2020-09-10T22:54:09Z"/>
    <x v="114"/>
    <x v="1"/>
    <x v="31"/>
    <x v="2"/>
  </r>
  <r>
    <s v="2020-08-21T22:00:59Z"/>
    <x v="201"/>
    <x v="1"/>
    <x v="31"/>
    <x v="2"/>
  </r>
  <r>
    <s v="2020-08-13T22:27:51Z"/>
    <x v="202"/>
    <x v="1"/>
    <x v="31"/>
    <x v="2"/>
  </r>
  <r>
    <s v="2020-08-13T21:59:37Z"/>
    <x v="202"/>
    <x v="1"/>
    <x v="31"/>
    <x v="24"/>
  </r>
  <r>
    <s v="2020-08-13T21:39:32Z"/>
    <x v="202"/>
    <x v="1"/>
    <x v="31"/>
    <x v="24"/>
  </r>
  <r>
    <s v="2020-08-07T22:42:34Z"/>
    <x v="203"/>
    <x v="1"/>
    <x v="31"/>
    <x v="2"/>
  </r>
  <r>
    <s v="2020-08-05T19:01:27Z"/>
    <x v="108"/>
    <x v="1"/>
    <x v="31"/>
    <x v="2"/>
  </r>
  <r>
    <s v="2020-08-05T18:06:34Z"/>
    <x v="108"/>
    <x v="1"/>
    <x v="31"/>
    <x v="2"/>
  </r>
  <r>
    <s v="2020-08-04T18:58:35Z"/>
    <x v="204"/>
    <x v="1"/>
    <x v="31"/>
    <x v="24"/>
  </r>
  <r>
    <s v="2020-08-04T18:54:09Z"/>
    <x v="204"/>
    <x v="1"/>
    <x v="31"/>
    <x v="24"/>
  </r>
  <r>
    <s v="2020-08-04T00:59:50Z"/>
    <x v="204"/>
    <x v="1"/>
    <x v="31"/>
    <x v="2"/>
  </r>
  <r>
    <s v="2020-07-31T22:44:37Z"/>
    <x v="205"/>
    <x v="1"/>
    <x v="31"/>
    <x v="34"/>
  </r>
  <r>
    <s v="2020-07-31T22:44:37Z"/>
    <x v="205"/>
    <x v="1"/>
    <x v="31"/>
    <x v="34"/>
  </r>
  <r>
    <s v="2020-07-28T21:50:36Z"/>
    <x v="178"/>
    <x v="1"/>
    <x v="31"/>
    <x v="31"/>
  </r>
  <r>
    <s v="2020-07-04T01:55:43Z"/>
    <x v="206"/>
    <x v="1"/>
    <x v="31"/>
    <x v="31"/>
  </r>
  <r>
    <s v="2020-06-23T17:26:15Z"/>
    <x v="125"/>
    <x v="1"/>
    <x v="31"/>
    <x v="31"/>
  </r>
  <r>
    <s v="2020-01-31T23:01:44Z"/>
    <x v="15"/>
    <x v="1"/>
    <x v="31"/>
    <x v="32"/>
  </r>
  <r>
    <s v="2020-01-31T22:45:37Z"/>
    <x v="15"/>
    <x v="1"/>
    <x v="31"/>
    <x v="32"/>
  </r>
  <r>
    <s v="2020-01-31T22:18:15Z"/>
    <x v="15"/>
    <x v="1"/>
    <x v="31"/>
    <x v="32"/>
  </r>
  <r>
    <s v="2020-01-31T22:14:32Z"/>
    <x v="15"/>
    <x v="1"/>
    <x v="31"/>
    <x v="32"/>
  </r>
  <r>
    <s v="2020-01-31T21:56:21Z"/>
    <x v="15"/>
    <x v="1"/>
    <x v="31"/>
    <x v="32"/>
  </r>
  <r>
    <s v="2020-01-31T21:42:45Z"/>
    <x v="15"/>
    <x v="1"/>
    <x v="31"/>
    <x v="32"/>
  </r>
  <r>
    <s v="2020-01-30T00:04:50Z"/>
    <x v="195"/>
    <x v="1"/>
    <x v="31"/>
    <x v="32"/>
  </r>
  <r>
    <s v="2020-01-29T23:55:57Z"/>
    <x v="16"/>
    <x v="1"/>
    <x v="31"/>
    <x v="32"/>
  </r>
  <r>
    <s v="2020-01-29T23:49:39Z"/>
    <x v="16"/>
    <x v="1"/>
    <x v="31"/>
    <x v="32"/>
  </r>
  <r>
    <s v="2020-01-29T22:33:41Z"/>
    <x v="16"/>
    <x v="1"/>
    <x v="31"/>
    <x v="32"/>
  </r>
  <r>
    <s v="2020-01-29T19:54:58Z"/>
    <x v="16"/>
    <x v="1"/>
    <x v="31"/>
    <x v="32"/>
  </r>
  <r>
    <s v="2020-01-29T01:43:11Z"/>
    <x v="16"/>
    <x v="1"/>
    <x v="31"/>
    <x v="32"/>
  </r>
  <r>
    <s v="2020-01-28T20:57:52Z"/>
    <x v="17"/>
    <x v="1"/>
    <x v="31"/>
    <x v="32"/>
  </r>
  <r>
    <s v="2020-01-27T23:18:22Z"/>
    <x v="18"/>
    <x v="1"/>
    <x v="31"/>
    <x v="32"/>
  </r>
  <r>
    <s v="2020-08-23T01:59:10Z"/>
    <x v="207"/>
    <x v="1"/>
    <x v="32"/>
    <x v="31"/>
  </r>
  <r>
    <s v="2018-11-25T21:35:06Z"/>
    <x v="208"/>
    <x v="1"/>
    <x v="33"/>
    <x v="2"/>
  </r>
  <r>
    <s v="2018-11-21T23:52:19Z"/>
    <x v="209"/>
    <x v="1"/>
    <x v="33"/>
    <x v="2"/>
  </r>
  <r>
    <s v="2018-11-21T23:40:09Z"/>
    <x v="209"/>
    <x v="1"/>
    <x v="33"/>
    <x v="2"/>
  </r>
  <r>
    <s v="2018-11-21T01:15:44Z"/>
    <x v="209"/>
    <x v="1"/>
    <x v="33"/>
    <x v="55"/>
  </r>
  <r>
    <s v="2018-11-21T00:47:38Z"/>
    <x v="209"/>
    <x v="1"/>
    <x v="33"/>
    <x v="2"/>
  </r>
  <r>
    <s v="2018-11-21T00:40:30Z"/>
    <x v="209"/>
    <x v="1"/>
    <x v="33"/>
    <x v="55"/>
  </r>
  <r>
    <s v="2018-11-21T00:00:18Z"/>
    <x v="209"/>
    <x v="1"/>
    <x v="33"/>
    <x v="55"/>
  </r>
  <r>
    <s v="2018-11-20T07:02:28Z"/>
    <x v="210"/>
    <x v="1"/>
    <x v="33"/>
    <x v="55"/>
  </r>
  <r>
    <s v="2018-11-20T07:00:28Z"/>
    <x v="210"/>
    <x v="1"/>
    <x v="33"/>
    <x v="2"/>
  </r>
  <r>
    <s v="2018-11-20T07:00:01Z"/>
    <x v="210"/>
    <x v="1"/>
    <x v="33"/>
    <x v="55"/>
  </r>
  <r>
    <s v="2018-11-20T06:49:52Z"/>
    <x v="210"/>
    <x v="1"/>
    <x v="33"/>
    <x v="55"/>
  </r>
  <r>
    <s v="2018-11-20T04:27:23Z"/>
    <x v="210"/>
    <x v="1"/>
    <x v="33"/>
    <x v="55"/>
  </r>
  <r>
    <s v="2018-11-20T04:15:11Z"/>
    <x v="210"/>
    <x v="1"/>
    <x v="33"/>
    <x v="55"/>
  </r>
  <r>
    <s v="2018-11-20T02:01:10Z"/>
    <x v="210"/>
    <x v="1"/>
    <x v="33"/>
    <x v="55"/>
  </r>
  <r>
    <s v="2018-11-19T22:05:11Z"/>
    <x v="211"/>
    <x v="1"/>
    <x v="33"/>
    <x v="2"/>
  </r>
  <r>
    <s v="2018-11-17T01:42:12Z"/>
    <x v="212"/>
    <x v="1"/>
    <x v="33"/>
    <x v="55"/>
  </r>
  <r>
    <s v="2018-11-17T00:15:47Z"/>
    <x v="212"/>
    <x v="1"/>
    <x v="33"/>
    <x v="55"/>
  </r>
  <r>
    <s v="2018-11-16T03:29:29Z"/>
    <x v="213"/>
    <x v="1"/>
    <x v="33"/>
    <x v="55"/>
  </r>
  <r>
    <s v="2018-11-16T02:42:07Z"/>
    <x v="213"/>
    <x v="1"/>
    <x v="33"/>
    <x v="55"/>
  </r>
  <r>
    <s v="2018-11-16T00:01:46Z"/>
    <x v="213"/>
    <x v="1"/>
    <x v="33"/>
    <x v="55"/>
  </r>
  <r>
    <s v="2018-11-16T00:00:08Z"/>
    <x v="213"/>
    <x v="1"/>
    <x v="33"/>
    <x v="55"/>
  </r>
  <r>
    <s v="2018-11-15T23:58:01Z"/>
    <x v="214"/>
    <x v="1"/>
    <x v="33"/>
    <x v="55"/>
  </r>
  <r>
    <s v="2018-11-15T23:37:15Z"/>
    <x v="214"/>
    <x v="1"/>
    <x v="33"/>
    <x v="55"/>
  </r>
  <r>
    <s v="2018-11-15T23:05:16Z"/>
    <x v="214"/>
    <x v="1"/>
    <x v="33"/>
    <x v="55"/>
  </r>
  <r>
    <s v="2018-11-15T22:03:14Z"/>
    <x v="214"/>
    <x v="1"/>
    <x v="33"/>
    <x v="55"/>
  </r>
  <r>
    <s v="2018-11-15T05:18:35Z"/>
    <x v="214"/>
    <x v="1"/>
    <x v="33"/>
    <x v="2"/>
  </r>
  <r>
    <s v="2018-11-15T05:18:19Z"/>
    <x v="214"/>
    <x v="1"/>
    <x v="33"/>
    <x v="2"/>
  </r>
  <r>
    <s v="2018-11-15T05:15:35Z"/>
    <x v="214"/>
    <x v="1"/>
    <x v="33"/>
    <x v="55"/>
  </r>
  <r>
    <s v="2018-11-15T04:52:21Z"/>
    <x v="214"/>
    <x v="1"/>
    <x v="33"/>
    <x v="55"/>
  </r>
  <r>
    <s v="2018-11-14T22:08:02Z"/>
    <x v="215"/>
    <x v="1"/>
    <x v="33"/>
    <x v="55"/>
  </r>
  <r>
    <s v="2018-02-02T22:03:07Z"/>
    <x v="216"/>
    <x v="1"/>
    <x v="34"/>
    <x v="56"/>
  </r>
  <r>
    <s v="2018-01-24T16:11:05Z"/>
    <x v="217"/>
    <x v="1"/>
    <x v="34"/>
    <x v="56"/>
  </r>
  <r>
    <s v="2018-01-19T19:33:22Z"/>
    <x v="218"/>
    <x v="1"/>
    <x v="34"/>
    <x v="2"/>
  </r>
  <r>
    <s v="2018-01-19T10:59:51Z"/>
    <x v="218"/>
    <x v="1"/>
    <x v="34"/>
    <x v="57"/>
  </r>
  <r>
    <s v="2017-12-04T22:03:05Z"/>
    <x v="219"/>
    <x v="1"/>
    <x v="34"/>
    <x v="56"/>
  </r>
  <r>
    <s v="2017-12-01T16:03:04Z"/>
    <x v="220"/>
    <x v="1"/>
    <x v="34"/>
    <x v="56"/>
  </r>
  <r>
    <s v="2017-11-30T19:53:54Z"/>
    <x v="221"/>
    <x v="1"/>
    <x v="34"/>
    <x v="56"/>
  </r>
  <r>
    <s v="2017-09-21T15:03:07Z"/>
    <x v="222"/>
    <x v="1"/>
    <x v="34"/>
    <x v="56"/>
  </r>
  <r>
    <s v="2017-09-21T15:03:07Z"/>
    <x v="222"/>
    <x v="1"/>
    <x v="34"/>
    <x v="56"/>
  </r>
  <r>
    <s v="2017-07-28T21:03:54Z"/>
    <x v="223"/>
    <x v="1"/>
    <x v="34"/>
    <x v="56"/>
  </r>
  <r>
    <s v="2017-07-24T15:03:57Z"/>
    <x v="224"/>
    <x v="1"/>
    <x v="34"/>
    <x v="56"/>
  </r>
  <r>
    <s v="2017-07-14T19:40:26Z"/>
    <x v="225"/>
    <x v="1"/>
    <x v="34"/>
    <x v="2"/>
  </r>
  <r>
    <s v="2017-07-14T17:34:15Z"/>
    <x v="225"/>
    <x v="1"/>
    <x v="34"/>
    <x v="58"/>
  </r>
  <r>
    <s v="2017-07-14T16:50:07Z"/>
    <x v="225"/>
    <x v="1"/>
    <x v="34"/>
    <x v="2"/>
  </r>
  <r>
    <s v="2017-07-14T15:12:54Z"/>
    <x v="225"/>
    <x v="1"/>
    <x v="34"/>
    <x v="58"/>
  </r>
  <r>
    <s v="2017-06-19T22:38:25Z"/>
    <x v="226"/>
    <x v="1"/>
    <x v="34"/>
    <x v="58"/>
  </r>
  <r>
    <s v="2017-06-08T22:07:40Z"/>
    <x v="227"/>
    <x v="1"/>
    <x v="34"/>
    <x v="2"/>
  </r>
  <r>
    <s v="2017-06-08T21:48:07Z"/>
    <x v="227"/>
    <x v="1"/>
    <x v="34"/>
    <x v="2"/>
  </r>
  <r>
    <s v="2017-06-08T21:22:58Z"/>
    <x v="227"/>
    <x v="1"/>
    <x v="34"/>
    <x v="58"/>
  </r>
  <r>
    <s v="2017-06-08T21:18:36Z"/>
    <x v="227"/>
    <x v="1"/>
    <x v="34"/>
    <x v="58"/>
  </r>
  <r>
    <s v="2017-05-18T20:50:23Z"/>
    <x v="228"/>
    <x v="1"/>
    <x v="34"/>
    <x v="58"/>
  </r>
  <r>
    <s v="2017-02-28T00:14:25Z"/>
    <x v="229"/>
    <x v="1"/>
    <x v="34"/>
    <x v="58"/>
  </r>
  <r>
    <s v="2017-02-13T20:49:03Z"/>
    <x v="230"/>
    <x v="1"/>
    <x v="34"/>
    <x v="56"/>
  </r>
  <r>
    <s v="2017-01-31T19:29:49Z"/>
    <x v="231"/>
    <x v="1"/>
    <x v="34"/>
    <x v="58"/>
  </r>
  <r>
    <s v="2017-01-31T16:03:16Z"/>
    <x v="231"/>
    <x v="1"/>
    <x v="34"/>
    <x v="56"/>
  </r>
  <r>
    <s v="2017-01-18T00:46:23Z"/>
    <x v="232"/>
    <x v="1"/>
    <x v="34"/>
    <x v="2"/>
  </r>
  <r>
    <s v="2017-01-18T00:11:01Z"/>
    <x v="232"/>
    <x v="1"/>
    <x v="34"/>
    <x v="58"/>
  </r>
  <r>
    <s v="2017-01-18T00:06:00Z"/>
    <x v="232"/>
    <x v="1"/>
    <x v="34"/>
    <x v="58"/>
  </r>
  <r>
    <s v="2017-01-18T00:04:23Z"/>
    <x v="232"/>
    <x v="1"/>
    <x v="34"/>
    <x v="58"/>
  </r>
  <r>
    <s v="2017-01-18T00:04:12Z"/>
    <x v="232"/>
    <x v="1"/>
    <x v="34"/>
    <x v="58"/>
  </r>
  <r>
    <s v="2018-12-19T02:12:36Z"/>
    <x v="233"/>
    <x v="1"/>
    <x v="35"/>
    <x v="34"/>
  </r>
  <r>
    <s v="2018-12-19T02:12:36Z"/>
    <x v="233"/>
    <x v="1"/>
    <x v="35"/>
    <x v="34"/>
  </r>
  <r>
    <s v="2018-10-30T22:13:29Z"/>
    <x v="234"/>
    <x v="1"/>
    <x v="35"/>
    <x v="32"/>
  </r>
  <r>
    <s v="2018-10-30T22:10:26Z"/>
    <x v="234"/>
    <x v="1"/>
    <x v="35"/>
    <x v="32"/>
  </r>
  <r>
    <s v="2018-10-30T22:05:12Z"/>
    <x v="234"/>
    <x v="1"/>
    <x v="35"/>
    <x v="32"/>
  </r>
  <r>
    <s v="2018-10-29T22:02:33Z"/>
    <x v="235"/>
    <x v="1"/>
    <x v="35"/>
    <x v="32"/>
  </r>
  <r>
    <s v="2018-08-03T21:35:35Z"/>
    <x v="236"/>
    <x v="1"/>
    <x v="35"/>
    <x v="32"/>
  </r>
  <r>
    <s v="2018-08-03T21:34:27Z"/>
    <x v="236"/>
    <x v="1"/>
    <x v="35"/>
    <x v="34"/>
  </r>
  <r>
    <s v="2018-08-03T21:26:33Z"/>
    <x v="236"/>
    <x v="1"/>
    <x v="35"/>
    <x v="34"/>
  </r>
  <r>
    <s v="2018-08-03T21:26:33Z"/>
    <x v="236"/>
    <x v="1"/>
    <x v="35"/>
    <x v="34"/>
  </r>
  <r>
    <s v="2018-08-01T04:30:58Z"/>
    <x v="237"/>
    <x v="1"/>
    <x v="35"/>
    <x v="2"/>
  </r>
  <r>
    <s v="2018-07-16T21:41:20Z"/>
    <x v="238"/>
    <x v="1"/>
    <x v="35"/>
    <x v="59"/>
  </r>
  <r>
    <s v="2018-07-16T21:35:26Z"/>
    <x v="238"/>
    <x v="1"/>
    <x v="35"/>
    <x v="59"/>
  </r>
  <r>
    <s v="2018-01-11T20:08:27Z"/>
    <x v="239"/>
    <x v="1"/>
    <x v="35"/>
    <x v="32"/>
  </r>
  <r>
    <s v="2018-01-11T09:50:20Z"/>
    <x v="239"/>
    <x v="1"/>
    <x v="35"/>
    <x v="32"/>
  </r>
  <r>
    <s v="2018-01-11T09:49:02Z"/>
    <x v="239"/>
    <x v="1"/>
    <x v="35"/>
    <x v="32"/>
  </r>
  <r>
    <s v="2018-01-11T09:47:16Z"/>
    <x v="239"/>
    <x v="1"/>
    <x v="35"/>
    <x v="32"/>
  </r>
  <r>
    <s v="2018-01-11T09:45:02Z"/>
    <x v="239"/>
    <x v="1"/>
    <x v="35"/>
    <x v="32"/>
  </r>
  <r>
    <s v="2018-01-11T09:27:39Z"/>
    <x v="239"/>
    <x v="1"/>
    <x v="35"/>
    <x v="32"/>
  </r>
  <r>
    <s v="2020-08-21T18:33:42Z"/>
    <x v="201"/>
    <x v="1"/>
    <x v="36"/>
    <x v="2"/>
  </r>
  <r>
    <s v="2020-08-14T19:07:47Z"/>
    <x v="240"/>
    <x v="1"/>
    <x v="36"/>
    <x v="24"/>
  </r>
  <r>
    <s v="2020-08-14T18:41:38Z"/>
    <x v="240"/>
    <x v="1"/>
    <x v="36"/>
    <x v="24"/>
  </r>
  <r>
    <s v="2020-07-27T23:28:39Z"/>
    <x v="241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7-23T23:56:16Z"/>
    <x v="242"/>
    <x v="1"/>
    <x v="36"/>
    <x v="32"/>
  </r>
  <r>
    <s v="2020-04-17T22:21:00Z"/>
    <x v="243"/>
    <x v="1"/>
    <x v="36"/>
    <x v="31"/>
  </r>
  <r>
    <s v="2020-04-17T19:09:23Z"/>
    <x v="243"/>
    <x v="1"/>
    <x v="36"/>
    <x v="2"/>
  </r>
  <r>
    <s v="2020-04-17T18:59:02Z"/>
    <x v="243"/>
    <x v="1"/>
    <x v="36"/>
    <x v="32"/>
  </r>
  <r>
    <s v="2020-04-17T18:02:36Z"/>
    <x v="243"/>
    <x v="1"/>
    <x v="36"/>
    <x v="2"/>
  </r>
  <r>
    <s v="2020-04-15T06:24:27Z"/>
    <x v="244"/>
    <x v="1"/>
    <x v="36"/>
    <x v="32"/>
  </r>
  <r>
    <s v="2020-04-15T06:21:56Z"/>
    <x v="244"/>
    <x v="1"/>
    <x v="36"/>
    <x v="2"/>
  </r>
  <r>
    <s v="2020-03-06T23:55:01Z"/>
    <x v="39"/>
    <x v="1"/>
    <x v="36"/>
    <x v="2"/>
  </r>
  <r>
    <s v="2020-03-06T23:54:40Z"/>
    <x v="39"/>
    <x v="1"/>
    <x v="36"/>
    <x v="2"/>
  </r>
  <r>
    <s v="2020-03-03T23:08:24Z"/>
    <x v="42"/>
    <x v="1"/>
    <x v="36"/>
    <x v="60"/>
  </r>
  <r>
    <s v="2020-03-03T22:29:21Z"/>
    <x v="42"/>
    <x v="1"/>
    <x v="36"/>
    <x v="60"/>
  </r>
  <r>
    <s v="2020-03-03T22:01:07Z"/>
    <x v="42"/>
    <x v="1"/>
    <x v="36"/>
    <x v="32"/>
  </r>
  <r>
    <s v="2020-03-03T01:18:01Z"/>
    <x v="42"/>
    <x v="1"/>
    <x v="36"/>
    <x v="60"/>
  </r>
  <r>
    <s v="2020-02-28T18:55:06Z"/>
    <x v="44"/>
    <x v="1"/>
    <x v="36"/>
    <x v="60"/>
  </r>
  <r>
    <s v="2020-02-26T23:46:57Z"/>
    <x v="134"/>
    <x v="1"/>
    <x v="36"/>
    <x v="32"/>
  </r>
  <r>
    <s v="2020-02-26T23:44:04Z"/>
    <x v="134"/>
    <x v="1"/>
    <x v="36"/>
    <x v="2"/>
  </r>
  <r>
    <s v="2020-02-22T06:17:39Z"/>
    <x v="245"/>
    <x v="1"/>
    <x v="36"/>
    <x v="32"/>
  </r>
  <r>
    <s v="2020-02-22T06:11:22Z"/>
    <x v="245"/>
    <x v="1"/>
    <x v="36"/>
    <x v="32"/>
  </r>
  <r>
    <s v="2019-01-26T13:30:17Z"/>
    <x v="246"/>
    <x v="1"/>
    <x v="37"/>
    <x v="61"/>
  </r>
  <r>
    <s v="2019-01-24T20:16:31Z"/>
    <x v="247"/>
    <x v="1"/>
    <x v="37"/>
    <x v="2"/>
  </r>
  <r>
    <s v="2019-01-24T19:42:32Z"/>
    <x v="247"/>
    <x v="1"/>
    <x v="37"/>
    <x v="62"/>
  </r>
  <r>
    <s v="2019-01-24T12:32:11Z"/>
    <x v="247"/>
    <x v="1"/>
    <x v="37"/>
    <x v="2"/>
  </r>
  <r>
    <s v="2019-01-24T12:10:27Z"/>
    <x v="247"/>
    <x v="1"/>
    <x v="37"/>
    <x v="2"/>
  </r>
  <r>
    <s v="2019-01-23T16:30:17Z"/>
    <x v="248"/>
    <x v="1"/>
    <x v="37"/>
    <x v="2"/>
  </r>
  <r>
    <s v="2019-01-23T10:13:24Z"/>
    <x v="248"/>
    <x v="1"/>
    <x v="37"/>
    <x v="62"/>
  </r>
  <r>
    <s v="2019-01-23T10:13:22Z"/>
    <x v="248"/>
    <x v="1"/>
    <x v="37"/>
    <x v="62"/>
  </r>
  <r>
    <s v="2019-01-23T10:06:25Z"/>
    <x v="248"/>
    <x v="1"/>
    <x v="37"/>
    <x v="63"/>
  </r>
  <r>
    <s v="2019-01-23T09:35:32Z"/>
    <x v="248"/>
    <x v="1"/>
    <x v="37"/>
    <x v="2"/>
  </r>
  <r>
    <s v="2019-01-23T04:52:27Z"/>
    <x v="248"/>
    <x v="1"/>
    <x v="37"/>
    <x v="64"/>
  </r>
  <r>
    <s v="2019-01-22T21:26:38Z"/>
    <x v="249"/>
    <x v="1"/>
    <x v="37"/>
    <x v="62"/>
  </r>
  <r>
    <s v="2019-01-22T17:44:09Z"/>
    <x v="249"/>
    <x v="1"/>
    <x v="37"/>
    <x v="2"/>
  </r>
  <r>
    <s v="2019-01-22T17:38:06Z"/>
    <x v="249"/>
    <x v="1"/>
    <x v="37"/>
    <x v="2"/>
  </r>
  <r>
    <s v="2019-01-22T17:36:26Z"/>
    <x v="249"/>
    <x v="1"/>
    <x v="37"/>
    <x v="2"/>
  </r>
  <r>
    <s v="2019-01-22T17:33:45Z"/>
    <x v="249"/>
    <x v="1"/>
    <x v="37"/>
    <x v="2"/>
  </r>
  <r>
    <s v="2019-01-22T17:29:08Z"/>
    <x v="249"/>
    <x v="1"/>
    <x v="37"/>
    <x v="2"/>
  </r>
  <r>
    <s v="2019-01-22T17:24:03Z"/>
    <x v="249"/>
    <x v="1"/>
    <x v="37"/>
    <x v="2"/>
  </r>
  <r>
    <s v="2019-01-22T17:22:54Z"/>
    <x v="249"/>
    <x v="1"/>
    <x v="37"/>
    <x v="62"/>
  </r>
  <r>
    <s v="2019-01-22T17:18:27Z"/>
    <x v="249"/>
    <x v="1"/>
    <x v="37"/>
    <x v="65"/>
  </r>
  <r>
    <s v="2019-01-22T17:03:24Z"/>
    <x v="249"/>
    <x v="1"/>
    <x v="37"/>
    <x v="65"/>
  </r>
  <r>
    <s v="2019-01-22T16:38:17Z"/>
    <x v="249"/>
    <x v="1"/>
    <x v="37"/>
    <x v="65"/>
  </r>
  <r>
    <s v="2019-01-22T15:56:17Z"/>
    <x v="249"/>
    <x v="1"/>
    <x v="37"/>
    <x v="2"/>
  </r>
  <r>
    <s v="2019-01-22T15:53:52Z"/>
    <x v="249"/>
    <x v="1"/>
    <x v="37"/>
    <x v="2"/>
  </r>
  <r>
    <s v="2019-01-22T15:46:25Z"/>
    <x v="249"/>
    <x v="1"/>
    <x v="37"/>
    <x v="62"/>
  </r>
  <r>
    <s v="2019-01-22T14:49:45Z"/>
    <x v="249"/>
    <x v="1"/>
    <x v="37"/>
    <x v="2"/>
  </r>
  <r>
    <s v="2019-01-22T14:45:08Z"/>
    <x v="249"/>
    <x v="1"/>
    <x v="37"/>
    <x v="65"/>
  </r>
  <r>
    <s v="2019-01-22T13:45:25Z"/>
    <x v="249"/>
    <x v="1"/>
    <x v="37"/>
    <x v="62"/>
  </r>
  <r>
    <s v="2019-01-22T12:49:41Z"/>
    <x v="249"/>
    <x v="1"/>
    <x v="37"/>
    <x v="2"/>
  </r>
  <r>
    <s v="2019-01-22T11:58:43Z"/>
    <x v="249"/>
    <x v="1"/>
    <x v="37"/>
    <x v="2"/>
  </r>
  <r>
    <s v="2018-05-30T21:45:10Z"/>
    <x v="96"/>
    <x v="1"/>
    <x v="38"/>
    <x v="32"/>
  </r>
  <r>
    <s v="2018-05-23T22:45:44Z"/>
    <x v="250"/>
    <x v="1"/>
    <x v="38"/>
    <x v="2"/>
  </r>
  <r>
    <s v="2018-05-23T15:32:38Z"/>
    <x v="250"/>
    <x v="1"/>
    <x v="38"/>
    <x v="66"/>
  </r>
  <r>
    <s v="2018-05-23T15:28:45Z"/>
    <x v="250"/>
    <x v="1"/>
    <x v="38"/>
    <x v="66"/>
  </r>
  <r>
    <s v="2018-05-23T15:22:03Z"/>
    <x v="250"/>
    <x v="1"/>
    <x v="38"/>
    <x v="2"/>
  </r>
  <r>
    <s v="2018-05-23T07:18:25Z"/>
    <x v="250"/>
    <x v="1"/>
    <x v="38"/>
    <x v="67"/>
  </r>
  <r>
    <s v="2018-05-23T00:30:00Z"/>
    <x v="250"/>
    <x v="1"/>
    <x v="38"/>
    <x v="66"/>
  </r>
  <r>
    <s v="2018-05-23T00:26:03Z"/>
    <x v="250"/>
    <x v="1"/>
    <x v="38"/>
    <x v="66"/>
  </r>
  <r>
    <s v="2018-05-23T00:24:54Z"/>
    <x v="250"/>
    <x v="1"/>
    <x v="38"/>
    <x v="2"/>
  </r>
  <r>
    <s v="2018-05-22T23:15:25Z"/>
    <x v="251"/>
    <x v="1"/>
    <x v="38"/>
    <x v="67"/>
  </r>
  <r>
    <s v="2018-05-20T18:49:27Z"/>
    <x v="252"/>
    <x v="1"/>
    <x v="38"/>
    <x v="66"/>
  </r>
  <r>
    <s v="2018-05-20T18:48:07Z"/>
    <x v="252"/>
    <x v="1"/>
    <x v="38"/>
    <x v="66"/>
  </r>
  <r>
    <s v="2018-05-20T18:46:01Z"/>
    <x v="252"/>
    <x v="1"/>
    <x v="38"/>
    <x v="2"/>
  </r>
  <r>
    <s v="2018-05-20T15:59:16Z"/>
    <x v="252"/>
    <x v="1"/>
    <x v="38"/>
    <x v="66"/>
  </r>
  <r>
    <s v="2018-05-20T15:13:24Z"/>
    <x v="252"/>
    <x v="1"/>
    <x v="38"/>
    <x v="66"/>
  </r>
  <r>
    <s v="2018-05-20T02:14:04Z"/>
    <x v="252"/>
    <x v="1"/>
    <x v="38"/>
    <x v="66"/>
  </r>
  <r>
    <s v="2018-05-20T02:11:16Z"/>
    <x v="252"/>
    <x v="1"/>
    <x v="38"/>
    <x v="66"/>
  </r>
  <r>
    <s v="2018-05-20T02:07:27Z"/>
    <x v="252"/>
    <x v="1"/>
    <x v="38"/>
    <x v="2"/>
  </r>
  <r>
    <s v="2018-05-20T01:42:00Z"/>
    <x v="252"/>
    <x v="1"/>
    <x v="38"/>
    <x v="66"/>
  </r>
  <r>
    <s v="2018-05-20T01:38:51Z"/>
    <x v="252"/>
    <x v="1"/>
    <x v="38"/>
    <x v="2"/>
  </r>
  <r>
    <s v="2018-05-20T00:55:15Z"/>
    <x v="252"/>
    <x v="1"/>
    <x v="38"/>
    <x v="66"/>
  </r>
  <r>
    <s v="2018-05-15T01:09:40Z"/>
    <x v="253"/>
    <x v="1"/>
    <x v="38"/>
    <x v="2"/>
  </r>
  <r>
    <s v="2018-05-15T00:55:37Z"/>
    <x v="253"/>
    <x v="1"/>
    <x v="38"/>
    <x v="2"/>
  </r>
  <r>
    <s v="2018-04-20T18:41:12Z"/>
    <x v="254"/>
    <x v="1"/>
    <x v="38"/>
    <x v="66"/>
  </r>
  <r>
    <s v="2018-04-20T18:36:07Z"/>
    <x v="254"/>
    <x v="1"/>
    <x v="38"/>
    <x v="66"/>
  </r>
  <r>
    <s v="2018-04-20T18:35:41Z"/>
    <x v="254"/>
    <x v="1"/>
    <x v="38"/>
    <x v="66"/>
  </r>
  <r>
    <s v="2018-04-20T18:10:25Z"/>
    <x v="254"/>
    <x v="1"/>
    <x v="38"/>
    <x v="2"/>
  </r>
  <r>
    <s v="2018-04-20T18:00:13Z"/>
    <x v="254"/>
    <x v="1"/>
    <x v="38"/>
    <x v="66"/>
  </r>
  <r>
    <s v="2018-04-20T17:49:58Z"/>
    <x v="254"/>
    <x v="1"/>
    <x v="38"/>
    <x v="2"/>
  </r>
  <r>
    <s v="2018-04-20T17:33:25Z"/>
    <x v="254"/>
    <x v="1"/>
    <x v="38"/>
    <x v="66"/>
  </r>
  <r>
    <s v="2020-07-23T01:02:05Z"/>
    <x v="242"/>
    <x v="1"/>
    <x v="39"/>
    <x v="32"/>
  </r>
  <r>
    <s v="2020-04-28T21:02:39Z"/>
    <x v="255"/>
    <x v="1"/>
    <x v="39"/>
    <x v="2"/>
  </r>
  <r>
    <s v="2020-04-28T19:30:31Z"/>
    <x v="255"/>
    <x v="1"/>
    <x v="39"/>
    <x v="68"/>
  </r>
  <r>
    <s v="2020-04-28T19:23:32Z"/>
    <x v="255"/>
    <x v="1"/>
    <x v="39"/>
    <x v="68"/>
  </r>
  <r>
    <s v="2020-02-27T12:52:31Z"/>
    <x v="256"/>
    <x v="1"/>
    <x v="39"/>
    <x v="69"/>
  </r>
  <r>
    <s v="2020-02-27T12:52:09Z"/>
    <x v="256"/>
    <x v="1"/>
    <x v="39"/>
    <x v="69"/>
  </r>
  <r>
    <s v="2020-02-13T18:07:18Z"/>
    <x v="257"/>
    <x v="1"/>
    <x v="39"/>
    <x v="70"/>
  </r>
  <r>
    <s v="2020-02-13T17:43:47Z"/>
    <x v="257"/>
    <x v="1"/>
    <x v="39"/>
    <x v="70"/>
  </r>
  <r>
    <s v="2020-02-12T23:50:16Z"/>
    <x v="194"/>
    <x v="1"/>
    <x v="39"/>
    <x v="70"/>
  </r>
  <r>
    <s v="2020-02-12T23:49:48Z"/>
    <x v="194"/>
    <x v="1"/>
    <x v="39"/>
    <x v="70"/>
  </r>
  <r>
    <s v="2020-02-11T17:10:02Z"/>
    <x v="258"/>
    <x v="1"/>
    <x v="39"/>
    <x v="70"/>
  </r>
  <r>
    <s v="2020-02-11T00:51:46Z"/>
    <x v="258"/>
    <x v="1"/>
    <x v="39"/>
    <x v="70"/>
  </r>
  <r>
    <s v="2020-02-11T00:50:33Z"/>
    <x v="258"/>
    <x v="1"/>
    <x v="39"/>
    <x v="70"/>
  </r>
  <r>
    <s v="2020-02-10T18:52:02Z"/>
    <x v="259"/>
    <x v="1"/>
    <x v="39"/>
    <x v="2"/>
  </r>
  <r>
    <s v="2020-01-31T12:21:39Z"/>
    <x v="15"/>
    <x v="1"/>
    <x v="39"/>
    <x v="69"/>
  </r>
  <r>
    <s v="2020-01-23T19:19:04Z"/>
    <x v="260"/>
    <x v="1"/>
    <x v="39"/>
    <x v="69"/>
  </r>
  <r>
    <s v="2020-01-22T19:44:22Z"/>
    <x v="261"/>
    <x v="1"/>
    <x v="39"/>
    <x v="69"/>
  </r>
  <r>
    <s v="2020-01-16T01:38:04Z"/>
    <x v="262"/>
    <x v="1"/>
    <x v="39"/>
    <x v="70"/>
  </r>
  <r>
    <s v="2020-01-16T01:37:48Z"/>
    <x v="262"/>
    <x v="1"/>
    <x v="39"/>
    <x v="70"/>
  </r>
  <r>
    <s v="2020-01-11T00:14:31Z"/>
    <x v="19"/>
    <x v="1"/>
    <x v="39"/>
    <x v="70"/>
  </r>
  <r>
    <s v="2020-01-11T00:12:53Z"/>
    <x v="19"/>
    <x v="1"/>
    <x v="39"/>
    <x v="70"/>
  </r>
  <r>
    <s v="2020-01-10T18:33:04Z"/>
    <x v="263"/>
    <x v="1"/>
    <x v="39"/>
    <x v="70"/>
  </r>
  <r>
    <s v="2020-01-10T18:31:28Z"/>
    <x v="263"/>
    <x v="1"/>
    <x v="39"/>
    <x v="70"/>
  </r>
  <r>
    <s v="2020-01-10T11:59:27Z"/>
    <x v="263"/>
    <x v="1"/>
    <x v="39"/>
    <x v="70"/>
  </r>
  <r>
    <s v="2020-01-10T11:59:12Z"/>
    <x v="263"/>
    <x v="1"/>
    <x v="39"/>
    <x v="70"/>
  </r>
  <r>
    <s v="2020-01-10T10:21:31Z"/>
    <x v="263"/>
    <x v="1"/>
    <x v="39"/>
    <x v="70"/>
  </r>
  <r>
    <s v="2020-01-10T03:29:57Z"/>
    <x v="263"/>
    <x v="1"/>
    <x v="39"/>
    <x v="70"/>
  </r>
  <r>
    <s v="2020-01-10T02:25:14Z"/>
    <x v="263"/>
    <x v="1"/>
    <x v="39"/>
    <x v="70"/>
  </r>
  <r>
    <s v="2020-01-10T02:24:05Z"/>
    <x v="263"/>
    <x v="1"/>
    <x v="39"/>
    <x v="70"/>
  </r>
  <r>
    <s v="2020-01-10T02:20:50Z"/>
    <x v="263"/>
    <x v="1"/>
    <x v="39"/>
    <x v="70"/>
  </r>
  <r>
    <s v="2020-09-03T20:08:03Z"/>
    <x v="83"/>
    <x v="1"/>
    <x v="40"/>
    <x v="2"/>
  </r>
  <r>
    <s v="2020-08-26T23:33:36Z"/>
    <x v="264"/>
    <x v="1"/>
    <x v="40"/>
    <x v="35"/>
  </r>
  <r>
    <s v="2020-08-26T17:05:55Z"/>
    <x v="264"/>
    <x v="1"/>
    <x v="40"/>
    <x v="2"/>
  </r>
  <r>
    <s v="2020-08-26T17:04:59Z"/>
    <x v="264"/>
    <x v="1"/>
    <x v="40"/>
    <x v="35"/>
  </r>
  <r>
    <s v="2020-08-26T16:55:22Z"/>
    <x v="264"/>
    <x v="1"/>
    <x v="40"/>
    <x v="35"/>
  </r>
  <r>
    <s v="2020-08-26T16:54:46Z"/>
    <x v="264"/>
    <x v="1"/>
    <x v="40"/>
    <x v="35"/>
  </r>
  <r>
    <s v="2020-08-26T16:50:41Z"/>
    <x v="264"/>
    <x v="1"/>
    <x v="40"/>
    <x v="35"/>
  </r>
  <r>
    <s v="2020-08-26T16:40:00Z"/>
    <x v="264"/>
    <x v="1"/>
    <x v="40"/>
    <x v="35"/>
  </r>
  <r>
    <s v="2020-08-26T16:39:38Z"/>
    <x v="264"/>
    <x v="1"/>
    <x v="40"/>
    <x v="35"/>
  </r>
  <r>
    <s v="2020-08-26T16:18:09Z"/>
    <x v="264"/>
    <x v="1"/>
    <x v="40"/>
    <x v="35"/>
  </r>
  <r>
    <s v="2020-08-26T16:16:29Z"/>
    <x v="264"/>
    <x v="1"/>
    <x v="40"/>
    <x v="35"/>
  </r>
  <r>
    <s v="2020-08-26T16:11:19Z"/>
    <x v="264"/>
    <x v="1"/>
    <x v="40"/>
    <x v="35"/>
  </r>
  <r>
    <s v="2020-08-26T16:05:23Z"/>
    <x v="264"/>
    <x v="1"/>
    <x v="40"/>
    <x v="35"/>
  </r>
  <r>
    <s v="2020-08-26T16:02:12Z"/>
    <x v="264"/>
    <x v="1"/>
    <x v="40"/>
    <x v="2"/>
  </r>
  <r>
    <s v="2020-08-26T00:34:40Z"/>
    <x v="264"/>
    <x v="1"/>
    <x v="40"/>
    <x v="35"/>
  </r>
  <r>
    <s v="2019-05-23T19:45:03Z"/>
    <x v="265"/>
    <x v="1"/>
    <x v="41"/>
    <x v="71"/>
  </r>
  <r>
    <s v="2019-05-23T13:25:58Z"/>
    <x v="265"/>
    <x v="1"/>
    <x v="41"/>
    <x v="72"/>
  </r>
  <r>
    <s v="2019-05-23T13:25:39Z"/>
    <x v="265"/>
    <x v="1"/>
    <x v="41"/>
    <x v="72"/>
  </r>
  <r>
    <s v="2019-05-22T18:54:22Z"/>
    <x v="66"/>
    <x v="1"/>
    <x v="41"/>
    <x v="71"/>
  </r>
  <r>
    <s v="2019-05-22T18:54:02Z"/>
    <x v="66"/>
    <x v="1"/>
    <x v="41"/>
    <x v="71"/>
  </r>
  <r>
    <s v="2019-05-21T00:59:09Z"/>
    <x v="266"/>
    <x v="1"/>
    <x v="41"/>
    <x v="73"/>
  </r>
  <r>
    <s v="2019-05-20T16:26:00Z"/>
    <x v="267"/>
    <x v="1"/>
    <x v="41"/>
    <x v="73"/>
  </r>
  <r>
    <s v="2019-05-20T16:06:54Z"/>
    <x v="267"/>
    <x v="1"/>
    <x v="41"/>
    <x v="71"/>
  </r>
  <r>
    <s v="2019-05-20T16:06:22Z"/>
    <x v="267"/>
    <x v="1"/>
    <x v="41"/>
    <x v="73"/>
  </r>
  <r>
    <s v="2019-05-20T16:05:15Z"/>
    <x v="267"/>
    <x v="1"/>
    <x v="41"/>
    <x v="71"/>
  </r>
  <r>
    <s v="2019-05-20T16:04:55Z"/>
    <x v="267"/>
    <x v="1"/>
    <x v="41"/>
    <x v="71"/>
  </r>
  <r>
    <s v="2019-05-20T16:04:37Z"/>
    <x v="267"/>
    <x v="1"/>
    <x v="41"/>
    <x v="71"/>
  </r>
  <r>
    <s v="2019-05-19T17:03:55Z"/>
    <x v="268"/>
    <x v="1"/>
    <x v="41"/>
    <x v="71"/>
  </r>
  <r>
    <s v="2019-05-18T21:32:23Z"/>
    <x v="269"/>
    <x v="1"/>
    <x v="41"/>
    <x v="71"/>
  </r>
  <r>
    <s v="2019-05-18T21:32:08Z"/>
    <x v="269"/>
    <x v="1"/>
    <x v="41"/>
    <x v="71"/>
  </r>
  <r>
    <s v="2019-05-18T21:31:51Z"/>
    <x v="269"/>
    <x v="1"/>
    <x v="41"/>
    <x v="71"/>
  </r>
  <r>
    <s v="2019-05-17T21:25:45Z"/>
    <x v="270"/>
    <x v="1"/>
    <x v="41"/>
    <x v="71"/>
  </r>
  <r>
    <s v="2019-05-17T20:44:23Z"/>
    <x v="270"/>
    <x v="1"/>
    <x v="41"/>
    <x v="72"/>
  </r>
  <r>
    <s v="2019-05-17T20:27:13Z"/>
    <x v="270"/>
    <x v="1"/>
    <x v="41"/>
    <x v="71"/>
  </r>
  <r>
    <s v="2019-05-17T06:47:10Z"/>
    <x v="270"/>
    <x v="1"/>
    <x v="41"/>
    <x v="73"/>
  </r>
  <r>
    <s v="2019-05-17T06:44:47Z"/>
    <x v="270"/>
    <x v="1"/>
    <x v="41"/>
    <x v="71"/>
  </r>
  <r>
    <s v="2019-05-17T05:58:51Z"/>
    <x v="270"/>
    <x v="1"/>
    <x v="41"/>
    <x v="71"/>
  </r>
  <r>
    <s v="2019-05-17T01:10:25Z"/>
    <x v="270"/>
    <x v="1"/>
    <x v="41"/>
    <x v="73"/>
  </r>
  <r>
    <s v="2019-05-17T01:10:23Z"/>
    <x v="270"/>
    <x v="1"/>
    <x v="41"/>
    <x v="73"/>
  </r>
  <r>
    <s v="2019-05-16T22:33:55Z"/>
    <x v="67"/>
    <x v="1"/>
    <x v="41"/>
    <x v="71"/>
  </r>
  <r>
    <s v="2019-05-16T17:58:58Z"/>
    <x v="67"/>
    <x v="1"/>
    <x v="41"/>
    <x v="73"/>
  </r>
  <r>
    <s v="2019-05-16T17:31:29Z"/>
    <x v="67"/>
    <x v="1"/>
    <x v="41"/>
    <x v="73"/>
  </r>
  <r>
    <s v="2019-05-16T15:50:45Z"/>
    <x v="67"/>
    <x v="1"/>
    <x v="41"/>
    <x v="73"/>
  </r>
  <r>
    <s v="2019-05-16T15:42:34Z"/>
    <x v="67"/>
    <x v="1"/>
    <x v="41"/>
    <x v="73"/>
  </r>
  <r>
    <s v="2019-05-15T20:41:53Z"/>
    <x v="271"/>
    <x v="1"/>
    <x v="41"/>
    <x v="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16/03/20 00:00"/>
    <x v="0"/>
    <n v="287"/>
    <x v="0"/>
    <x v="0"/>
  </r>
  <r>
    <s v="23/03/20 00:00"/>
    <x v="1"/>
    <n v="205"/>
    <x v="0"/>
    <x v="0"/>
  </r>
  <r>
    <s v="30/03/20 00:00"/>
    <x v="2"/>
    <n v="170"/>
    <x v="0"/>
    <x v="0"/>
  </r>
  <r>
    <d v="2020-06-04T00:00:00"/>
    <x v="3"/>
    <n v="236"/>
    <x v="0"/>
    <x v="0"/>
  </r>
  <r>
    <s v="13/04/20 00:00"/>
    <x v="4"/>
    <n v="229"/>
    <x v="0"/>
    <x v="0"/>
  </r>
  <r>
    <s v="20/04/20 00:00"/>
    <x v="5"/>
    <n v="242"/>
    <x v="0"/>
    <x v="0"/>
  </r>
  <r>
    <s v="27/04/20 00:00"/>
    <x v="6"/>
    <n v="280"/>
    <x v="0"/>
    <x v="0"/>
  </r>
  <r>
    <d v="2020-04-05T00:00:00"/>
    <x v="7"/>
    <n v="262"/>
    <x v="0"/>
    <x v="0"/>
  </r>
  <r>
    <d v="2020-11-05T00:00:00"/>
    <x v="8"/>
    <n v="207"/>
    <x v="0"/>
    <x v="0"/>
  </r>
  <r>
    <s v="18/05/20 00:00"/>
    <x v="9"/>
    <n v="167"/>
    <x v="0"/>
    <x v="0"/>
  </r>
  <r>
    <s v="25/05/20 00:00"/>
    <x v="10"/>
    <n v="171"/>
    <x v="0"/>
    <x v="0"/>
  </r>
  <r>
    <d v="2020-01-06T00:00:00"/>
    <x v="11"/>
    <n v="181"/>
    <x v="0"/>
    <x v="0"/>
  </r>
  <r>
    <d v="2020-08-06T00:00:00"/>
    <x v="12"/>
    <n v="264"/>
    <x v="0"/>
    <x v="0"/>
  </r>
  <r>
    <s v="15/06/20 00:00"/>
    <x v="13"/>
    <n v="2152"/>
    <x v="0"/>
    <x v="0"/>
  </r>
  <r>
    <s v="22/06/20 00:00"/>
    <x v="14"/>
    <n v="2024"/>
    <x v="0"/>
    <x v="0"/>
  </r>
  <r>
    <s v="29/06/20 00:00"/>
    <x v="15"/>
    <n v="1731"/>
    <x v="0"/>
    <x v="0"/>
  </r>
  <r>
    <d v="2020-06-07T00:00:00"/>
    <x v="16"/>
    <n v="1307"/>
    <x v="0"/>
    <x v="0"/>
  </r>
  <r>
    <s v="13/07/20 00:00"/>
    <x v="17"/>
    <n v="987"/>
    <x v="0"/>
    <x v="0"/>
  </r>
  <r>
    <s v="20/07/20 00:00"/>
    <x v="18"/>
    <n v="1070"/>
    <x v="0"/>
    <x v="0"/>
  </r>
  <r>
    <s v="27/07/20 00:00"/>
    <x v="19"/>
    <n v="1080"/>
    <x v="0"/>
    <x v="0"/>
  </r>
  <r>
    <d v="2020-03-08T00:00:00"/>
    <x v="20"/>
    <n v="443"/>
    <x v="0"/>
    <x v="0"/>
  </r>
  <r>
    <d v="2020-10-08T00:00:00"/>
    <x v="21"/>
    <n v="869"/>
    <x v="0"/>
    <x v="0"/>
  </r>
  <r>
    <s v="17/08/20 00:00"/>
    <x v="22"/>
    <n v="876"/>
    <x v="0"/>
    <x v="0"/>
  </r>
  <r>
    <s v="24/08/20 00:00"/>
    <x v="23"/>
    <n v="803"/>
    <x v="0"/>
    <x v="0"/>
  </r>
  <r>
    <s v="31/08/20 00:00"/>
    <x v="24"/>
    <n v="625"/>
    <x v="0"/>
    <x v="0"/>
  </r>
  <r>
    <d v="2020-07-09T00:00:00"/>
    <x v="25"/>
    <n v="652"/>
    <x v="0"/>
    <x v="0"/>
  </r>
  <r>
    <s v="14/09/20 00:00"/>
    <x v="26"/>
    <n v="629"/>
    <x v="0"/>
    <x v="0"/>
  </r>
  <r>
    <s v="21/09/20 00:00"/>
    <x v="27"/>
    <n v="578"/>
    <x v="0"/>
    <x v="0"/>
  </r>
  <r>
    <s v="28/09/20 00:00"/>
    <x v="28"/>
    <n v="597"/>
    <x v="0"/>
    <x v="0"/>
  </r>
  <r>
    <d v="2020-05-10T00:00:00"/>
    <x v="29"/>
    <n v="729"/>
    <x v="0"/>
    <x v="0"/>
  </r>
  <r>
    <d v="2020-12-10T00:00:00"/>
    <x v="30"/>
    <n v="396"/>
    <x v="0"/>
    <x v="0"/>
  </r>
  <r>
    <s v="16/03/20 00:00"/>
    <x v="0"/>
    <n v="51"/>
    <x v="1"/>
    <x v="0"/>
  </r>
  <r>
    <s v="23/03/20 00:00"/>
    <x v="1"/>
    <n v="121"/>
    <x v="1"/>
    <x v="0"/>
  </r>
  <r>
    <s v="30/03/20 00:00"/>
    <x v="2"/>
    <n v="101"/>
    <x v="1"/>
    <x v="0"/>
  </r>
  <r>
    <d v="2020-06-04T00:00:00"/>
    <x v="3"/>
    <n v="155"/>
    <x v="1"/>
    <x v="0"/>
  </r>
  <r>
    <s v="13/04/20 00:00"/>
    <x v="4"/>
    <n v="176"/>
    <x v="1"/>
    <x v="0"/>
  </r>
  <r>
    <s v="20/04/20 00:00"/>
    <x v="5"/>
    <n v="174"/>
    <x v="1"/>
    <x v="0"/>
  </r>
  <r>
    <s v="27/04/20 00:00"/>
    <x v="6"/>
    <n v="203"/>
    <x v="1"/>
    <x v="0"/>
  </r>
  <r>
    <d v="2020-04-05T00:00:00"/>
    <x v="7"/>
    <n v="203"/>
    <x v="1"/>
    <x v="0"/>
  </r>
  <r>
    <d v="2020-11-05T00:00:00"/>
    <x v="8"/>
    <n v="171"/>
    <x v="1"/>
    <x v="0"/>
  </r>
  <r>
    <s v="18/05/20 00:00"/>
    <x v="9"/>
    <n v="178"/>
    <x v="1"/>
    <x v="0"/>
  </r>
  <r>
    <s v="25/05/20 00:00"/>
    <x v="10"/>
    <n v="211"/>
    <x v="1"/>
    <x v="0"/>
  </r>
  <r>
    <d v="2020-01-06T00:00:00"/>
    <x v="11"/>
    <n v="199"/>
    <x v="1"/>
    <x v="0"/>
  </r>
  <r>
    <d v="2020-08-06T00:00:00"/>
    <x v="12"/>
    <n v="220"/>
    <x v="1"/>
    <x v="0"/>
  </r>
  <r>
    <s v="15/06/20 00:00"/>
    <x v="13"/>
    <n v="392"/>
    <x v="1"/>
    <x v="0"/>
  </r>
  <r>
    <s v="22/06/20 00:00"/>
    <x v="14"/>
    <n v="513"/>
    <x v="1"/>
    <x v="0"/>
  </r>
  <r>
    <s v="29/06/20 00:00"/>
    <x v="15"/>
    <n v="386"/>
    <x v="1"/>
    <x v="0"/>
  </r>
  <r>
    <d v="2020-06-07T00:00:00"/>
    <x v="16"/>
    <n v="506"/>
    <x v="1"/>
    <x v="0"/>
  </r>
  <r>
    <s v="13/07/20 00:00"/>
    <x v="17"/>
    <n v="641"/>
    <x v="1"/>
    <x v="0"/>
  </r>
  <r>
    <s v="20/07/20 00:00"/>
    <x v="18"/>
    <n v="836"/>
    <x v="1"/>
    <x v="0"/>
  </r>
  <r>
    <s v="27/07/20 00:00"/>
    <x v="19"/>
    <n v="660"/>
    <x v="1"/>
    <x v="0"/>
  </r>
  <r>
    <d v="2020-03-08T00:00:00"/>
    <x v="20"/>
    <n v="836"/>
    <x v="1"/>
    <x v="0"/>
  </r>
  <r>
    <d v="2020-10-08T00:00:00"/>
    <x v="21"/>
    <n v="1063"/>
    <x v="1"/>
    <x v="0"/>
  </r>
  <r>
    <s v="17/08/20 00:00"/>
    <x v="22"/>
    <n v="1104"/>
    <x v="1"/>
    <x v="0"/>
  </r>
  <r>
    <s v="24/08/20 00:00"/>
    <x v="23"/>
    <n v="1397"/>
    <x v="1"/>
    <x v="0"/>
  </r>
  <r>
    <s v="31/08/20 00:00"/>
    <x v="24"/>
    <n v="1406"/>
    <x v="1"/>
    <x v="0"/>
  </r>
  <r>
    <d v="2020-07-09T00:00:00"/>
    <x v="25"/>
    <n v="1589"/>
    <x v="1"/>
    <x v="0"/>
  </r>
  <r>
    <s v="14/09/20 00:00"/>
    <x v="26"/>
    <n v="1269"/>
    <x v="1"/>
    <x v="0"/>
  </r>
  <r>
    <s v="21/09/20 00:00"/>
    <x v="27"/>
    <n v="1035"/>
    <x v="1"/>
    <x v="0"/>
  </r>
  <r>
    <s v="28/09/20 00:00"/>
    <x v="28"/>
    <n v="796"/>
    <x v="1"/>
    <x v="0"/>
  </r>
  <r>
    <d v="2020-05-10T00:00:00"/>
    <x v="29"/>
    <n v="802"/>
    <x v="1"/>
    <x v="0"/>
  </r>
  <r>
    <d v="2020-12-10T00:00:00"/>
    <x v="30"/>
    <n v="580"/>
    <x v="1"/>
    <x v="0"/>
  </r>
  <r>
    <s v="16/03/20 00:00"/>
    <x v="0"/>
    <n v="160"/>
    <x v="1"/>
    <x v="1"/>
  </r>
  <r>
    <s v="23/03/20 00:00"/>
    <x v="1"/>
    <n v="321"/>
    <x v="1"/>
    <x v="1"/>
  </r>
  <r>
    <s v="30/03/20 00:00"/>
    <x v="2"/>
    <n v="325"/>
    <x v="1"/>
    <x v="1"/>
  </r>
  <r>
    <d v="2020-06-04T00:00:00"/>
    <x v="3"/>
    <n v="469"/>
    <x v="1"/>
    <x v="1"/>
  </r>
  <r>
    <s v="13/04/20 00:00"/>
    <x v="4"/>
    <n v="569"/>
    <x v="1"/>
    <x v="1"/>
  </r>
  <r>
    <s v="20/04/20 00:00"/>
    <x v="5"/>
    <n v="598"/>
    <x v="1"/>
    <x v="1"/>
  </r>
  <r>
    <s v="27/04/20 00:00"/>
    <x v="6"/>
    <n v="800"/>
    <x v="1"/>
    <x v="1"/>
  </r>
  <r>
    <d v="2020-04-05T00:00:00"/>
    <x v="7"/>
    <n v="764"/>
    <x v="1"/>
    <x v="1"/>
  </r>
  <r>
    <d v="2020-11-05T00:00:00"/>
    <x v="8"/>
    <n v="689"/>
    <x v="1"/>
    <x v="1"/>
  </r>
  <r>
    <s v="18/05/20 00:00"/>
    <x v="9"/>
    <n v="1121"/>
    <x v="1"/>
    <x v="1"/>
  </r>
  <r>
    <s v="25/05/20 00:00"/>
    <x v="10"/>
    <n v="960"/>
    <x v="1"/>
    <x v="1"/>
  </r>
  <r>
    <d v="2020-01-06T00:00:00"/>
    <x v="11"/>
    <n v="1005"/>
    <x v="1"/>
    <x v="1"/>
  </r>
  <r>
    <d v="2020-08-06T00:00:00"/>
    <x v="12"/>
    <n v="1179"/>
    <x v="1"/>
    <x v="1"/>
  </r>
  <r>
    <s v="15/06/20 00:00"/>
    <x v="13"/>
    <n v="1858"/>
    <x v="1"/>
    <x v="1"/>
  </r>
  <r>
    <s v="22/06/20 00:00"/>
    <x v="14"/>
    <n v="1858"/>
    <x v="1"/>
    <x v="1"/>
  </r>
  <r>
    <s v="29/06/20 00:00"/>
    <x v="15"/>
    <n v="1551"/>
    <x v="1"/>
    <x v="1"/>
  </r>
  <r>
    <d v="2020-06-07T00:00:00"/>
    <x v="16"/>
    <n v="1910"/>
    <x v="1"/>
    <x v="1"/>
  </r>
  <r>
    <s v="13/07/20 00:00"/>
    <x v="17"/>
    <n v="2006"/>
    <x v="1"/>
    <x v="1"/>
  </r>
  <r>
    <s v="20/07/20 00:00"/>
    <x v="18"/>
    <n v="2136"/>
    <x v="1"/>
    <x v="1"/>
  </r>
  <r>
    <s v="27/07/20 00:00"/>
    <x v="19"/>
    <n v="1479"/>
    <x v="1"/>
    <x v="1"/>
  </r>
  <r>
    <d v="2020-03-08T00:00:00"/>
    <x v="20"/>
    <n v="1580"/>
    <x v="1"/>
    <x v="1"/>
  </r>
  <r>
    <d v="2020-10-08T00:00:00"/>
    <x v="21"/>
    <n v="1779"/>
    <x v="1"/>
    <x v="1"/>
  </r>
  <r>
    <s v="17/08/20 00:00"/>
    <x v="22"/>
    <n v="2330"/>
    <x v="1"/>
    <x v="1"/>
  </r>
  <r>
    <s v="24/08/20 00:00"/>
    <x v="23"/>
    <n v="3141"/>
    <x v="1"/>
    <x v="1"/>
  </r>
  <r>
    <s v="31/08/20 00:00"/>
    <x v="24"/>
    <n v="2987"/>
    <x v="1"/>
    <x v="1"/>
  </r>
  <r>
    <d v="2020-07-09T00:00:00"/>
    <x v="25"/>
    <n v="3446"/>
    <x v="1"/>
    <x v="1"/>
  </r>
  <r>
    <s v="14/09/20 00:00"/>
    <x v="26"/>
    <n v="2764"/>
    <x v="1"/>
    <x v="1"/>
  </r>
  <r>
    <s v="21/09/20 00:00"/>
    <x v="27"/>
    <n v="2252"/>
    <x v="1"/>
    <x v="1"/>
  </r>
  <r>
    <s v="28/09/20 00:00"/>
    <x v="28"/>
    <n v="1550"/>
    <x v="1"/>
    <x v="1"/>
  </r>
  <r>
    <d v="2020-05-10T00:00:00"/>
    <x v="29"/>
    <n v="1489"/>
    <x v="1"/>
    <x v="1"/>
  </r>
  <r>
    <d v="2020-12-10T00:00:00"/>
    <x v="30"/>
    <n v="814"/>
    <x v="1"/>
    <x v="1"/>
  </r>
  <r>
    <s v="16/03/20 00:00"/>
    <x v="0"/>
    <n v="1480"/>
    <x v="0"/>
    <x v="1"/>
  </r>
  <r>
    <s v="23/03/20 00:00"/>
    <x v="1"/>
    <n v="3246"/>
    <x v="0"/>
    <x v="1"/>
  </r>
  <r>
    <s v="30/03/20 00:00"/>
    <x v="2"/>
    <n v="3050"/>
    <x v="0"/>
    <x v="1"/>
  </r>
  <r>
    <d v="2020-06-04T00:00:00"/>
    <x v="3"/>
    <n v="3689"/>
    <x v="0"/>
    <x v="1"/>
  </r>
  <r>
    <s v="13/04/20 00:00"/>
    <x v="4"/>
    <n v="3066"/>
    <x v="0"/>
    <x v="1"/>
  </r>
  <r>
    <s v="20/04/20 00:00"/>
    <x v="5"/>
    <n v="3111"/>
    <x v="0"/>
    <x v="1"/>
  </r>
  <r>
    <s v="27/04/20 00:00"/>
    <x v="6"/>
    <n v="2775"/>
    <x v="0"/>
    <x v="1"/>
  </r>
  <r>
    <d v="2020-04-05T00:00:00"/>
    <x v="7"/>
    <n v="2674"/>
    <x v="0"/>
    <x v="1"/>
  </r>
  <r>
    <d v="2020-11-05T00:00:00"/>
    <x v="8"/>
    <n v="2324"/>
    <x v="0"/>
    <x v="1"/>
  </r>
  <r>
    <s v="18/05/20 00:00"/>
    <x v="9"/>
    <n v="2216"/>
    <x v="0"/>
    <x v="1"/>
  </r>
  <r>
    <s v="25/05/20 00:00"/>
    <x v="10"/>
    <n v="1687"/>
    <x v="0"/>
    <x v="1"/>
  </r>
  <r>
    <d v="2020-01-06T00:00:00"/>
    <x v="11"/>
    <n v="1677"/>
    <x v="0"/>
    <x v="1"/>
  </r>
  <r>
    <d v="2020-08-06T00:00:00"/>
    <x v="12"/>
    <n v="1901"/>
    <x v="0"/>
    <x v="1"/>
  </r>
  <r>
    <s v="15/06/20 00:00"/>
    <x v="13"/>
    <n v="9726"/>
    <x v="0"/>
    <x v="1"/>
  </r>
  <r>
    <s v="22/06/20 00:00"/>
    <x v="14"/>
    <n v="12250"/>
    <x v="0"/>
    <x v="1"/>
  </r>
  <r>
    <s v="29/06/20 00:00"/>
    <x v="15"/>
    <n v="9061"/>
    <x v="0"/>
    <x v="1"/>
  </r>
  <r>
    <d v="2020-06-07T00:00:00"/>
    <x v="16"/>
    <n v="6129"/>
    <x v="0"/>
    <x v="1"/>
  </r>
  <r>
    <s v="13/07/20 00:00"/>
    <x v="17"/>
    <n v="6022"/>
    <x v="0"/>
    <x v="1"/>
  </r>
  <r>
    <s v="20/07/20 00:00"/>
    <x v="18"/>
    <n v="5784"/>
    <x v="0"/>
    <x v="1"/>
  </r>
  <r>
    <s v="27/07/20 00:00"/>
    <x v="19"/>
    <n v="5297"/>
    <x v="0"/>
    <x v="1"/>
  </r>
  <r>
    <d v="2020-03-08T00:00:00"/>
    <x v="20"/>
    <n v="3746"/>
    <x v="0"/>
    <x v="1"/>
  </r>
  <r>
    <d v="2020-10-08T00:00:00"/>
    <x v="21"/>
    <n v="4278"/>
    <x v="0"/>
    <x v="1"/>
  </r>
  <r>
    <s v="17/08/20 00:00"/>
    <x v="22"/>
    <n v="3665"/>
    <x v="0"/>
    <x v="1"/>
  </r>
  <r>
    <s v="24/08/20 00:00"/>
    <x v="23"/>
    <n v="3419"/>
    <x v="0"/>
    <x v="1"/>
  </r>
  <r>
    <s v="31/08/20 00:00"/>
    <x v="24"/>
    <n v="3888"/>
    <x v="0"/>
    <x v="1"/>
  </r>
  <r>
    <d v="2020-07-09T00:00:00"/>
    <x v="25"/>
    <n v="3750"/>
    <x v="0"/>
    <x v="1"/>
  </r>
  <r>
    <s v="14/09/20 00:00"/>
    <x v="26"/>
    <n v="3655"/>
    <x v="0"/>
    <x v="1"/>
  </r>
  <r>
    <s v="21/09/20 00:00"/>
    <x v="27"/>
    <n v="3374"/>
    <x v="0"/>
    <x v="1"/>
  </r>
  <r>
    <s v="28/09/20 00:00"/>
    <x v="28"/>
    <n v="2753"/>
    <x v="0"/>
    <x v="1"/>
  </r>
  <r>
    <d v="2020-05-10T00:00:00"/>
    <x v="29"/>
    <n v="2355"/>
    <x v="0"/>
    <x v="1"/>
  </r>
  <r>
    <d v="2020-12-10T00:00:00"/>
    <x v="30"/>
    <n v="1350"/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16/03/20 00:00"/>
    <x v="0"/>
    <n v="1.9534829752892E+22"/>
    <n v="71"/>
  </r>
  <r>
    <s v="23/03/20 00:00"/>
    <x v="1"/>
    <n v="1.36669062916534E+23"/>
    <n v="424"/>
  </r>
  <r>
    <s v="30/03/20 00:00"/>
    <x v="2"/>
    <n v="9.4648272424537606E+22"/>
    <n v="240"/>
  </r>
  <r>
    <d v="2020-06-04T00:00:00"/>
    <x v="3"/>
    <n v="1.32438294117791E+23"/>
    <n v="157"/>
  </r>
  <r>
    <s v="13/04/20 00:00"/>
    <x v="4"/>
    <n v="6.3378785102105303E+22"/>
    <n v="237"/>
  </r>
  <r>
    <s v="20/04/20 00:00"/>
    <x v="5"/>
    <n v="1.03019274418535E+23"/>
    <n v="110"/>
  </r>
  <r>
    <s v="27/04/20 00:00"/>
    <x v="6"/>
    <n v="1.0349773822253999E+23"/>
    <n v="166"/>
  </r>
  <r>
    <d v="2020-04-05T00:00:00"/>
    <x v="7"/>
    <n v="1.4974776489165801E+23"/>
    <n v="272"/>
  </r>
  <r>
    <d v="2020-11-05T00:00:00"/>
    <x v="8"/>
    <n v="1.4533487769313501E+23"/>
    <n v="165"/>
  </r>
  <r>
    <s v="18/05/20 00:00"/>
    <x v="9"/>
    <n v="1.1123411063395299E+23"/>
    <n v="166"/>
  </r>
  <r>
    <s v="25/05/20 00:00"/>
    <x v="10"/>
    <n v="1.9332424411511401E+24"/>
    <n v="98"/>
  </r>
  <r>
    <d v="2020-01-06T00:00:00"/>
    <x v="11"/>
    <n v="8.1402127843509697E+22"/>
    <n v="75"/>
  </r>
  <r>
    <d v="2020-08-06T00:00:00"/>
    <x v="12"/>
    <n v="4.5618251487836199E+22"/>
    <n v="61"/>
  </r>
  <r>
    <s v="15/06/20 00:00"/>
    <x v="13"/>
    <n v="1.6868070344339501E+23"/>
    <n v="114"/>
  </r>
  <r>
    <s v="22/06/20 00:00"/>
    <x v="14"/>
    <n v="1.4431840596267299E+23"/>
    <n v="142"/>
  </r>
  <r>
    <s v="29/06/20 00:00"/>
    <x v="15"/>
    <n v="1.56966147854997E+25"/>
    <n v="121"/>
  </r>
  <r>
    <d v="2020-06-07T00:00:00"/>
    <x v="16"/>
    <n v="9.44616961905626E+24"/>
    <n v="150"/>
  </r>
  <r>
    <s v="13/07/20 00:00"/>
    <x v="17"/>
    <n v="6.79631531135123E+24"/>
    <n v="157"/>
  </r>
  <r>
    <s v="20/07/20 00:00"/>
    <x v="18"/>
    <n v="7.6780595451783898E+25"/>
    <n v="188"/>
  </r>
  <r>
    <s v="27/07/20 00:00"/>
    <x v="19"/>
    <n v="2.6173567684960201E+25"/>
    <n v="392"/>
  </r>
  <r>
    <d v="2020-03-08T00:00:00"/>
    <x v="20"/>
    <n v="1.19046874847061E+25"/>
    <n v="199"/>
  </r>
  <r>
    <d v="2020-10-08T00:00:00"/>
    <x v="21"/>
    <n v="4.7919800728035603E+25"/>
    <n v="147"/>
  </r>
  <r>
    <s v="17/08/20 00:00"/>
    <x v="22"/>
    <n v="1.0336576685478199E+25"/>
    <n v="163"/>
  </r>
  <r>
    <s v="24/08/20 00:00"/>
    <x v="23"/>
    <n v="6.8635457504606096E+25"/>
    <n v="108"/>
  </r>
  <r>
    <s v="31/08/20 00:00"/>
    <x v="24"/>
    <n v="1.13810577334123E+26"/>
    <n v="341"/>
  </r>
  <r>
    <d v="2020-07-09T00:00:00"/>
    <x v="25"/>
    <n v="2.2523776630403299E+24"/>
    <n v="198"/>
  </r>
  <r>
    <s v="14/09/20 00:00"/>
    <x v="26"/>
    <n v="5.4076766287638302E+25"/>
    <n v="334"/>
  </r>
  <r>
    <s v="21/09/20 00:00"/>
    <x v="27"/>
    <n v="2.48152570743339E+24"/>
    <n v="275"/>
  </r>
  <r>
    <s v="28/09/20 00:00"/>
    <x v="28"/>
    <n v="3.92437587160472E+25"/>
    <n v="146"/>
  </r>
  <r>
    <d v="2020-05-10T00:00:00"/>
    <x v="29"/>
    <n v="4.9559281291413803E+24"/>
    <n v="179"/>
  </r>
  <r>
    <d v="2020-12-10T00:00:00"/>
    <x v="30"/>
    <n v="1.07491904665263E+25"/>
    <n v="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B16A4-458E-4B6E-A4C7-472F1F1F0358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Q3:T7" firstHeaderRow="0" firstDataRow="1" firstDataCol="1"/>
  <pivotFields count="2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multipleItemSelectionAllowed="1" showAll="0" defaultSubtotal="0">
      <items count="6">
        <item h="1" x="0"/>
        <item h="1" x="1"/>
        <item x="2"/>
        <item x="3"/>
        <item x="4"/>
        <item h="1" x="5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9"/>
  </rowFields>
  <rowItems count="4"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_tvl_others" fld="23" baseField="0" baseItem="0"/>
    <dataField name="avg_tvl_lend" fld="22" baseField="0" baseItem="0"/>
    <dataField name="avg_tvl_comp" fld="21" baseField="0" baseItem="0"/>
  </dataFields>
  <chartFormats count="4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855AE-E1E9-47BD-9B1B-1632541EB3DF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outline="1" outlineData="1" compactData="0" multipleFieldFilters="0" chartFormat="15">
  <location ref="A3:E1176" firstHeaderRow="0" firstDataRow="1" firstDataCol="2"/>
  <pivotFields count="25">
    <pivotField axis="axisRow" compact="0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  <pivotField compact="0" dragToRow="0" dragToCol="0" dragToPage="0" showAll="0" defaultSubtotal="0"/>
  </pivotFields>
  <rowFields count="2">
    <field x="19"/>
    <field x="0"/>
  </rowFields>
  <rowItems count="1173">
    <i>
      <x v="1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hare_others" fld="23" baseField="0" baseItem="0"/>
    <dataField name="share_lend" fld="22" baseField="0" baseItem="0"/>
    <dataField name="share_comp" fld="21" baseField="0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7D5D4-31D7-4554-936B-48793AFC0C01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54:B66" firstHeaderRow="1" firstDataRow="1" firstDataCol="1" rowPageCount="1" colPageCount="1"/>
  <pivotFields count="7">
    <pivotField showAll="0"/>
    <pivotField numFmtId="14" showAll="0"/>
    <pivotField axis="axisPage" showAll="0">
      <items count="3">
        <item x="0"/>
        <item x="1"/>
        <item t="default"/>
      </items>
    </pivotField>
    <pivotField showAll="0">
      <items count="43">
        <item x="16"/>
        <item x="0"/>
        <item x="1"/>
        <item x="2"/>
        <item x="3"/>
        <item x="17"/>
        <item x="18"/>
        <item x="19"/>
        <item x="20"/>
        <item x="21"/>
        <item x="22"/>
        <item x="23"/>
        <item x="24"/>
        <item x="4"/>
        <item x="5"/>
        <item x="25"/>
        <item x="26"/>
        <item x="27"/>
        <item x="28"/>
        <item x="6"/>
        <item x="7"/>
        <item x="29"/>
        <item x="30"/>
        <item x="8"/>
        <item x="9"/>
        <item x="10"/>
        <item x="11"/>
        <item x="31"/>
        <item x="12"/>
        <item x="32"/>
        <item x="33"/>
        <item x="34"/>
        <item x="35"/>
        <item x="36"/>
        <item x="13"/>
        <item x="37"/>
        <item x="38"/>
        <item x="39"/>
        <item x="14"/>
        <item x="40"/>
        <item x="41"/>
        <item x="15"/>
        <item t="default"/>
      </items>
    </pivotField>
    <pivotField axis="axisRow" dataField="1" showAll="0" measureFilter="1" sortType="ascending">
      <items count="75">
        <item x="46"/>
        <item x="72"/>
        <item x="10"/>
        <item x="71"/>
        <item x="13"/>
        <item x="54"/>
        <item x="22"/>
        <item x="35"/>
        <item x="58"/>
        <item x="65"/>
        <item x="41"/>
        <item x="16"/>
        <item x="24"/>
        <item x="6"/>
        <item x="37"/>
        <item x="26"/>
        <item x="63"/>
        <item x="18"/>
        <item x="52"/>
        <item x="14"/>
        <item x="62"/>
        <item x="66"/>
        <item x="55"/>
        <item x="51"/>
        <item x="39"/>
        <item x="5"/>
        <item x="50"/>
        <item x="15"/>
        <item x="4"/>
        <item x="53"/>
        <item x="29"/>
        <item x="42"/>
        <item x="47"/>
        <item x="3"/>
        <item x="1"/>
        <item x="44"/>
        <item x="12"/>
        <item x="34"/>
        <item x="56"/>
        <item x="70"/>
        <item x="64"/>
        <item x="32"/>
        <item x="45"/>
        <item x="49"/>
        <item x="8"/>
        <item x="20"/>
        <item x="25"/>
        <item x="59"/>
        <item x="31"/>
        <item x="27"/>
        <item x="21"/>
        <item x="36"/>
        <item x="11"/>
        <item x="73"/>
        <item x="9"/>
        <item x="43"/>
        <item x="0"/>
        <item x="7"/>
        <item x="68"/>
        <item x="60"/>
        <item x="23"/>
        <item x="19"/>
        <item x="30"/>
        <item x="57"/>
        <item x="40"/>
        <item x="38"/>
        <item x="17"/>
        <item x="2"/>
        <item x="48"/>
        <item x="61"/>
        <item x="28"/>
        <item x="33"/>
        <item x="6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4"/>
  </rowFields>
  <rowItems count="12">
    <i>
      <x v="21"/>
    </i>
    <i>
      <x v="31"/>
    </i>
    <i>
      <x v="48"/>
    </i>
    <i>
      <x v="39"/>
    </i>
    <i>
      <x v="22"/>
    </i>
    <i>
      <x v="51"/>
    </i>
    <i>
      <x v="12"/>
    </i>
    <i>
      <x v="37"/>
    </i>
    <i>
      <x v="7"/>
    </i>
    <i>
      <x v="41"/>
    </i>
    <i>
      <x v="67"/>
    </i>
    <i t="grand">
      <x/>
    </i>
  </rowItems>
  <colItems count="1">
    <i/>
  </colItems>
  <pageFields count="1">
    <pageField fld="2" item="1" hier="-1"/>
  </pageFields>
  <dataFields count="1">
    <dataField name="Count of committer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000C7-80EC-4A07-940D-23136A2B13BF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0:B41" firstHeaderRow="1" firstDataRow="1" firstDataCol="1" rowPageCount="1" colPageCount="1"/>
  <pivotFields count="7">
    <pivotField showAll="0"/>
    <pivotField numFmtId="14" showAll="0"/>
    <pivotField axis="axisPage" showAll="0">
      <items count="3">
        <item x="0"/>
        <item x="1"/>
        <item t="default"/>
      </items>
    </pivotField>
    <pivotField showAll="0"/>
    <pivotField axis="axisRow" dataField="1" showAll="0" measureFilter="1" sortType="ascending">
      <items count="75">
        <item x="46"/>
        <item x="72"/>
        <item x="10"/>
        <item x="71"/>
        <item x="13"/>
        <item x="54"/>
        <item x="22"/>
        <item x="35"/>
        <item x="58"/>
        <item x="65"/>
        <item x="41"/>
        <item x="16"/>
        <item x="24"/>
        <item x="6"/>
        <item x="37"/>
        <item x="26"/>
        <item x="63"/>
        <item x="18"/>
        <item x="52"/>
        <item x="14"/>
        <item x="62"/>
        <item x="66"/>
        <item x="55"/>
        <item x="51"/>
        <item x="39"/>
        <item x="5"/>
        <item x="50"/>
        <item x="15"/>
        <item x="4"/>
        <item x="53"/>
        <item x="29"/>
        <item x="42"/>
        <item x="47"/>
        <item x="3"/>
        <item x="1"/>
        <item x="44"/>
        <item x="12"/>
        <item x="34"/>
        <item x="56"/>
        <item x="70"/>
        <item x="64"/>
        <item x="32"/>
        <item x="45"/>
        <item x="49"/>
        <item x="8"/>
        <item x="20"/>
        <item x="25"/>
        <item x="59"/>
        <item x="31"/>
        <item x="27"/>
        <item x="21"/>
        <item x="36"/>
        <item x="11"/>
        <item x="73"/>
        <item x="9"/>
        <item x="43"/>
        <item x="0"/>
        <item x="7"/>
        <item x="68"/>
        <item x="60"/>
        <item x="23"/>
        <item x="19"/>
        <item x="30"/>
        <item x="57"/>
        <item x="40"/>
        <item x="38"/>
        <item x="17"/>
        <item x="2"/>
        <item x="48"/>
        <item x="61"/>
        <item x="28"/>
        <item x="33"/>
        <item x="6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4"/>
  </rowFields>
  <rowItems count="11">
    <i>
      <x v="11"/>
    </i>
    <i>
      <x v="28"/>
    </i>
    <i>
      <x v="33"/>
    </i>
    <i>
      <x v="66"/>
    </i>
    <i>
      <x v="57"/>
    </i>
    <i>
      <x v="36"/>
    </i>
    <i>
      <x v="13"/>
    </i>
    <i>
      <x v="56"/>
    </i>
    <i>
      <x v="34"/>
    </i>
    <i>
      <x v="67"/>
    </i>
    <i t="grand">
      <x/>
    </i>
  </rowItems>
  <colItems count="1">
    <i/>
  </colItems>
  <pageFields count="1">
    <pageField fld="2" item="0" hier="-1"/>
  </pageFields>
  <dataFields count="1">
    <dataField name="Count of committer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F1AA7-BF73-46FA-899C-5AD80B5ECD89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D25" firstHeaderRow="1" firstDataRow="2" firstDataCol="1"/>
  <pivotFields count="7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n="Aave" x="0"/>
        <item n="Compound" x="1"/>
        <item t="default"/>
      </items>
    </pivotField>
    <pivotField showAll="0">
      <items count="43">
        <item x="16"/>
        <item x="0"/>
        <item x="1"/>
        <item x="2"/>
        <item x="3"/>
        <item x="17"/>
        <item x="18"/>
        <item x="19"/>
        <item x="20"/>
        <item x="21"/>
        <item x="22"/>
        <item x="23"/>
        <item x="24"/>
        <item x="4"/>
        <item x="5"/>
        <item x="25"/>
        <item x="26"/>
        <item x="27"/>
        <item x="28"/>
        <item x="6"/>
        <item x="7"/>
        <item x="29"/>
        <item x="30"/>
        <item x="8"/>
        <item x="9"/>
        <item x="10"/>
        <item x="11"/>
        <item x="31"/>
        <item x="12"/>
        <item x="32"/>
        <item x="33"/>
        <item x="34"/>
        <item x="35"/>
        <item x="36"/>
        <item x="13"/>
        <item x="37"/>
        <item x="38"/>
        <item x="39"/>
        <item x="14"/>
        <item x="40"/>
        <item x="41"/>
        <item x="15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6"/>
    <field x="5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ommitter" fld="4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8E185-CBAA-4F7B-9203-2FF7AB312850}" name="PivotTable8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8:B88" firstHeaderRow="1" firstDataRow="1" firstDataCol="1"/>
  <pivotFields count="5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1" showAll="0"/>
    <pivotField dataField="1" showAll="0"/>
    <pivotField axis="axisRow" showAll="0">
      <items count="15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/>
      </items>
    </pivotField>
  </pivotFields>
  <rowFields count="2">
    <field x="4"/>
    <field x="1"/>
  </rowFields>
  <rowItems count="40">
    <i>
      <x v="3"/>
    </i>
    <i r="1">
      <x v="76"/>
    </i>
    <i r="1">
      <x v="83"/>
    </i>
    <i r="1">
      <x v="90"/>
    </i>
    <i>
      <x v="4"/>
    </i>
    <i r="1">
      <x v="97"/>
    </i>
    <i r="1">
      <x v="104"/>
    </i>
    <i r="1">
      <x v="111"/>
    </i>
    <i r="1">
      <x v="118"/>
    </i>
    <i>
      <x v="5"/>
    </i>
    <i r="1">
      <x v="125"/>
    </i>
    <i r="1">
      <x v="132"/>
    </i>
    <i r="1">
      <x v="139"/>
    </i>
    <i r="1">
      <x v="146"/>
    </i>
    <i>
      <x v="6"/>
    </i>
    <i r="1">
      <x v="153"/>
    </i>
    <i r="1">
      <x v="160"/>
    </i>
    <i r="1">
      <x v="167"/>
    </i>
    <i r="1">
      <x v="174"/>
    </i>
    <i r="1">
      <x v="181"/>
    </i>
    <i>
      <x v="7"/>
    </i>
    <i r="1">
      <x v="188"/>
    </i>
    <i r="1">
      <x v="195"/>
    </i>
    <i r="1">
      <x v="202"/>
    </i>
    <i r="1">
      <x v="209"/>
    </i>
    <i>
      <x v="8"/>
    </i>
    <i r="1">
      <x v="216"/>
    </i>
    <i r="1">
      <x v="223"/>
    </i>
    <i r="1">
      <x v="230"/>
    </i>
    <i r="1">
      <x v="237"/>
    </i>
    <i r="1">
      <x v="244"/>
    </i>
    <i>
      <x v="9"/>
    </i>
    <i r="1">
      <x v="251"/>
    </i>
    <i r="1">
      <x v="258"/>
    </i>
    <i r="1">
      <x v="265"/>
    </i>
    <i r="1">
      <x v="272"/>
    </i>
    <i>
      <x v="10"/>
    </i>
    <i r="1">
      <x v="279"/>
    </i>
    <i r="1">
      <x v="286"/>
    </i>
    <i t="grand">
      <x/>
    </i>
  </rowItems>
  <colItems count="1">
    <i/>
  </colItems>
  <dataFields count="1">
    <dataField name="Flash Loan Vol.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05B94-146A-4DF6-AB94-AC0C87500FE1}" name="PivotTable7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F4:I45" firstHeaderRow="1" firstDataRow="2" firstDataCol="1" rowPageCount="1" colPageCount="1"/>
  <pivotFields count="6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 defaultSubtotal="0">
      <items count="14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</items>
    </pivotField>
  </pivotFields>
  <rowFields count="2">
    <field x="5"/>
    <field x="1"/>
  </rowFields>
  <rowItems count="40">
    <i>
      <x v="3"/>
    </i>
    <i r="1">
      <x v="76"/>
    </i>
    <i r="1">
      <x v="83"/>
    </i>
    <i r="1">
      <x v="90"/>
    </i>
    <i>
      <x v="4"/>
    </i>
    <i r="1">
      <x v="97"/>
    </i>
    <i r="1">
      <x v="104"/>
    </i>
    <i r="1">
      <x v="111"/>
    </i>
    <i r="1">
      <x v="118"/>
    </i>
    <i>
      <x v="5"/>
    </i>
    <i r="1">
      <x v="125"/>
    </i>
    <i r="1">
      <x v="132"/>
    </i>
    <i r="1">
      <x v="139"/>
    </i>
    <i r="1">
      <x v="146"/>
    </i>
    <i>
      <x v="6"/>
    </i>
    <i r="1">
      <x v="153"/>
    </i>
    <i r="1">
      <x v="160"/>
    </i>
    <i r="1">
      <x v="167"/>
    </i>
    <i r="1">
      <x v="174"/>
    </i>
    <i r="1">
      <x v="181"/>
    </i>
    <i>
      <x v="7"/>
    </i>
    <i r="1">
      <x v="188"/>
    </i>
    <i r="1">
      <x v="195"/>
    </i>
    <i r="1">
      <x v="202"/>
    </i>
    <i r="1">
      <x v="209"/>
    </i>
    <i>
      <x v="8"/>
    </i>
    <i r="1">
      <x v="216"/>
    </i>
    <i r="1">
      <x v="223"/>
    </i>
    <i r="1">
      <x v="230"/>
    </i>
    <i r="1">
      <x v="237"/>
    </i>
    <i r="1">
      <x v="244"/>
    </i>
    <i>
      <x v="9"/>
    </i>
    <i r="1">
      <x v="251"/>
    </i>
    <i r="1">
      <x v="258"/>
    </i>
    <i r="1">
      <x v="265"/>
    </i>
    <i r="1">
      <x v="272"/>
    </i>
    <i>
      <x v="10"/>
    </i>
    <i r="1">
      <x v="279"/>
    </i>
    <i r="1">
      <x v="286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3" item="1" hier="-1"/>
  </pageFields>
  <dataFields count="1">
    <dataField name="Sum of count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46455-30A7-49A0-A613-B33B5E23B08D}" name="PivotTable6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D45" firstHeaderRow="1" firstDataRow="2" firstDataCol="1" rowPageCount="1" colPageCount="1"/>
  <pivotFields count="6"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5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/>
      </items>
    </pivotField>
  </pivotFields>
  <rowFields count="2">
    <field x="5"/>
    <field x="1"/>
  </rowFields>
  <rowItems count="40">
    <i>
      <x v="3"/>
    </i>
    <i r="1">
      <x v="76"/>
    </i>
    <i r="1">
      <x v="83"/>
    </i>
    <i r="1">
      <x v="90"/>
    </i>
    <i>
      <x v="4"/>
    </i>
    <i r="1">
      <x v="97"/>
    </i>
    <i r="1">
      <x v="104"/>
    </i>
    <i r="1">
      <x v="111"/>
    </i>
    <i r="1">
      <x v="118"/>
    </i>
    <i>
      <x v="5"/>
    </i>
    <i r="1">
      <x v="125"/>
    </i>
    <i r="1">
      <x v="132"/>
    </i>
    <i r="1">
      <x v="139"/>
    </i>
    <i r="1">
      <x v="146"/>
    </i>
    <i>
      <x v="6"/>
    </i>
    <i r="1">
      <x v="153"/>
    </i>
    <i r="1">
      <x v="160"/>
    </i>
    <i r="1">
      <x v="167"/>
    </i>
    <i r="1">
      <x v="174"/>
    </i>
    <i r="1">
      <x v="181"/>
    </i>
    <i>
      <x v="7"/>
    </i>
    <i r="1">
      <x v="188"/>
    </i>
    <i r="1">
      <x v="195"/>
    </i>
    <i r="1">
      <x v="202"/>
    </i>
    <i r="1">
      <x v="209"/>
    </i>
    <i>
      <x v="8"/>
    </i>
    <i r="1">
      <x v="216"/>
    </i>
    <i r="1">
      <x v="223"/>
    </i>
    <i r="1">
      <x v="230"/>
    </i>
    <i r="1">
      <x v="237"/>
    </i>
    <i r="1">
      <x v="244"/>
    </i>
    <i>
      <x v="9"/>
    </i>
    <i r="1">
      <x v="251"/>
    </i>
    <i r="1">
      <x v="258"/>
    </i>
    <i r="1">
      <x v="265"/>
    </i>
    <i r="1">
      <x v="272"/>
    </i>
    <i>
      <x v="10"/>
    </i>
    <i r="1">
      <x v="279"/>
    </i>
    <i r="1">
      <x v="286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3" item="0" hier="-1"/>
  </pageFields>
  <dataFields count="1">
    <dataField name="Sum of count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6A706F-2C45-43E4-B548-C92D82AF09A8}" name="Table4" displayName="Table4" ref="A1:E125" totalsRowShown="0" headerRowDxfId="7">
  <autoFilter ref="A1:E125" xr:uid="{82BD752F-BB2B-4329-A2D3-2D2EF1BD37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6C7CAC-48FF-4360-B093-0EDCCAF7F4DB}" name="timestamp" dataDxfId="12"/>
    <tableColumn id="2" xr3:uid="{55A492DD-307A-4160-B962-3D785D9AE664}" name="week" dataDxfId="11"/>
    <tableColumn id="3" xr3:uid="{09BD6D54-6109-4127-8481-3E5FAB6AAD38}" name="count" dataDxfId="10"/>
    <tableColumn id="4" xr3:uid="{F3F1B0C8-CEAB-40CD-ACB2-E7335BF316FB}" name="protocol" dataDxfId="9"/>
    <tableColumn id="5" xr3:uid="{F3E82B22-AECA-4F18-BCC1-2256C6B369D7}" name="category" dataDxfId="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CEBEAF-BAD9-4C6C-B8C9-9637888951DB}" name="flash_data" displayName="flash_data" ref="L1:O32" totalsRowShown="0" headerRowBorderDxfId="5" tableBorderDxfId="6" totalsRowBorderDxfId="4">
  <autoFilter ref="L1:O32" xr:uid="{FC653247-7C3B-4EA3-893C-A025FD67148A}">
    <filterColumn colId="0" hiddenButton="1"/>
    <filterColumn colId="1" hiddenButton="1"/>
    <filterColumn colId="2" hiddenButton="1"/>
    <filterColumn colId="3" hiddenButton="1"/>
  </autoFilter>
  <tableColumns count="4">
    <tableColumn id="1" xr3:uid="{EA8349B1-4DF2-41FA-9862-1FE9E566324F}" name="timestamp" dataDxfId="3"/>
    <tableColumn id="2" xr3:uid="{85E0DB17-3223-4AB2-B01E-FCD1ED9B9565}" name="week" dataDxfId="2"/>
    <tableColumn id="3" xr3:uid="{8B86A266-4938-414D-8513-DE175417C615}" name="$Total Flash Loans" dataDxfId="1"/>
    <tableColumn id="4" xr3:uid="{73852DC3-CAE5-4EB8-8612-B8457AEFF589}" name="Flash Loan Volume" dataDxfId="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225CE-33F1-4BCE-927E-0BD0E0B1EB28}" name="tvl_data" displayName="tvl_data" ref="A1:Q1169" totalsRowShown="0">
  <autoFilter ref="A1:Q1169" xr:uid="{8DCD81BA-6DA4-4585-A76D-A7E6C71384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6149AAF-23E8-482B-B111-C4E78418945F}" name="date" dataDxfId="15"/>
    <tableColumn id="17" xr3:uid="{ABB701F7-E7D1-4511-848E-C51A20F0E011}" name="count" dataDxfId="14"/>
    <tableColumn id="2" xr3:uid="{5EAAAB9D-8D21-4F6C-A059-725ABA95199C}" name="tvlUSD_all"/>
    <tableColumn id="3" xr3:uid="{3BE313B0-EB33-4C89-ACD0-029D4FA3B537}" name="tvlETH_all"/>
    <tableColumn id="4" xr3:uid="{07F1F2A5-B71A-4800-B89F-343C3331EB07}" name="BTC_all"/>
    <tableColumn id="5" xr3:uid="{7E881A20-6D06-4510-A0A5-AF7E1FA53250}" name="ETH_all"/>
    <tableColumn id="6" xr3:uid="{2343E785-0730-45C9-9BDC-AED0E9976BB2}" name="DAI_all"/>
    <tableColumn id="7" xr3:uid="{98DE9FC2-908D-488F-B577-0E5CEE155488}" name="tvlUSD_comp"/>
    <tableColumn id="8" xr3:uid="{81A92381-E73E-4F4C-A3C3-42C0A9A9A5D6}" name="tvlETH_comp"/>
    <tableColumn id="9" xr3:uid="{8C1AFDE7-EC73-495C-80BE-C5499856B300}" name="BTC_comp"/>
    <tableColumn id="10" xr3:uid="{20D4B33C-4F10-45EA-9B54-43FAF3214FCD}" name="ETH_comp"/>
    <tableColumn id="11" xr3:uid="{A840A21F-6F81-47C0-99A3-D3BD0D16B4E1}" name="DAI_comp"/>
    <tableColumn id="12" xr3:uid="{461029AB-0BEE-4EB0-B689-C282DB2C4766}" name="tvlUSD"/>
    <tableColumn id="13" xr3:uid="{747DDFE4-AFF0-4C51-BA02-E43136DF4F3B}" name="tvlETH"/>
    <tableColumn id="14" xr3:uid="{751ECA3C-4FE4-4EE3-B696-1A6CC19ABF1E}" name="BTC"/>
    <tableColumn id="15" xr3:uid="{96C22B4E-7C4B-4FF0-8D52-13037CE2D353}" name="ETH"/>
    <tableColumn id="16" xr3:uid="{A9F347A2-1241-4B7D-8043-A269F380361F}" name="DAI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69FF2-9954-4754-B190-F7E51A5274E1}" name="commit_data" displayName="commit_data" ref="A1:E973" totalsRowShown="0">
  <autoFilter ref="A1:E973" xr:uid="{278B2B86-2028-4495-A11F-104B1AD4486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59FDE4F-DFB7-420D-AA49-DFBAAAC966F0}" name="timestamp"/>
    <tableColumn id="2" xr3:uid="{5DBA6F3A-082D-47E7-9B4D-396E0EF8973E}" name="date" dataDxfId="13"/>
    <tableColumn id="3" xr3:uid="{FDB26678-6C14-403D-A405-DA172EEF6B3A}" name="username"/>
    <tableColumn id="4" xr3:uid="{61DF6F31-60FA-4489-BC72-09573F7EDBF9}" name="repo"/>
    <tableColumn id="5" xr3:uid="{2321E222-49AA-495A-8827-F0155EE9233B}" name="committ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C40F-D64C-4D20-8B83-5CF2B7FD8CFC}">
  <dimension ref="A1:Q8"/>
  <sheetViews>
    <sheetView showGridLines="0" workbookViewId="0">
      <selection activeCell="A9" sqref="A9"/>
    </sheetView>
  </sheetViews>
  <sheetFormatPr defaultRowHeight="14.4" x14ac:dyDescent="0.3"/>
  <cols>
    <col min="1" max="1" width="11.33203125" customWidth="1"/>
    <col min="2" max="17" width="6" customWidth="1"/>
  </cols>
  <sheetData>
    <row r="1" spans="1:17" s="3" customFormat="1" x14ac:dyDescent="0.3"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</row>
    <row r="2" spans="1:17" x14ac:dyDescent="0.3">
      <c r="A2" s="3" t="s">
        <v>0</v>
      </c>
      <c r="B2" s="1">
        <v>8</v>
      </c>
      <c r="C2" s="1">
        <v>8.4</v>
      </c>
      <c r="D2" s="1">
        <v>8.4</v>
      </c>
      <c r="E2" s="1">
        <v>8.9</v>
      </c>
      <c r="F2" s="1">
        <v>8.8000000000000007</v>
      </c>
      <c r="G2" s="1">
        <v>8.6999999999999993</v>
      </c>
      <c r="H2" s="2" t="s">
        <v>23</v>
      </c>
      <c r="I2" s="1">
        <v>8.5</v>
      </c>
      <c r="J2" s="1">
        <v>8.8000000000000007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1">
        <v>7.8</v>
      </c>
      <c r="Q2" s="2" t="s">
        <v>23</v>
      </c>
    </row>
    <row r="3" spans="1:17" x14ac:dyDescent="0.3">
      <c r="A3" s="3" t="s">
        <v>1</v>
      </c>
      <c r="B3" s="1">
        <v>7.5</v>
      </c>
      <c r="C3" s="2" t="s">
        <v>23</v>
      </c>
      <c r="D3" s="1">
        <v>8</v>
      </c>
      <c r="E3" s="1">
        <v>8.3000000000000007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</row>
    <row r="4" spans="1:17" x14ac:dyDescent="0.3">
      <c r="A4" s="3" t="s">
        <v>2</v>
      </c>
      <c r="B4" s="1">
        <v>4.9000000000000004</v>
      </c>
      <c r="C4" s="1">
        <v>4.9000000000000004</v>
      </c>
      <c r="D4" s="1">
        <v>4.8</v>
      </c>
      <c r="E4" s="1">
        <v>5</v>
      </c>
      <c r="F4" s="1">
        <v>4.8</v>
      </c>
      <c r="G4" s="2" t="s">
        <v>23</v>
      </c>
      <c r="H4" s="2" t="s">
        <v>23</v>
      </c>
      <c r="I4" s="1">
        <v>4.9000000000000004</v>
      </c>
      <c r="J4" s="2" t="s">
        <v>23</v>
      </c>
      <c r="K4" s="1">
        <v>4.8</v>
      </c>
      <c r="L4" s="2" t="s">
        <v>23</v>
      </c>
      <c r="M4" s="1">
        <v>4.7</v>
      </c>
      <c r="N4" s="2" t="s">
        <v>23</v>
      </c>
      <c r="O4" s="2" t="s">
        <v>23</v>
      </c>
      <c r="P4" s="1">
        <v>4.5</v>
      </c>
      <c r="Q4" s="1">
        <v>4.7</v>
      </c>
    </row>
    <row r="5" spans="1:17" x14ac:dyDescent="0.3">
      <c r="A5" s="3" t="s">
        <v>3</v>
      </c>
      <c r="B5" s="1">
        <v>4.9000000000000004</v>
      </c>
      <c r="C5" s="1">
        <v>5</v>
      </c>
      <c r="D5" s="1">
        <v>5</v>
      </c>
      <c r="E5" s="1">
        <v>5</v>
      </c>
      <c r="F5" s="1">
        <v>4.8</v>
      </c>
      <c r="G5" s="1">
        <v>4.8</v>
      </c>
      <c r="H5" s="1">
        <v>4.7</v>
      </c>
      <c r="I5" s="1">
        <v>4.8</v>
      </c>
      <c r="J5" s="1">
        <v>4.9000000000000004</v>
      </c>
      <c r="K5" s="1">
        <v>4.8</v>
      </c>
      <c r="L5" s="2" t="s">
        <v>23</v>
      </c>
      <c r="M5" s="1">
        <v>4.9000000000000004</v>
      </c>
      <c r="N5" s="1">
        <v>4.9000000000000004</v>
      </c>
      <c r="O5" s="1">
        <v>4.8</v>
      </c>
      <c r="P5" s="2" t="s">
        <v>23</v>
      </c>
      <c r="Q5" s="2" t="s">
        <v>23</v>
      </c>
    </row>
    <row r="6" spans="1:17" x14ac:dyDescent="0.3">
      <c r="A6" s="3" t="s">
        <v>4</v>
      </c>
      <c r="B6" s="1">
        <v>7.2</v>
      </c>
      <c r="C6" s="1">
        <v>7.4</v>
      </c>
      <c r="D6" s="1">
        <v>6.8</v>
      </c>
      <c r="E6" s="1">
        <v>7.6</v>
      </c>
      <c r="F6" s="1">
        <v>7.3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1">
        <v>6.8</v>
      </c>
      <c r="Q6" s="2" t="s">
        <v>23</v>
      </c>
    </row>
    <row r="7" spans="1:17" x14ac:dyDescent="0.3">
      <c r="A7" s="3" t="s">
        <v>5</v>
      </c>
      <c r="B7" s="1">
        <v>6.7</v>
      </c>
      <c r="C7" s="2" t="s">
        <v>23</v>
      </c>
      <c r="D7" s="1">
        <v>7.3</v>
      </c>
      <c r="E7" s="1">
        <v>7.3</v>
      </c>
      <c r="F7" s="1">
        <v>7.7</v>
      </c>
      <c r="G7" s="1">
        <v>7.3</v>
      </c>
      <c r="H7" s="1">
        <v>7.5</v>
      </c>
      <c r="I7" s="1">
        <v>7.4</v>
      </c>
      <c r="J7" s="1">
        <v>7.4</v>
      </c>
      <c r="K7" s="1">
        <v>7.5</v>
      </c>
      <c r="L7" s="1">
        <v>7.7</v>
      </c>
      <c r="M7" s="1">
        <v>7.7</v>
      </c>
      <c r="N7" s="1">
        <v>7.3</v>
      </c>
      <c r="O7" s="1">
        <v>7.5</v>
      </c>
      <c r="P7" s="1">
        <v>7</v>
      </c>
      <c r="Q7" s="1">
        <v>6.4</v>
      </c>
    </row>
    <row r="8" spans="1:17" x14ac:dyDescent="0.3">
      <c r="A8" s="3" t="s">
        <v>6</v>
      </c>
      <c r="B8" s="1">
        <v>9.6999999999999993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</row>
  </sheetData>
  <conditionalFormatting sqref="B2:B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Q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4174-20EB-489E-A2A1-D2211046E3AF}">
  <sheetPr>
    <tabColor theme="9" tint="0.59999389629810485"/>
  </sheetPr>
  <dimension ref="A3:T1176"/>
  <sheetViews>
    <sheetView tabSelected="1" workbookViewId="0">
      <selection activeCell="P9" sqref="P9"/>
    </sheetView>
  </sheetViews>
  <sheetFormatPr defaultRowHeight="14.4" x14ac:dyDescent="0.3"/>
  <cols>
    <col min="1" max="1" width="10.77734375" bestFit="1" customWidth="1"/>
    <col min="2" max="2" width="7.21875" bestFit="1" customWidth="1"/>
    <col min="3" max="5" width="12" bestFit="1" customWidth="1"/>
    <col min="6" max="6" width="23.77734375" bestFit="1" customWidth="1"/>
    <col min="17" max="17" width="12.5546875" bestFit="1" customWidth="1"/>
    <col min="18" max="18" width="23.77734375" bestFit="1" customWidth="1"/>
    <col min="19" max="19" width="22.109375" bestFit="1" customWidth="1"/>
    <col min="20" max="20" width="23.21875" bestFit="1" customWidth="1"/>
  </cols>
  <sheetData>
    <row r="3" spans="1:20" x14ac:dyDescent="0.3">
      <c r="A3" s="5" t="s">
        <v>43</v>
      </c>
      <c r="B3" s="5" t="s">
        <v>27</v>
      </c>
      <c r="C3" t="s">
        <v>444</v>
      </c>
      <c r="D3" t="s">
        <v>445</v>
      </c>
      <c r="E3" t="s">
        <v>446</v>
      </c>
      <c r="Q3" s="5" t="s">
        <v>431</v>
      </c>
      <c r="R3" t="s">
        <v>447</v>
      </c>
      <c r="S3" t="s">
        <v>448</v>
      </c>
      <c r="T3" t="s">
        <v>449</v>
      </c>
    </row>
    <row r="4" spans="1:20" x14ac:dyDescent="0.3">
      <c r="A4" t="s">
        <v>39</v>
      </c>
      <c r="C4" s="6">
        <v>6076634.4276315793</v>
      </c>
      <c r="D4" s="6">
        <v>0</v>
      </c>
      <c r="E4" s="6">
        <v>0</v>
      </c>
      <c r="Q4" s="19" t="s">
        <v>40</v>
      </c>
      <c r="R4" s="6">
        <v>153599388.4821918</v>
      </c>
      <c r="S4" s="6">
        <v>0</v>
      </c>
      <c r="T4" s="6">
        <v>1802105.4246575343</v>
      </c>
    </row>
    <row r="5" spans="1:20" x14ac:dyDescent="0.3">
      <c r="B5" s="4" t="s">
        <v>258</v>
      </c>
      <c r="C5" s="6">
        <v>0</v>
      </c>
      <c r="D5" s="6">
        <v>0</v>
      </c>
      <c r="E5" s="6">
        <v>0</v>
      </c>
      <c r="Q5" s="19" t="s">
        <v>41</v>
      </c>
      <c r="R5" s="6">
        <v>408580960.50734466</v>
      </c>
      <c r="S5" s="6">
        <v>0</v>
      </c>
      <c r="T5" s="6">
        <v>64704324.378082193</v>
      </c>
    </row>
    <row r="6" spans="1:20" x14ac:dyDescent="0.3">
      <c r="B6" s="4" t="s">
        <v>259</v>
      </c>
      <c r="C6" s="6">
        <v>4</v>
      </c>
      <c r="D6" s="6">
        <v>0</v>
      </c>
      <c r="E6" s="6">
        <v>0</v>
      </c>
      <c r="Q6" s="19" t="s">
        <v>42</v>
      </c>
      <c r="R6" s="6">
        <v>2312063434.8473535</v>
      </c>
      <c r="S6" s="6">
        <v>361132748.05944055</v>
      </c>
      <c r="T6" s="6">
        <v>354304599.88111889</v>
      </c>
    </row>
    <row r="7" spans="1:20" x14ac:dyDescent="0.3">
      <c r="B7" s="4" t="s">
        <v>260</v>
      </c>
      <c r="C7" s="6">
        <v>4</v>
      </c>
      <c r="D7" s="6">
        <v>0</v>
      </c>
      <c r="E7" s="6">
        <v>0</v>
      </c>
      <c r="Q7" s="19" t="s">
        <v>38</v>
      </c>
      <c r="R7" s="6">
        <v>852801151.32630312</v>
      </c>
      <c r="S7" s="6">
        <v>101657446.79625984</v>
      </c>
      <c r="T7" s="6">
        <v>123627915.79133858</v>
      </c>
    </row>
    <row r="8" spans="1:20" x14ac:dyDescent="0.3">
      <c r="B8" s="4" t="s">
        <v>261</v>
      </c>
      <c r="C8" s="6">
        <v>5</v>
      </c>
      <c r="D8" s="6">
        <v>0</v>
      </c>
      <c r="E8" s="6">
        <v>0</v>
      </c>
    </row>
    <row r="9" spans="1:20" x14ac:dyDescent="0.3">
      <c r="B9" s="4" t="s">
        <v>262</v>
      </c>
      <c r="C9" s="6">
        <v>5</v>
      </c>
      <c r="D9" s="6">
        <v>0</v>
      </c>
      <c r="E9" s="6">
        <v>0</v>
      </c>
    </row>
    <row r="10" spans="1:20" x14ac:dyDescent="0.3">
      <c r="B10" s="4" t="s">
        <v>263</v>
      </c>
      <c r="C10" s="6">
        <v>5</v>
      </c>
      <c r="D10" s="6">
        <v>0</v>
      </c>
      <c r="E10" s="6">
        <v>0</v>
      </c>
    </row>
    <row r="11" spans="1:20" x14ac:dyDescent="0.3">
      <c r="B11" s="4" t="s">
        <v>264</v>
      </c>
      <c r="C11" s="6">
        <v>5</v>
      </c>
      <c r="D11" s="6">
        <v>0</v>
      </c>
      <c r="E11" s="6">
        <v>0</v>
      </c>
    </row>
    <row r="12" spans="1:20" x14ac:dyDescent="0.3">
      <c r="B12" s="4" t="s">
        <v>265</v>
      </c>
      <c r="C12" s="6">
        <v>5</v>
      </c>
      <c r="D12" s="6">
        <v>0</v>
      </c>
      <c r="E12" s="6">
        <v>0</v>
      </c>
    </row>
    <row r="13" spans="1:20" x14ac:dyDescent="0.3">
      <c r="B13" s="4" t="s">
        <v>266</v>
      </c>
      <c r="C13" s="6">
        <v>5</v>
      </c>
      <c r="D13" s="6">
        <v>0</v>
      </c>
      <c r="E13" s="6">
        <v>0</v>
      </c>
    </row>
    <row r="14" spans="1:20" x14ac:dyDescent="0.3">
      <c r="B14" s="4" t="s">
        <v>267</v>
      </c>
      <c r="C14" s="6">
        <v>6</v>
      </c>
      <c r="D14" s="6">
        <v>0</v>
      </c>
      <c r="E14" s="6">
        <v>0</v>
      </c>
    </row>
    <row r="15" spans="1:20" x14ac:dyDescent="0.3">
      <c r="B15" s="4" t="s">
        <v>268</v>
      </c>
      <c r="C15" s="6">
        <v>6</v>
      </c>
      <c r="D15" s="6">
        <v>0</v>
      </c>
      <c r="E15" s="6">
        <v>0</v>
      </c>
    </row>
    <row r="16" spans="1:20" x14ac:dyDescent="0.3">
      <c r="B16" s="4" t="s">
        <v>269</v>
      </c>
      <c r="C16" s="6">
        <v>6</v>
      </c>
      <c r="D16" s="6">
        <v>0</v>
      </c>
      <c r="E16" s="6">
        <v>0</v>
      </c>
    </row>
    <row r="17" spans="2:5" x14ac:dyDescent="0.3">
      <c r="B17" s="4" t="s">
        <v>270</v>
      </c>
      <c r="C17" s="6">
        <v>6</v>
      </c>
      <c r="D17" s="6">
        <v>0</v>
      </c>
      <c r="E17" s="6">
        <v>0</v>
      </c>
    </row>
    <row r="18" spans="2:5" x14ac:dyDescent="0.3">
      <c r="B18" s="4" t="s">
        <v>271</v>
      </c>
      <c r="C18" s="6">
        <v>5</v>
      </c>
      <c r="D18" s="6">
        <v>0</v>
      </c>
      <c r="E18" s="6">
        <v>0</v>
      </c>
    </row>
    <row r="19" spans="2:5" x14ac:dyDescent="0.3">
      <c r="B19" s="4" t="s">
        <v>272</v>
      </c>
      <c r="C19" s="6">
        <v>6</v>
      </c>
      <c r="D19" s="6">
        <v>0</v>
      </c>
      <c r="E19" s="6">
        <v>0</v>
      </c>
    </row>
    <row r="20" spans="2:5" x14ac:dyDescent="0.3">
      <c r="B20" s="4" t="s">
        <v>273</v>
      </c>
      <c r="C20" s="6">
        <v>5</v>
      </c>
      <c r="D20" s="6">
        <v>0</v>
      </c>
      <c r="E20" s="6">
        <v>0</v>
      </c>
    </row>
    <row r="21" spans="2:5" x14ac:dyDescent="0.3">
      <c r="B21" s="4" t="s">
        <v>274</v>
      </c>
      <c r="C21" s="6">
        <v>5</v>
      </c>
      <c r="D21" s="6">
        <v>0</v>
      </c>
      <c r="E21" s="6">
        <v>0</v>
      </c>
    </row>
    <row r="22" spans="2:5" x14ac:dyDescent="0.3">
      <c r="B22" s="4" t="s">
        <v>275</v>
      </c>
      <c r="C22" s="6">
        <v>5</v>
      </c>
      <c r="D22" s="6">
        <v>0</v>
      </c>
      <c r="E22" s="6">
        <v>0</v>
      </c>
    </row>
    <row r="23" spans="2:5" x14ac:dyDescent="0.3">
      <c r="B23" s="4" t="s">
        <v>276</v>
      </c>
      <c r="C23" s="6">
        <v>5</v>
      </c>
      <c r="D23" s="6">
        <v>0</v>
      </c>
      <c r="E23" s="6">
        <v>0</v>
      </c>
    </row>
    <row r="24" spans="2:5" x14ac:dyDescent="0.3">
      <c r="B24" s="4" t="s">
        <v>277</v>
      </c>
      <c r="C24" s="6">
        <v>5</v>
      </c>
      <c r="D24" s="6">
        <v>0</v>
      </c>
      <c r="E24" s="6">
        <v>0</v>
      </c>
    </row>
    <row r="25" spans="2:5" x14ac:dyDescent="0.3">
      <c r="B25" s="4" t="s">
        <v>278</v>
      </c>
      <c r="C25" s="6">
        <v>6</v>
      </c>
      <c r="D25" s="6">
        <v>0</v>
      </c>
      <c r="E25" s="6">
        <v>0</v>
      </c>
    </row>
    <row r="26" spans="2:5" x14ac:dyDescent="0.3">
      <c r="B26" s="4" t="s">
        <v>279</v>
      </c>
      <c r="C26" s="6">
        <v>5</v>
      </c>
      <c r="D26" s="6">
        <v>0</v>
      </c>
      <c r="E26" s="6">
        <v>0</v>
      </c>
    </row>
    <row r="27" spans="2:5" x14ac:dyDescent="0.3">
      <c r="B27" s="4" t="s">
        <v>280</v>
      </c>
      <c r="C27" s="6">
        <v>1386</v>
      </c>
      <c r="D27" s="6">
        <v>0</v>
      </c>
      <c r="E27" s="6">
        <v>0</v>
      </c>
    </row>
    <row r="28" spans="2:5" x14ac:dyDescent="0.3">
      <c r="B28" s="4" t="s">
        <v>281</v>
      </c>
      <c r="C28" s="6">
        <v>1355</v>
      </c>
      <c r="D28" s="6">
        <v>0</v>
      </c>
      <c r="E28" s="6">
        <v>0</v>
      </c>
    </row>
    <row r="29" spans="2:5" x14ac:dyDescent="0.3">
      <c r="B29" s="4" t="s">
        <v>282</v>
      </c>
      <c r="C29" s="6">
        <v>1300</v>
      </c>
      <c r="D29" s="6">
        <v>0</v>
      </c>
      <c r="E29" s="6">
        <v>0</v>
      </c>
    </row>
    <row r="30" spans="2:5" x14ac:dyDescent="0.3">
      <c r="B30" s="4" t="s">
        <v>283</v>
      </c>
      <c r="C30" s="6">
        <v>1365</v>
      </c>
      <c r="D30" s="6">
        <v>0</v>
      </c>
      <c r="E30" s="6">
        <v>0</v>
      </c>
    </row>
    <row r="31" spans="2:5" x14ac:dyDescent="0.3">
      <c r="B31" s="4" t="s">
        <v>284</v>
      </c>
      <c r="C31" s="6">
        <v>1521</v>
      </c>
      <c r="D31" s="6">
        <v>0</v>
      </c>
      <c r="E31" s="6">
        <v>0</v>
      </c>
    </row>
    <row r="32" spans="2:5" x14ac:dyDescent="0.3">
      <c r="B32" s="4" t="s">
        <v>285</v>
      </c>
      <c r="C32" s="6">
        <v>1531</v>
      </c>
      <c r="D32" s="6">
        <v>0</v>
      </c>
      <c r="E32" s="6">
        <v>0</v>
      </c>
    </row>
    <row r="33" spans="2:5" x14ac:dyDescent="0.3">
      <c r="B33" s="4" t="s">
        <v>286</v>
      </c>
      <c r="C33" s="6">
        <v>1591</v>
      </c>
      <c r="D33" s="6">
        <v>0</v>
      </c>
      <c r="E33" s="6">
        <v>0</v>
      </c>
    </row>
    <row r="34" spans="2:5" x14ac:dyDescent="0.3">
      <c r="B34" s="4" t="s">
        <v>287</v>
      </c>
      <c r="C34" s="6">
        <v>1647</v>
      </c>
      <c r="D34" s="6">
        <v>0</v>
      </c>
      <c r="E34" s="6">
        <v>0</v>
      </c>
    </row>
    <row r="35" spans="2:5" x14ac:dyDescent="0.3">
      <c r="B35" s="4" t="s">
        <v>288</v>
      </c>
      <c r="C35" s="6">
        <v>1652</v>
      </c>
      <c r="D35" s="6">
        <v>0</v>
      </c>
      <c r="E35" s="6">
        <v>0</v>
      </c>
    </row>
    <row r="36" spans="2:5" x14ac:dyDescent="0.3">
      <c r="B36" s="4" t="s">
        <v>289</v>
      </c>
      <c r="C36" s="6">
        <v>1516</v>
      </c>
      <c r="D36" s="6">
        <v>0</v>
      </c>
      <c r="E36" s="6">
        <v>0</v>
      </c>
    </row>
    <row r="37" spans="2:5" x14ac:dyDescent="0.3">
      <c r="B37" s="4" t="s">
        <v>290</v>
      </c>
      <c r="C37" s="6">
        <v>1451</v>
      </c>
      <c r="D37" s="6">
        <v>0</v>
      </c>
      <c r="E37" s="6">
        <v>0</v>
      </c>
    </row>
    <row r="38" spans="2:5" x14ac:dyDescent="0.3">
      <c r="B38" s="4" t="s">
        <v>291</v>
      </c>
      <c r="C38" s="6">
        <v>1141</v>
      </c>
      <c r="D38" s="6">
        <v>0</v>
      </c>
      <c r="E38" s="6">
        <v>0</v>
      </c>
    </row>
    <row r="39" spans="2:5" x14ac:dyDescent="0.3">
      <c r="B39" s="4" t="s">
        <v>292</v>
      </c>
      <c r="C39" s="6">
        <v>684</v>
      </c>
      <c r="D39" s="6">
        <v>0</v>
      </c>
      <c r="E39" s="6">
        <v>0</v>
      </c>
    </row>
    <row r="40" spans="2:5" x14ac:dyDescent="0.3">
      <c r="B40" s="4" t="s">
        <v>293</v>
      </c>
      <c r="C40" s="6">
        <v>723</v>
      </c>
      <c r="D40" s="6">
        <v>0</v>
      </c>
      <c r="E40" s="6">
        <v>0</v>
      </c>
    </row>
    <row r="41" spans="2:5" x14ac:dyDescent="0.3">
      <c r="B41" s="4" t="s">
        <v>294</v>
      </c>
      <c r="C41" s="6">
        <v>745</v>
      </c>
      <c r="D41" s="6">
        <v>0</v>
      </c>
      <c r="E41" s="6">
        <v>0</v>
      </c>
    </row>
    <row r="42" spans="2:5" x14ac:dyDescent="0.3">
      <c r="B42" s="4" t="s">
        <v>295</v>
      </c>
      <c r="C42" s="6">
        <v>698</v>
      </c>
      <c r="D42" s="6">
        <v>0</v>
      </c>
      <c r="E42" s="6">
        <v>0</v>
      </c>
    </row>
    <row r="43" spans="2:5" x14ac:dyDescent="0.3">
      <c r="B43" s="4" t="s">
        <v>296</v>
      </c>
      <c r="C43" s="6">
        <v>679</v>
      </c>
      <c r="D43" s="6">
        <v>0</v>
      </c>
      <c r="E43" s="6">
        <v>0</v>
      </c>
    </row>
    <row r="44" spans="2:5" x14ac:dyDescent="0.3">
      <c r="B44" s="4" t="s">
        <v>297</v>
      </c>
      <c r="C44" s="6">
        <v>649</v>
      </c>
      <c r="D44" s="6">
        <v>0</v>
      </c>
      <c r="E44" s="6">
        <v>0</v>
      </c>
    </row>
    <row r="45" spans="2:5" x14ac:dyDescent="0.3">
      <c r="B45" s="4" t="s">
        <v>298</v>
      </c>
      <c r="C45" s="6">
        <v>632</v>
      </c>
      <c r="D45" s="6">
        <v>0</v>
      </c>
      <c r="E45" s="6">
        <v>0</v>
      </c>
    </row>
    <row r="46" spans="2:5" x14ac:dyDescent="0.3">
      <c r="B46" s="4" t="s">
        <v>299</v>
      </c>
      <c r="C46" s="6">
        <v>2100574</v>
      </c>
      <c r="D46" s="6">
        <v>0</v>
      </c>
      <c r="E46" s="6">
        <v>0</v>
      </c>
    </row>
    <row r="47" spans="2:5" x14ac:dyDescent="0.3">
      <c r="B47" s="4" t="s">
        <v>300</v>
      </c>
      <c r="C47" s="6">
        <v>2187923</v>
      </c>
      <c r="D47" s="6">
        <v>0</v>
      </c>
      <c r="E47" s="6">
        <v>0</v>
      </c>
    </row>
    <row r="48" spans="2:5" x14ac:dyDescent="0.3">
      <c r="B48" s="4" t="s">
        <v>301</v>
      </c>
      <c r="C48" s="6">
        <v>1761431</v>
      </c>
      <c r="D48" s="6">
        <v>0</v>
      </c>
      <c r="E48" s="6">
        <v>0</v>
      </c>
    </row>
    <row r="49" spans="2:5" x14ac:dyDescent="0.3">
      <c r="B49" s="4" t="s">
        <v>302</v>
      </c>
      <c r="C49" s="6">
        <v>1322049</v>
      </c>
      <c r="D49" s="6">
        <v>0</v>
      </c>
      <c r="E49" s="6">
        <v>0</v>
      </c>
    </row>
    <row r="50" spans="2:5" x14ac:dyDescent="0.3">
      <c r="B50" s="4" t="s">
        <v>303</v>
      </c>
      <c r="C50" s="6">
        <v>1395519</v>
      </c>
      <c r="D50" s="6">
        <v>0</v>
      </c>
      <c r="E50" s="6">
        <v>0</v>
      </c>
    </row>
    <row r="51" spans="2:5" x14ac:dyDescent="0.3">
      <c r="B51" s="4" t="s">
        <v>304</v>
      </c>
      <c r="C51" s="6">
        <v>1299343</v>
      </c>
      <c r="D51" s="6">
        <v>0</v>
      </c>
      <c r="E51" s="6">
        <v>0</v>
      </c>
    </row>
    <row r="52" spans="2:5" x14ac:dyDescent="0.3">
      <c r="B52" s="4" t="s">
        <v>305</v>
      </c>
      <c r="C52" s="6">
        <v>1406269</v>
      </c>
      <c r="D52" s="6">
        <v>0</v>
      </c>
      <c r="E52" s="6">
        <v>0</v>
      </c>
    </row>
    <row r="53" spans="2:5" x14ac:dyDescent="0.3">
      <c r="B53" s="4" t="s">
        <v>306</v>
      </c>
      <c r="C53" s="6">
        <v>1492881</v>
      </c>
      <c r="D53" s="6">
        <v>0</v>
      </c>
      <c r="E53" s="6">
        <v>0</v>
      </c>
    </row>
    <row r="54" spans="2:5" x14ac:dyDescent="0.3">
      <c r="B54" s="4" t="s">
        <v>307</v>
      </c>
      <c r="C54" s="6">
        <v>1346872</v>
      </c>
      <c r="D54" s="6">
        <v>0</v>
      </c>
      <c r="E54" s="6">
        <v>0</v>
      </c>
    </row>
    <row r="55" spans="2:5" x14ac:dyDescent="0.3">
      <c r="B55" s="4" t="s">
        <v>308</v>
      </c>
      <c r="C55" s="6">
        <v>1375273</v>
      </c>
      <c r="D55" s="6">
        <v>0</v>
      </c>
      <c r="E55" s="6">
        <v>0</v>
      </c>
    </row>
    <row r="56" spans="2:5" x14ac:dyDescent="0.3">
      <c r="B56" s="4" t="s">
        <v>309</v>
      </c>
      <c r="C56" s="6">
        <v>1197336</v>
      </c>
      <c r="D56" s="6">
        <v>0</v>
      </c>
      <c r="E56" s="6">
        <v>0</v>
      </c>
    </row>
    <row r="57" spans="2:5" x14ac:dyDescent="0.3">
      <c r="B57" s="4" t="s">
        <v>310</v>
      </c>
      <c r="C57" s="6">
        <v>1208691</v>
      </c>
      <c r="D57" s="6">
        <v>0</v>
      </c>
      <c r="E57" s="6">
        <v>0</v>
      </c>
    </row>
    <row r="58" spans="2:5" x14ac:dyDescent="0.3">
      <c r="B58" s="4" t="s">
        <v>311</v>
      </c>
      <c r="C58" s="6">
        <v>1363800</v>
      </c>
      <c r="D58" s="6">
        <v>0</v>
      </c>
      <c r="E58" s="6">
        <v>0</v>
      </c>
    </row>
    <row r="59" spans="2:5" x14ac:dyDescent="0.3">
      <c r="B59" s="4" t="s">
        <v>312</v>
      </c>
      <c r="C59" s="6">
        <v>1322087</v>
      </c>
      <c r="D59" s="6">
        <v>0</v>
      </c>
      <c r="E59" s="6">
        <v>0</v>
      </c>
    </row>
    <row r="60" spans="2:5" x14ac:dyDescent="0.3">
      <c r="B60" s="4" t="s">
        <v>313</v>
      </c>
      <c r="C60" s="6">
        <v>1332142</v>
      </c>
      <c r="D60" s="6">
        <v>0</v>
      </c>
      <c r="E60" s="6">
        <v>0</v>
      </c>
    </row>
    <row r="61" spans="2:5" x14ac:dyDescent="0.3">
      <c r="B61" s="4" t="s">
        <v>314</v>
      </c>
      <c r="C61" s="6">
        <v>1340764</v>
      </c>
      <c r="D61" s="6">
        <v>0</v>
      </c>
      <c r="E61" s="6">
        <v>0</v>
      </c>
    </row>
    <row r="62" spans="2:5" x14ac:dyDescent="0.3">
      <c r="B62" s="4" t="s">
        <v>315</v>
      </c>
      <c r="C62" s="6">
        <v>1230081</v>
      </c>
      <c r="D62" s="6">
        <v>0</v>
      </c>
      <c r="E62" s="6">
        <v>0</v>
      </c>
    </row>
    <row r="63" spans="2:5" x14ac:dyDescent="0.3">
      <c r="B63" s="4" t="s">
        <v>316</v>
      </c>
      <c r="C63" s="6">
        <v>1406365</v>
      </c>
      <c r="D63" s="6">
        <v>0</v>
      </c>
      <c r="E63" s="6">
        <v>0</v>
      </c>
    </row>
    <row r="64" spans="2:5" x14ac:dyDescent="0.3">
      <c r="B64" s="4" t="s">
        <v>317</v>
      </c>
      <c r="C64" s="6">
        <v>1616384</v>
      </c>
      <c r="D64" s="6">
        <v>0</v>
      </c>
      <c r="E64" s="6">
        <v>0</v>
      </c>
    </row>
    <row r="65" spans="2:5" x14ac:dyDescent="0.3">
      <c r="B65" s="4" t="s">
        <v>318</v>
      </c>
      <c r="C65" s="6">
        <v>2627295</v>
      </c>
      <c r="D65" s="6">
        <v>0</v>
      </c>
      <c r="E65" s="6">
        <v>0</v>
      </c>
    </row>
    <row r="66" spans="2:5" x14ac:dyDescent="0.3">
      <c r="B66" s="4" t="s">
        <v>319</v>
      </c>
      <c r="C66" s="6">
        <v>1406890</v>
      </c>
      <c r="D66" s="6">
        <v>0</v>
      </c>
      <c r="E66" s="6">
        <v>0</v>
      </c>
    </row>
    <row r="67" spans="2:5" x14ac:dyDescent="0.3">
      <c r="B67" s="4" t="s">
        <v>320</v>
      </c>
      <c r="C67" s="6">
        <v>1340804</v>
      </c>
      <c r="D67" s="6">
        <v>0</v>
      </c>
      <c r="E67" s="6">
        <v>0</v>
      </c>
    </row>
    <row r="68" spans="2:5" x14ac:dyDescent="0.3">
      <c r="B68" s="4" t="s">
        <v>321</v>
      </c>
      <c r="C68" s="6">
        <v>1266586</v>
      </c>
      <c r="D68" s="6">
        <v>0</v>
      </c>
      <c r="E68" s="6">
        <v>0</v>
      </c>
    </row>
    <row r="69" spans="2:5" x14ac:dyDescent="0.3">
      <c r="B69" s="4" t="s">
        <v>322</v>
      </c>
      <c r="C69" s="6">
        <v>4200506</v>
      </c>
      <c r="D69" s="6">
        <v>0</v>
      </c>
      <c r="E69" s="6">
        <v>0</v>
      </c>
    </row>
    <row r="70" spans="2:5" x14ac:dyDescent="0.3">
      <c r="B70" s="4" t="s">
        <v>323</v>
      </c>
      <c r="C70" s="6">
        <v>4227210</v>
      </c>
      <c r="D70" s="6">
        <v>0</v>
      </c>
      <c r="E70" s="6">
        <v>0</v>
      </c>
    </row>
    <row r="71" spans="2:5" x14ac:dyDescent="0.3">
      <c r="B71" s="4" t="s">
        <v>324</v>
      </c>
      <c r="C71" s="6">
        <v>1529506</v>
      </c>
      <c r="D71" s="6">
        <v>0</v>
      </c>
      <c r="E71" s="6">
        <v>0</v>
      </c>
    </row>
    <row r="72" spans="2:5" x14ac:dyDescent="0.3">
      <c r="B72" s="4" t="s">
        <v>325</v>
      </c>
      <c r="C72" s="6">
        <v>1721351</v>
      </c>
      <c r="D72" s="6">
        <v>0</v>
      </c>
      <c r="E72" s="6">
        <v>0</v>
      </c>
    </row>
    <row r="73" spans="2:5" x14ac:dyDescent="0.3">
      <c r="B73" s="4" t="s">
        <v>326</v>
      </c>
      <c r="C73" s="6">
        <v>1230356</v>
      </c>
      <c r="D73" s="6">
        <v>0</v>
      </c>
      <c r="E73" s="6">
        <v>0</v>
      </c>
    </row>
    <row r="74" spans="2:5" x14ac:dyDescent="0.3">
      <c r="B74" s="4" t="s">
        <v>327</v>
      </c>
      <c r="C74" s="6">
        <v>1157661</v>
      </c>
      <c r="D74" s="6">
        <v>0</v>
      </c>
      <c r="E74" s="6">
        <v>0</v>
      </c>
    </row>
    <row r="75" spans="2:5" x14ac:dyDescent="0.3">
      <c r="B75" s="4" t="s">
        <v>328</v>
      </c>
      <c r="C75" s="6">
        <v>1779275</v>
      </c>
      <c r="D75" s="6">
        <v>0</v>
      </c>
      <c r="E75" s="6">
        <v>0</v>
      </c>
    </row>
    <row r="76" spans="2:5" x14ac:dyDescent="0.3">
      <c r="B76" s="4" t="s">
        <v>329</v>
      </c>
      <c r="C76" s="6">
        <v>2368811</v>
      </c>
      <c r="D76" s="6">
        <v>0</v>
      </c>
      <c r="E76" s="6">
        <v>0</v>
      </c>
    </row>
    <row r="77" spans="2:5" x14ac:dyDescent="0.3">
      <c r="B77" s="4" t="s">
        <v>330</v>
      </c>
      <c r="C77" s="6">
        <v>2184832</v>
      </c>
      <c r="D77" s="6">
        <v>0</v>
      </c>
      <c r="E77" s="6">
        <v>0</v>
      </c>
    </row>
    <row r="78" spans="2:5" x14ac:dyDescent="0.3">
      <c r="B78" s="4" t="s">
        <v>331</v>
      </c>
      <c r="C78" s="6">
        <v>1803655</v>
      </c>
      <c r="D78" s="6">
        <v>0</v>
      </c>
      <c r="E78" s="6">
        <v>0</v>
      </c>
    </row>
    <row r="79" spans="2:5" x14ac:dyDescent="0.3">
      <c r="B79" s="4" t="s">
        <v>332</v>
      </c>
      <c r="C79" s="6">
        <v>1348483</v>
      </c>
      <c r="D79" s="6">
        <v>0</v>
      </c>
      <c r="E79" s="6">
        <v>0</v>
      </c>
    </row>
    <row r="80" spans="2:5" x14ac:dyDescent="0.3">
      <c r="B80" s="4" t="s">
        <v>333</v>
      </c>
      <c r="C80" s="6">
        <v>4538303</v>
      </c>
      <c r="D80" s="6">
        <v>0</v>
      </c>
      <c r="E80" s="6">
        <v>0</v>
      </c>
    </row>
    <row r="81" spans="2:5" x14ac:dyDescent="0.3">
      <c r="B81" s="4" t="s">
        <v>334</v>
      </c>
      <c r="C81" s="6">
        <v>4392076</v>
      </c>
      <c r="D81" s="6">
        <v>0</v>
      </c>
      <c r="E81" s="6">
        <v>0</v>
      </c>
    </row>
    <row r="82" spans="2:5" x14ac:dyDescent="0.3">
      <c r="B82" s="4" t="s">
        <v>335</v>
      </c>
      <c r="C82" s="6">
        <v>4105398</v>
      </c>
      <c r="D82" s="6">
        <v>0</v>
      </c>
      <c r="E82" s="6">
        <v>0</v>
      </c>
    </row>
    <row r="83" spans="2:5" x14ac:dyDescent="0.3">
      <c r="B83" s="4" t="s">
        <v>336</v>
      </c>
      <c r="C83" s="6">
        <v>3765240</v>
      </c>
      <c r="D83" s="6">
        <v>0</v>
      </c>
      <c r="E83" s="6">
        <v>0</v>
      </c>
    </row>
    <row r="84" spans="2:5" x14ac:dyDescent="0.3">
      <c r="B84" s="4" t="s">
        <v>337</v>
      </c>
      <c r="C84" s="6">
        <v>3727645</v>
      </c>
      <c r="D84" s="6">
        <v>0</v>
      </c>
      <c r="E84" s="6">
        <v>0</v>
      </c>
    </row>
    <row r="85" spans="2:5" x14ac:dyDescent="0.3">
      <c r="B85" s="4" t="s">
        <v>338</v>
      </c>
      <c r="C85" s="6">
        <v>3614010</v>
      </c>
      <c r="D85" s="6">
        <v>0</v>
      </c>
      <c r="E85" s="6">
        <v>0</v>
      </c>
    </row>
    <row r="86" spans="2:5" x14ac:dyDescent="0.3">
      <c r="B86" s="4" t="s">
        <v>339</v>
      </c>
      <c r="C86" s="6">
        <v>3372824</v>
      </c>
      <c r="D86" s="6">
        <v>0</v>
      </c>
      <c r="E86" s="6">
        <v>0</v>
      </c>
    </row>
    <row r="87" spans="2:5" x14ac:dyDescent="0.3">
      <c r="B87" s="4" t="s">
        <v>340</v>
      </c>
      <c r="C87" s="6">
        <v>3167783</v>
      </c>
      <c r="D87" s="6">
        <v>0</v>
      </c>
      <c r="E87" s="6">
        <v>0</v>
      </c>
    </row>
    <row r="88" spans="2:5" x14ac:dyDescent="0.3">
      <c r="B88" s="4" t="s">
        <v>341</v>
      </c>
      <c r="C88" s="6">
        <v>2976913</v>
      </c>
      <c r="D88" s="6">
        <v>0</v>
      </c>
      <c r="E88" s="6">
        <v>0</v>
      </c>
    </row>
    <row r="89" spans="2:5" x14ac:dyDescent="0.3">
      <c r="B89" s="4" t="s">
        <v>342</v>
      </c>
      <c r="C89" s="6">
        <v>3130369</v>
      </c>
      <c r="D89" s="6">
        <v>0</v>
      </c>
      <c r="E89" s="6">
        <v>0</v>
      </c>
    </row>
    <row r="90" spans="2:5" x14ac:dyDescent="0.3">
      <c r="B90" s="4" t="s">
        <v>343</v>
      </c>
      <c r="C90" s="6">
        <v>3077011</v>
      </c>
      <c r="D90" s="6">
        <v>0</v>
      </c>
      <c r="E90" s="6">
        <v>0</v>
      </c>
    </row>
    <row r="91" spans="2:5" x14ac:dyDescent="0.3">
      <c r="B91" s="4" t="s">
        <v>344</v>
      </c>
      <c r="C91" s="6">
        <v>2495857</v>
      </c>
      <c r="D91" s="6">
        <v>0</v>
      </c>
      <c r="E91" s="6">
        <v>0</v>
      </c>
    </row>
    <row r="92" spans="2:5" x14ac:dyDescent="0.3">
      <c r="B92" s="4" t="s">
        <v>345</v>
      </c>
      <c r="C92" s="6">
        <v>2586193</v>
      </c>
      <c r="D92" s="6">
        <v>0</v>
      </c>
      <c r="E92" s="6">
        <v>0</v>
      </c>
    </row>
    <row r="93" spans="2:5" x14ac:dyDescent="0.3">
      <c r="B93" s="4" t="s">
        <v>346</v>
      </c>
      <c r="C93" s="6">
        <v>2599813</v>
      </c>
      <c r="D93" s="6">
        <v>0</v>
      </c>
      <c r="E93" s="6">
        <v>0</v>
      </c>
    </row>
    <row r="94" spans="2:5" x14ac:dyDescent="0.3">
      <c r="B94" s="4" t="s">
        <v>347</v>
      </c>
      <c r="C94" s="6">
        <v>2620378</v>
      </c>
      <c r="D94" s="6">
        <v>0</v>
      </c>
      <c r="E94" s="6">
        <v>0</v>
      </c>
    </row>
    <row r="95" spans="2:5" x14ac:dyDescent="0.3">
      <c r="B95" s="4" t="s">
        <v>348</v>
      </c>
      <c r="C95" s="6">
        <v>2660420</v>
      </c>
      <c r="D95" s="6">
        <v>0</v>
      </c>
      <c r="E95" s="6">
        <v>0</v>
      </c>
    </row>
    <row r="96" spans="2:5" x14ac:dyDescent="0.3">
      <c r="B96" s="4" t="s">
        <v>349</v>
      </c>
      <c r="C96" s="6">
        <v>2615404</v>
      </c>
      <c r="D96" s="6">
        <v>0</v>
      </c>
      <c r="E96" s="6">
        <v>0</v>
      </c>
    </row>
    <row r="97" spans="2:5" x14ac:dyDescent="0.3">
      <c r="B97" s="4" t="s">
        <v>350</v>
      </c>
      <c r="C97" s="6">
        <v>2498818</v>
      </c>
      <c r="D97" s="6">
        <v>0</v>
      </c>
      <c r="E97" s="6">
        <v>0</v>
      </c>
    </row>
    <row r="98" spans="2:5" x14ac:dyDescent="0.3">
      <c r="B98" s="4" t="s">
        <v>351</v>
      </c>
      <c r="C98" s="6">
        <v>2182976</v>
      </c>
      <c r="D98" s="6">
        <v>0</v>
      </c>
      <c r="E98" s="6">
        <v>0</v>
      </c>
    </row>
    <row r="99" spans="2:5" x14ac:dyDescent="0.3">
      <c r="B99" s="4" t="s">
        <v>352</v>
      </c>
      <c r="C99" s="6">
        <v>2250921</v>
      </c>
      <c r="D99" s="6">
        <v>0</v>
      </c>
      <c r="E99" s="6">
        <v>0</v>
      </c>
    </row>
    <row r="100" spans="2:5" x14ac:dyDescent="0.3">
      <c r="B100" s="4" t="s">
        <v>353</v>
      </c>
      <c r="C100" s="6">
        <v>2383687</v>
      </c>
      <c r="D100" s="6">
        <v>0</v>
      </c>
      <c r="E100" s="6">
        <v>0</v>
      </c>
    </row>
    <row r="101" spans="2:5" x14ac:dyDescent="0.3">
      <c r="B101" s="4" t="s">
        <v>354</v>
      </c>
      <c r="C101" s="6">
        <v>2278501</v>
      </c>
      <c r="D101" s="6">
        <v>0</v>
      </c>
      <c r="E101" s="6">
        <v>0</v>
      </c>
    </row>
    <row r="102" spans="2:5" x14ac:dyDescent="0.3">
      <c r="B102" s="4" t="s">
        <v>355</v>
      </c>
      <c r="C102" s="6">
        <v>2369142</v>
      </c>
      <c r="D102" s="6">
        <v>0</v>
      </c>
      <c r="E102" s="6">
        <v>0</v>
      </c>
    </row>
    <row r="103" spans="2:5" x14ac:dyDescent="0.3">
      <c r="B103" s="4" t="s">
        <v>356</v>
      </c>
      <c r="C103" s="6">
        <v>2604644</v>
      </c>
      <c r="D103" s="6">
        <v>0</v>
      </c>
      <c r="E103" s="6">
        <v>0</v>
      </c>
    </row>
    <row r="104" spans="2:5" x14ac:dyDescent="0.3">
      <c r="B104" s="4" t="s">
        <v>357</v>
      </c>
      <c r="C104" s="6">
        <v>2452697</v>
      </c>
      <c r="D104" s="6">
        <v>0</v>
      </c>
      <c r="E104" s="6">
        <v>0</v>
      </c>
    </row>
    <row r="105" spans="2:5" x14ac:dyDescent="0.3">
      <c r="B105" s="4" t="s">
        <v>358</v>
      </c>
      <c r="C105" s="6">
        <v>2819162</v>
      </c>
      <c r="D105" s="6">
        <v>0</v>
      </c>
      <c r="E105" s="6">
        <v>0</v>
      </c>
    </row>
    <row r="106" spans="2:5" x14ac:dyDescent="0.3">
      <c r="B106" s="4" t="s">
        <v>359</v>
      </c>
      <c r="C106" s="6">
        <v>2312229</v>
      </c>
      <c r="D106" s="6">
        <v>0</v>
      </c>
      <c r="E106" s="6">
        <v>0</v>
      </c>
    </row>
    <row r="107" spans="2:5" x14ac:dyDescent="0.3">
      <c r="B107" s="4" t="s">
        <v>360</v>
      </c>
      <c r="C107" s="6">
        <v>1727079</v>
      </c>
      <c r="D107" s="6">
        <v>0</v>
      </c>
      <c r="E107" s="6">
        <v>0</v>
      </c>
    </row>
    <row r="108" spans="2:5" x14ac:dyDescent="0.3">
      <c r="B108" s="4" t="s">
        <v>361</v>
      </c>
      <c r="C108" s="6">
        <v>1550713</v>
      </c>
      <c r="D108" s="6">
        <v>0</v>
      </c>
      <c r="E108" s="6">
        <v>0</v>
      </c>
    </row>
    <row r="109" spans="2:5" x14ac:dyDescent="0.3">
      <c r="B109" s="4" t="s">
        <v>362</v>
      </c>
      <c r="C109" s="6">
        <v>1917241</v>
      </c>
      <c r="D109" s="6">
        <v>0</v>
      </c>
      <c r="E109" s="6">
        <v>0</v>
      </c>
    </row>
    <row r="110" spans="2:5" x14ac:dyDescent="0.3">
      <c r="B110" s="4" t="s">
        <v>363</v>
      </c>
      <c r="C110" s="6">
        <v>1871145</v>
      </c>
      <c r="D110" s="6">
        <v>0</v>
      </c>
      <c r="E110" s="6">
        <v>0</v>
      </c>
    </row>
    <row r="111" spans="2:5" x14ac:dyDescent="0.3">
      <c r="B111" s="4" t="s">
        <v>364</v>
      </c>
      <c r="C111" s="6">
        <v>1706140</v>
      </c>
      <c r="D111" s="6">
        <v>0</v>
      </c>
      <c r="E111" s="6">
        <v>0</v>
      </c>
    </row>
    <row r="112" spans="2:5" x14ac:dyDescent="0.3">
      <c r="B112" s="4" t="s">
        <v>365</v>
      </c>
      <c r="C112" s="6">
        <v>6908299</v>
      </c>
      <c r="D112" s="6">
        <v>0</v>
      </c>
      <c r="E112" s="6">
        <v>0</v>
      </c>
    </row>
    <row r="113" spans="2:5" x14ac:dyDescent="0.3">
      <c r="B113" s="4" t="s">
        <v>366</v>
      </c>
      <c r="C113" s="6">
        <v>6848192</v>
      </c>
      <c r="D113" s="6">
        <v>0</v>
      </c>
      <c r="E113" s="6">
        <v>0</v>
      </c>
    </row>
    <row r="114" spans="2:5" x14ac:dyDescent="0.3">
      <c r="B114" s="4" t="s">
        <v>367</v>
      </c>
      <c r="C114" s="6">
        <v>7163984</v>
      </c>
      <c r="D114" s="6">
        <v>0</v>
      </c>
      <c r="E114" s="6">
        <v>0</v>
      </c>
    </row>
    <row r="115" spans="2:5" x14ac:dyDescent="0.3">
      <c r="B115" s="4" t="s">
        <v>368</v>
      </c>
      <c r="C115" s="6">
        <v>7178571</v>
      </c>
      <c r="D115" s="6">
        <v>0</v>
      </c>
      <c r="E115" s="6">
        <v>0</v>
      </c>
    </row>
    <row r="116" spans="2:5" x14ac:dyDescent="0.3">
      <c r="B116" s="4" t="s">
        <v>369</v>
      </c>
      <c r="C116" s="6">
        <v>7304792</v>
      </c>
      <c r="D116" s="6">
        <v>0</v>
      </c>
      <c r="E116" s="6">
        <v>0</v>
      </c>
    </row>
    <row r="117" spans="2:5" x14ac:dyDescent="0.3">
      <c r="B117" s="4" t="s">
        <v>370</v>
      </c>
      <c r="C117" s="6">
        <v>7127275</v>
      </c>
      <c r="D117" s="6">
        <v>0</v>
      </c>
      <c r="E117" s="6">
        <v>0</v>
      </c>
    </row>
    <row r="118" spans="2:5" x14ac:dyDescent="0.3">
      <c r="B118" s="4" t="s">
        <v>371</v>
      </c>
      <c r="C118" s="6">
        <v>7817731</v>
      </c>
      <c r="D118" s="6">
        <v>0</v>
      </c>
      <c r="E118" s="6">
        <v>0</v>
      </c>
    </row>
    <row r="119" spans="2:5" x14ac:dyDescent="0.3">
      <c r="B119" s="4" t="s">
        <v>372</v>
      </c>
      <c r="C119" s="6">
        <v>8023171</v>
      </c>
      <c r="D119" s="6">
        <v>0</v>
      </c>
      <c r="E119" s="6">
        <v>0</v>
      </c>
    </row>
    <row r="120" spans="2:5" x14ac:dyDescent="0.3">
      <c r="B120" s="4" t="s">
        <v>373</v>
      </c>
      <c r="C120" s="6">
        <v>8983722</v>
      </c>
      <c r="D120" s="6">
        <v>0</v>
      </c>
      <c r="E120" s="6">
        <v>0</v>
      </c>
    </row>
    <row r="121" spans="2:5" x14ac:dyDescent="0.3">
      <c r="B121" s="4" t="s">
        <v>374</v>
      </c>
      <c r="C121" s="6">
        <v>8758371</v>
      </c>
      <c r="D121" s="6">
        <v>0</v>
      </c>
      <c r="E121" s="6">
        <v>0</v>
      </c>
    </row>
    <row r="122" spans="2:5" x14ac:dyDescent="0.3">
      <c r="B122" s="4" t="s">
        <v>375</v>
      </c>
      <c r="C122" s="6">
        <v>8939618</v>
      </c>
      <c r="D122" s="6">
        <v>0</v>
      </c>
      <c r="E122" s="6">
        <v>0</v>
      </c>
    </row>
    <row r="123" spans="2:5" x14ac:dyDescent="0.3">
      <c r="B123" s="4" t="s">
        <v>376</v>
      </c>
      <c r="C123" s="6">
        <v>8832017</v>
      </c>
      <c r="D123" s="6">
        <v>0</v>
      </c>
      <c r="E123" s="6">
        <v>0</v>
      </c>
    </row>
    <row r="124" spans="2:5" x14ac:dyDescent="0.3">
      <c r="B124" s="4" t="s">
        <v>377</v>
      </c>
      <c r="C124" s="6">
        <v>8824505</v>
      </c>
      <c r="D124" s="6">
        <v>0</v>
      </c>
      <c r="E124" s="6">
        <v>0</v>
      </c>
    </row>
    <row r="125" spans="2:5" x14ac:dyDescent="0.3">
      <c r="B125" s="4" t="s">
        <v>378</v>
      </c>
      <c r="C125" s="6">
        <v>8697058</v>
      </c>
      <c r="D125" s="6">
        <v>0</v>
      </c>
      <c r="E125" s="6">
        <v>0</v>
      </c>
    </row>
    <row r="126" spans="2:5" x14ac:dyDescent="0.3">
      <c r="B126" s="4" t="s">
        <v>379</v>
      </c>
      <c r="C126" s="6">
        <v>8845547</v>
      </c>
      <c r="D126" s="6">
        <v>0</v>
      </c>
      <c r="E126" s="6">
        <v>0</v>
      </c>
    </row>
    <row r="127" spans="2:5" x14ac:dyDescent="0.3">
      <c r="B127" s="4" t="s">
        <v>380</v>
      </c>
      <c r="C127" s="6">
        <v>9168312</v>
      </c>
      <c r="D127" s="6">
        <v>0</v>
      </c>
      <c r="E127" s="6">
        <v>0</v>
      </c>
    </row>
    <row r="128" spans="2:5" x14ac:dyDescent="0.3">
      <c r="B128" s="4" t="s">
        <v>381</v>
      </c>
      <c r="C128" s="6">
        <v>8998308</v>
      </c>
      <c r="D128" s="6">
        <v>0</v>
      </c>
      <c r="E128" s="6">
        <v>0</v>
      </c>
    </row>
    <row r="129" spans="2:5" x14ac:dyDescent="0.3">
      <c r="B129" s="4" t="s">
        <v>382</v>
      </c>
      <c r="C129" s="6">
        <v>9276538</v>
      </c>
      <c r="D129" s="6">
        <v>0</v>
      </c>
      <c r="E129" s="6">
        <v>0</v>
      </c>
    </row>
    <row r="130" spans="2:5" x14ac:dyDescent="0.3">
      <c r="B130" s="4" t="s">
        <v>383</v>
      </c>
      <c r="C130" s="6">
        <v>9739269</v>
      </c>
      <c r="D130" s="6">
        <v>0</v>
      </c>
      <c r="E130" s="6">
        <v>0</v>
      </c>
    </row>
    <row r="131" spans="2:5" x14ac:dyDescent="0.3">
      <c r="B131" s="4" t="s">
        <v>384</v>
      </c>
      <c r="C131" s="6">
        <v>11582730</v>
      </c>
      <c r="D131" s="6">
        <v>0</v>
      </c>
      <c r="E131" s="6">
        <v>0</v>
      </c>
    </row>
    <row r="132" spans="2:5" x14ac:dyDescent="0.3">
      <c r="B132" s="4" t="s">
        <v>385</v>
      </c>
      <c r="C132" s="6">
        <v>10984395</v>
      </c>
      <c r="D132" s="6">
        <v>0</v>
      </c>
      <c r="E132" s="6">
        <v>0</v>
      </c>
    </row>
    <row r="133" spans="2:5" x14ac:dyDescent="0.3">
      <c r="B133" s="4" t="s">
        <v>386</v>
      </c>
      <c r="C133" s="6">
        <v>10195547</v>
      </c>
      <c r="D133" s="6">
        <v>0</v>
      </c>
      <c r="E133" s="6">
        <v>0</v>
      </c>
    </row>
    <row r="134" spans="2:5" x14ac:dyDescent="0.3">
      <c r="B134" s="4" t="s">
        <v>387</v>
      </c>
      <c r="C134" s="6">
        <v>10571618</v>
      </c>
      <c r="D134" s="6">
        <v>0</v>
      </c>
      <c r="E134" s="6">
        <v>0</v>
      </c>
    </row>
    <row r="135" spans="2:5" x14ac:dyDescent="0.3">
      <c r="B135" s="4" t="s">
        <v>388</v>
      </c>
      <c r="C135" s="6">
        <v>11046204</v>
      </c>
      <c r="D135" s="6">
        <v>0</v>
      </c>
      <c r="E135" s="6">
        <v>0</v>
      </c>
    </row>
    <row r="136" spans="2:5" x14ac:dyDescent="0.3">
      <c r="B136" s="4" t="s">
        <v>389</v>
      </c>
      <c r="C136" s="6">
        <v>10339780</v>
      </c>
      <c r="D136" s="6">
        <v>0</v>
      </c>
      <c r="E136" s="6">
        <v>0</v>
      </c>
    </row>
    <row r="137" spans="2:5" x14ac:dyDescent="0.3">
      <c r="B137" s="4" t="s">
        <v>390</v>
      </c>
      <c r="C137" s="6">
        <v>11630174</v>
      </c>
      <c r="D137" s="6">
        <v>0</v>
      </c>
      <c r="E137" s="6">
        <v>0</v>
      </c>
    </row>
    <row r="138" spans="2:5" x14ac:dyDescent="0.3">
      <c r="B138" s="4" t="s">
        <v>391</v>
      </c>
      <c r="C138" s="6">
        <v>13343930</v>
      </c>
      <c r="D138" s="6">
        <v>0</v>
      </c>
      <c r="E138" s="6">
        <v>0</v>
      </c>
    </row>
    <row r="139" spans="2:5" x14ac:dyDescent="0.3">
      <c r="B139" s="4" t="s">
        <v>392</v>
      </c>
      <c r="C139" s="6">
        <v>13612594</v>
      </c>
      <c r="D139" s="6">
        <v>0</v>
      </c>
      <c r="E139" s="6">
        <v>0</v>
      </c>
    </row>
    <row r="140" spans="2:5" x14ac:dyDescent="0.3">
      <c r="B140" s="4" t="s">
        <v>393</v>
      </c>
      <c r="C140" s="6">
        <v>13219941</v>
      </c>
      <c r="D140" s="6">
        <v>0</v>
      </c>
      <c r="E140" s="6">
        <v>0</v>
      </c>
    </row>
    <row r="141" spans="2:5" x14ac:dyDescent="0.3">
      <c r="B141" s="4" t="s">
        <v>394</v>
      </c>
      <c r="C141" s="6">
        <v>13715902</v>
      </c>
      <c r="D141" s="6">
        <v>0</v>
      </c>
      <c r="E141" s="6">
        <v>0</v>
      </c>
    </row>
    <row r="142" spans="2:5" x14ac:dyDescent="0.3">
      <c r="B142" s="4" t="s">
        <v>395</v>
      </c>
      <c r="C142" s="6">
        <v>14600775</v>
      </c>
      <c r="D142" s="6">
        <v>0</v>
      </c>
      <c r="E142" s="6">
        <v>0</v>
      </c>
    </row>
    <row r="143" spans="2:5" x14ac:dyDescent="0.3">
      <c r="B143" s="4" t="s">
        <v>396</v>
      </c>
      <c r="C143" s="6">
        <v>15797364</v>
      </c>
      <c r="D143" s="6">
        <v>0</v>
      </c>
      <c r="E143" s="6">
        <v>0</v>
      </c>
    </row>
    <row r="144" spans="2:5" x14ac:dyDescent="0.3">
      <c r="B144" s="4" t="s">
        <v>397</v>
      </c>
      <c r="C144" s="6">
        <v>20846431</v>
      </c>
      <c r="D144" s="6">
        <v>0</v>
      </c>
      <c r="E144" s="6">
        <v>0</v>
      </c>
    </row>
    <row r="145" spans="1:5" x14ac:dyDescent="0.3">
      <c r="B145" s="4" t="s">
        <v>398</v>
      </c>
      <c r="C145" s="6">
        <v>24685057</v>
      </c>
      <c r="D145" s="6">
        <v>0</v>
      </c>
      <c r="E145" s="6">
        <v>0</v>
      </c>
    </row>
    <row r="146" spans="1:5" x14ac:dyDescent="0.3">
      <c r="B146" s="4" t="s">
        <v>399</v>
      </c>
      <c r="C146" s="6">
        <v>29386938</v>
      </c>
      <c r="D146" s="6">
        <v>0</v>
      </c>
      <c r="E146" s="6">
        <v>0</v>
      </c>
    </row>
    <row r="147" spans="1:5" x14ac:dyDescent="0.3">
      <c r="B147" s="4" t="s">
        <v>400</v>
      </c>
      <c r="C147" s="6">
        <v>30312295</v>
      </c>
      <c r="D147" s="6">
        <v>0</v>
      </c>
      <c r="E147" s="6">
        <v>0</v>
      </c>
    </row>
    <row r="148" spans="1:5" x14ac:dyDescent="0.3">
      <c r="B148" s="4" t="s">
        <v>401</v>
      </c>
      <c r="C148" s="6">
        <v>28096734</v>
      </c>
      <c r="D148" s="6">
        <v>0</v>
      </c>
      <c r="E148" s="6">
        <v>0</v>
      </c>
    </row>
    <row r="149" spans="1:5" x14ac:dyDescent="0.3">
      <c r="B149" s="4" t="s">
        <v>402</v>
      </c>
      <c r="C149" s="6">
        <v>30291023</v>
      </c>
      <c r="D149" s="6">
        <v>0</v>
      </c>
      <c r="E149" s="6">
        <v>0</v>
      </c>
    </row>
    <row r="150" spans="1:5" x14ac:dyDescent="0.3">
      <c r="B150" s="4" t="s">
        <v>403</v>
      </c>
      <c r="C150" s="6">
        <v>31646081</v>
      </c>
      <c r="D150" s="6">
        <v>0</v>
      </c>
      <c r="E150" s="6">
        <v>0</v>
      </c>
    </row>
    <row r="151" spans="1:5" x14ac:dyDescent="0.3">
      <c r="B151" s="4" t="s">
        <v>404</v>
      </c>
      <c r="C151" s="6">
        <v>40972890</v>
      </c>
      <c r="D151" s="6">
        <v>0</v>
      </c>
      <c r="E151" s="6">
        <v>0</v>
      </c>
    </row>
    <row r="152" spans="1:5" x14ac:dyDescent="0.3">
      <c r="B152" s="4" t="s">
        <v>405</v>
      </c>
      <c r="C152" s="6">
        <v>41765822</v>
      </c>
      <c r="D152" s="6">
        <v>0</v>
      </c>
      <c r="E152" s="6">
        <v>0</v>
      </c>
    </row>
    <row r="153" spans="1:5" x14ac:dyDescent="0.3">
      <c r="B153" s="4" t="s">
        <v>406</v>
      </c>
      <c r="C153" s="6">
        <v>43007119</v>
      </c>
      <c r="D153" s="6">
        <v>0</v>
      </c>
      <c r="E153" s="6">
        <v>0</v>
      </c>
    </row>
    <row r="154" spans="1:5" x14ac:dyDescent="0.3">
      <c r="B154" s="4" t="s">
        <v>407</v>
      </c>
      <c r="C154" s="6">
        <v>44371099</v>
      </c>
      <c r="D154" s="6">
        <v>0</v>
      </c>
      <c r="E154" s="6">
        <v>0</v>
      </c>
    </row>
    <row r="155" spans="1:5" x14ac:dyDescent="0.3">
      <c r="B155" s="4" t="s">
        <v>408</v>
      </c>
      <c r="C155" s="6">
        <v>48578456</v>
      </c>
      <c r="D155" s="6">
        <v>0</v>
      </c>
      <c r="E155" s="6">
        <v>0</v>
      </c>
    </row>
    <row r="156" spans="1:5" x14ac:dyDescent="0.3">
      <c r="B156" s="4" t="s">
        <v>409</v>
      </c>
      <c r="C156" s="6">
        <v>45320142</v>
      </c>
      <c r="D156" s="6">
        <v>0</v>
      </c>
      <c r="E156" s="6">
        <v>0</v>
      </c>
    </row>
    <row r="157" spans="1:5" x14ac:dyDescent="0.3">
      <c r="A157" t="s">
        <v>40</v>
      </c>
      <c r="C157" s="6">
        <v>153599388.4821918</v>
      </c>
      <c r="D157" s="6">
        <v>0</v>
      </c>
      <c r="E157" s="6">
        <v>1802105.4246575343</v>
      </c>
    </row>
    <row r="158" spans="1:5" x14ac:dyDescent="0.3">
      <c r="B158" s="4" t="s">
        <v>44</v>
      </c>
      <c r="C158" s="6">
        <v>48518175</v>
      </c>
      <c r="D158" s="6">
        <v>0</v>
      </c>
      <c r="E158" s="6">
        <v>0</v>
      </c>
    </row>
    <row r="159" spans="1:5" x14ac:dyDescent="0.3">
      <c r="B159" s="4" t="s">
        <v>45</v>
      </c>
      <c r="C159" s="6">
        <v>50815621</v>
      </c>
      <c r="D159" s="6">
        <v>0</v>
      </c>
      <c r="E159" s="6">
        <v>0</v>
      </c>
    </row>
    <row r="160" spans="1:5" x14ac:dyDescent="0.3">
      <c r="B160" s="4" t="s">
        <v>46</v>
      </c>
      <c r="C160" s="6">
        <v>56942145</v>
      </c>
      <c r="D160" s="6">
        <v>0</v>
      </c>
      <c r="E160" s="6">
        <v>0</v>
      </c>
    </row>
    <row r="161" spans="2:5" x14ac:dyDescent="0.3">
      <c r="B161" s="4" t="s">
        <v>47</v>
      </c>
      <c r="C161" s="6">
        <v>63044139</v>
      </c>
      <c r="D161" s="6">
        <v>0</v>
      </c>
      <c r="E161" s="6">
        <v>0</v>
      </c>
    </row>
    <row r="162" spans="2:5" x14ac:dyDescent="0.3">
      <c r="B162" s="4" t="s">
        <v>48</v>
      </c>
      <c r="C162" s="6">
        <v>71301491</v>
      </c>
      <c r="D162" s="6">
        <v>0</v>
      </c>
      <c r="E162" s="6">
        <v>0</v>
      </c>
    </row>
    <row r="163" spans="2:5" x14ac:dyDescent="0.3">
      <c r="B163" s="4" t="s">
        <v>49</v>
      </c>
      <c r="C163" s="6">
        <v>73542908</v>
      </c>
      <c r="D163" s="6">
        <v>0</v>
      </c>
      <c r="E163" s="6">
        <v>0</v>
      </c>
    </row>
    <row r="164" spans="2:5" x14ac:dyDescent="0.3">
      <c r="B164" s="4" t="s">
        <v>50</v>
      </c>
      <c r="C164" s="6">
        <v>78593372</v>
      </c>
      <c r="D164" s="6">
        <v>0</v>
      </c>
      <c r="E164" s="6">
        <v>0</v>
      </c>
    </row>
    <row r="165" spans="2:5" x14ac:dyDescent="0.3">
      <c r="B165" s="4" t="s">
        <v>51</v>
      </c>
      <c r="C165" s="6">
        <v>87758898</v>
      </c>
      <c r="D165" s="6">
        <v>0</v>
      </c>
      <c r="E165" s="6">
        <v>0</v>
      </c>
    </row>
    <row r="166" spans="2:5" x14ac:dyDescent="0.3">
      <c r="B166" s="4" t="s">
        <v>52</v>
      </c>
      <c r="C166" s="6">
        <v>89677700</v>
      </c>
      <c r="D166" s="6">
        <v>0</v>
      </c>
      <c r="E166" s="6">
        <v>0</v>
      </c>
    </row>
    <row r="167" spans="2:5" x14ac:dyDescent="0.3">
      <c r="B167" s="4" t="s">
        <v>53</v>
      </c>
      <c r="C167" s="6">
        <v>103410300</v>
      </c>
      <c r="D167" s="6">
        <v>0</v>
      </c>
      <c r="E167" s="6">
        <v>0</v>
      </c>
    </row>
    <row r="168" spans="2:5" x14ac:dyDescent="0.3">
      <c r="B168" s="4" t="s">
        <v>54</v>
      </c>
      <c r="C168" s="6">
        <v>95293222</v>
      </c>
      <c r="D168" s="6">
        <v>0</v>
      </c>
      <c r="E168" s="6">
        <v>0</v>
      </c>
    </row>
    <row r="169" spans="2:5" x14ac:dyDescent="0.3">
      <c r="B169" s="4" t="s">
        <v>55</v>
      </c>
      <c r="C169" s="6">
        <v>88712830</v>
      </c>
      <c r="D169" s="6">
        <v>0</v>
      </c>
      <c r="E169" s="6">
        <v>0</v>
      </c>
    </row>
    <row r="170" spans="2:5" x14ac:dyDescent="0.3">
      <c r="B170" s="4" t="s">
        <v>56</v>
      </c>
      <c r="C170" s="6">
        <v>98858837</v>
      </c>
      <c r="D170" s="6">
        <v>0</v>
      </c>
      <c r="E170" s="6">
        <v>0</v>
      </c>
    </row>
    <row r="171" spans="2:5" x14ac:dyDescent="0.3">
      <c r="B171" s="4" t="s">
        <v>57</v>
      </c>
      <c r="C171" s="6">
        <v>103374935</v>
      </c>
      <c r="D171" s="6">
        <v>0</v>
      </c>
      <c r="E171" s="6">
        <v>0</v>
      </c>
    </row>
    <row r="172" spans="2:5" x14ac:dyDescent="0.3">
      <c r="B172" s="4" t="s">
        <v>58</v>
      </c>
      <c r="C172" s="6">
        <v>99806389</v>
      </c>
      <c r="D172" s="6">
        <v>0</v>
      </c>
      <c r="E172" s="6">
        <v>0</v>
      </c>
    </row>
    <row r="173" spans="2:5" x14ac:dyDescent="0.3">
      <c r="B173" s="4" t="s">
        <v>59</v>
      </c>
      <c r="C173" s="6">
        <v>88219997</v>
      </c>
      <c r="D173" s="6">
        <v>0</v>
      </c>
      <c r="E173" s="6">
        <v>0</v>
      </c>
    </row>
    <row r="174" spans="2:5" x14ac:dyDescent="0.3">
      <c r="B174" s="4" t="s">
        <v>60</v>
      </c>
      <c r="C174" s="6">
        <v>71399412</v>
      </c>
      <c r="D174" s="6">
        <v>0</v>
      </c>
      <c r="E174" s="6">
        <v>0</v>
      </c>
    </row>
    <row r="175" spans="2:5" x14ac:dyDescent="0.3">
      <c r="B175" s="4" t="s">
        <v>61</v>
      </c>
      <c r="C175" s="6">
        <v>74326033</v>
      </c>
      <c r="D175" s="6">
        <v>0</v>
      </c>
      <c r="E175" s="6">
        <v>0</v>
      </c>
    </row>
    <row r="176" spans="2:5" x14ac:dyDescent="0.3">
      <c r="B176" s="4" t="s">
        <v>62</v>
      </c>
      <c r="C176" s="6">
        <v>75238286</v>
      </c>
      <c r="D176" s="6">
        <v>0</v>
      </c>
      <c r="E176" s="6">
        <v>0</v>
      </c>
    </row>
    <row r="177" spans="2:5" x14ac:dyDescent="0.3">
      <c r="B177" s="4" t="s">
        <v>63</v>
      </c>
      <c r="C177" s="6">
        <v>78054938</v>
      </c>
      <c r="D177" s="6">
        <v>0</v>
      </c>
      <c r="E177" s="6">
        <v>0</v>
      </c>
    </row>
    <row r="178" spans="2:5" x14ac:dyDescent="0.3">
      <c r="B178" s="4" t="s">
        <v>64</v>
      </c>
      <c r="C178" s="6">
        <v>85638433</v>
      </c>
      <c r="D178" s="6">
        <v>0</v>
      </c>
      <c r="E178" s="6">
        <v>0</v>
      </c>
    </row>
    <row r="179" spans="2:5" x14ac:dyDescent="0.3">
      <c r="B179" s="4" t="s">
        <v>65</v>
      </c>
      <c r="C179" s="6">
        <v>77716764</v>
      </c>
      <c r="D179" s="6">
        <v>0</v>
      </c>
      <c r="E179" s="6">
        <v>0</v>
      </c>
    </row>
    <row r="180" spans="2:5" x14ac:dyDescent="0.3">
      <c r="B180" s="4" t="s">
        <v>66</v>
      </c>
      <c r="C180" s="6">
        <v>75026171</v>
      </c>
      <c r="D180" s="6">
        <v>0</v>
      </c>
      <c r="E180" s="6">
        <v>0</v>
      </c>
    </row>
    <row r="181" spans="2:5" x14ac:dyDescent="0.3">
      <c r="B181" s="4" t="s">
        <v>67</v>
      </c>
      <c r="C181" s="6">
        <v>75850735</v>
      </c>
      <c r="D181" s="6">
        <v>0</v>
      </c>
      <c r="E181" s="6">
        <v>0</v>
      </c>
    </row>
    <row r="182" spans="2:5" x14ac:dyDescent="0.3">
      <c r="B182" s="4" t="s">
        <v>68</v>
      </c>
      <c r="C182" s="6">
        <v>80973666</v>
      </c>
      <c r="D182" s="6">
        <v>0</v>
      </c>
      <c r="E182" s="6">
        <v>0</v>
      </c>
    </row>
    <row r="183" spans="2:5" x14ac:dyDescent="0.3">
      <c r="B183" s="4" t="s">
        <v>69</v>
      </c>
      <c r="C183" s="6">
        <v>79242602</v>
      </c>
      <c r="D183" s="6">
        <v>0</v>
      </c>
      <c r="E183" s="6">
        <v>0</v>
      </c>
    </row>
    <row r="184" spans="2:5" x14ac:dyDescent="0.3">
      <c r="B184" s="4" t="s">
        <v>70</v>
      </c>
      <c r="C184" s="6">
        <v>78831535</v>
      </c>
      <c r="D184" s="6">
        <v>0</v>
      </c>
      <c r="E184" s="6">
        <v>0</v>
      </c>
    </row>
    <row r="185" spans="2:5" x14ac:dyDescent="0.3">
      <c r="B185" s="4" t="s">
        <v>71</v>
      </c>
      <c r="C185" s="6">
        <v>82983347</v>
      </c>
      <c r="D185" s="6">
        <v>0</v>
      </c>
      <c r="E185" s="6">
        <v>0</v>
      </c>
    </row>
    <row r="186" spans="2:5" x14ac:dyDescent="0.3">
      <c r="B186" s="4" t="s">
        <v>72</v>
      </c>
      <c r="C186" s="6">
        <v>89232298</v>
      </c>
      <c r="D186" s="6">
        <v>0</v>
      </c>
      <c r="E186" s="6">
        <v>0</v>
      </c>
    </row>
    <row r="187" spans="2:5" x14ac:dyDescent="0.3">
      <c r="B187" s="4" t="s">
        <v>73</v>
      </c>
      <c r="C187" s="6">
        <v>83475721</v>
      </c>
      <c r="D187" s="6">
        <v>0</v>
      </c>
      <c r="E187" s="6">
        <v>0</v>
      </c>
    </row>
    <row r="188" spans="2:5" x14ac:dyDescent="0.3">
      <c r="B188" s="4" t="s">
        <v>74</v>
      </c>
      <c r="C188" s="6">
        <v>77008937</v>
      </c>
      <c r="D188" s="6">
        <v>0</v>
      </c>
      <c r="E188" s="6">
        <v>0</v>
      </c>
    </row>
    <row r="189" spans="2:5" x14ac:dyDescent="0.3">
      <c r="B189" s="4" t="s">
        <v>75</v>
      </c>
      <c r="C189" s="6">
        <v>78328314</v>
      </c>
      <c r="D189" s="6">
        <v>0</v>
      </c>
      <c r="E189" s="6">
        <v>0</v>
      </c>
    </row>
    <row r="190" spans="2:5" x14ac:dyDescent="0.3">
      <c r="B190" s="4" t="s">
        <v>76</v>
      </c>
      <c r="C190" s="6">
        <v>72945655</v>
      </c>
      <c r="D190" s="6">
        <v>0</v>
      </c>
      <c r="E190" s="6">
        <v>0</v>
      </c>
    </row>
    <row r="191" spans="2:5" x14ac:dyDescent="0.3">
      <c r="B191" s="4" t="s">
        <v>77</v>
      </c>
      <c r="C191" s="6">
        <v>68896116</v>
      </c>
      <c r="D191" s="6">
        <v>0</v>
      </c>
      <c r="E191" s="6">
        <v>0</v>
      </c>
    </row>
    <row r="192" spans="2:5" x14ac:dyDescent="0.3">
      <c r="B192" s="4" t="s">
        <v>78</v>
      </c>
      <c r="C192" s="6">
        <v>71789512</v>
      </c>
      <c r="D192" s="6">
        <v>0</v>
      </c>
      <c r="E192" s="6">
        <v>0</v>
      </c>
    </row>
    <row r="193" spans="2:5" x14ac:dyDescent="0.3">
      <c r="B193" s="4" t="s">
        <v>79</v>
      </c>
      <c r="C193" s="6">
        <v>61988724</v>
      </c>
      <c r="D193" s="6">
        <v>0</v>
      </c>
      <c r="E193" s="6">
        <v>0</v>
      </c>
    </row>
    <row r="194" spans="2:5" x14ac:dyDescent="0.3">
      <c r="B194" s="4" t="s">
        <v>80</v>
      </c>
      <c r="C194" s="6">
        <v>57176760</v>
      </c>
      <c r="D194" s="6">
        <v>0</v>
      </c>
      <c r="E194" s="6">
        <v>0</v>
      </c>
    </row>
    <row r="195" spans="2:5" x14ac:dyDescent="0.3">
      <c r="B195" s="4" t="s">
        <v>81</v>
      </c>
      <c r="C195" s="6">
        <v>65971481</v>
      </c>
      <c r="D195" s="6">
        <v>0</v>
      </c>
      <c r="E195" s="6">
        <v>0</v>
      </c>
    </row>
    <row r="196" spans="2:5" x14ac:dyDescent="0.3">
      <c r="B196" s="4" t="s">
        <v>82</v>
      </c>
      <c r="C196" s="6">
        <v>65300967</v>
      </c>
      <c r="D196" s="6">
        <v>0</v>
      </c>
      <c r="E196" s="6">
        <v>0</v>
      </c>
    </row>
    <row r="197" spans="2:5" x14ac:dyDescent="0.3">
      <c r="B197" s="4" t="s">
        <v>83</v>
      </c>
      <c r="C197" s="6">
        <v>70451708</v>
      </c>
      <c r="D197" s="6">
        <v>0</v>
      </c>
      <c r="E197" s="6">
        <v>0</v>
      </c>
    </row>
    <row r="198" spans="2:5" x14ac:dyDescent="0.3">
      <c r="B198" s="4" t="s">
        <v>84</v>
      </c>
      <c r="C198" s="6">
        <v>82222365</v>
      </c>
      <c r="D198" s="6">
        <v>0</v>
      </c>
      <c r="E198" s="6">
        <v>0</v>
      </c>
    </row>
    <row r="199" spans="2:5" x14ac:dyDescent="0.3">
      <c r="B199" s="4" t="s">
        <v>85</v>
      </c>
      <c r="C199" s="6">
        <v>79665163</v>
      </c>
      <c r="D199" s="6">
        <v>0</v>
      </c>
      <c r="E199" s="6">
        <v>0</v>
      </c>
    </row>
    <row r="200" spans="2:5" x14ac:dyDescent="0.3">
      <c r="B200" s="4" t="s">
        <v>86</v>
      </c>
      <c r="C200" s="6">
        <v>77833965</v>
      </c>
      <c r="D200" s="6">
        <v>0</v>
      </c>
      <c r="E200" s="6">
        <v>0</v>
      </c>
    </row>
    <row r="201" spans="2:5" x14ac:dyDescent="0.3">
      <c r="B201" s="4" t="s">
        <v>87</v>
      </c>
      <c r="C201" s="6">
        <v>82064851</v>
      </c>
      <c r="D201" s="6">
        <v>0</v>
      </c>
      <c r="E201" s="6">
        <v>0</v>
      </c>
    </row>
    <row r="202" spans="2:5" x14ac:dyDescent="0.3">
      <c r="B202" s="4" t="s">
        <v>88</v>
      </c>
      <c r="C202" s="6">
        <v>82113672</v>
      </c>
      <c r="D202" s="6">
        <v>0</v>
      </c>
      <c r="E202" s="6">
        <v>0</v>
      </c>
    </row>
    <row r="203" spans="2:5" x14ac:dyDescent="0.3">
      <c r="B203" s="4" t="s">
        <v>89</v>
      </c>
      <c r="C203" s="6">
        <v>90268949</v>
      </c>
      <c r="D203" s="6">
        <v>0</v>
      </c>
      <c r="E203" s="6">
        <v>0</v>
      </c>
    </row>
    <row r="204" spans="2:5" x14ac:dyDescent="0.3">
      <c r="B204" s="4" t="s">
        <v>90</v>
      </c>
      <c r="C204" s="6">
        <v>96519516</v>
      </c>
      <c r="D204" s="6">
        <v>0</v>
      </c>
      <c r="E204" s="6">
        <v>0</v>
      </c>
    </row>
    <row r="205" spans="2:5" x14ac:dyDescent="0.3">
      <c r="B205" s="4" t="s">
        <v>91</v>
      </c>
      <c r="C205" s="6">
        <v>98604963</v>
      </c>
      <c r="D205" s="6">
        <v>0</v>
      </c>
      <c r="E205" s="6">
        <v>0</v>
      </c>
    </row>
    <row r="206" spans="2:5" x14ac:dyDescent="0.3">
      <c r="B206" s="4" t="s">
        <v>92</v>
      </c>
      <c r="C206" s="6">
        <v>102220287</v>
      </c>
      <c r="D206" s="6">
        <v>0</v>
      </c>
      <c r="E206" s="6">
        <v>0</v>
      </c>
    </row>
    <row r="207" spans="2:5" x14ac:dyDescent="0.3">
      <c r="B207" s="4" t="s">
        <v>93</v>
      </c>
      <c r="C207" s="6">
        <v>97714894</v>
      </c>
      <c r="D207" s="6">
        <v>0</v>
      </c>
      <c r="E207" s="6">
        <v>0</v>
      </c>
    </row>
    <row r="208" spans="2:5" x14ac:dyDescent="0.3">
      <c r="B208" s="4" t="s">
        <v>94</v>
      </c>
      <c r="C208" s="6">
        <v>99891414</v>
      </c>
      <c r="D208" s="6">
        <v>0</v>
      </c>
      <c r="E208" s="6">
        <v>0</v>
      </c>
    </row>
    <row r="209" spans="2:5" x14ac:dyDescent="0.3">
      <c r="B209" s="4" t="s">
        <v>95</v>
      </c>
      <c r="C209" s="6">
        <v>93045466</v>
      </c>
      <c r="D209" s="6">
        <v>0</v>
      </c>
      <c r="E209" s="6">
        <v>0</v>
      </c>
    </row>
    <row r="210" spans="2:5" x14ac:dyDescent="0.3">
      <c r="B210" s="4" t="s">
        <v>96</v>
      </c>
      <c r="C210" s="6">
        <v>88301085</v>
      </c>
      <c r="D210" s="6">
        <v>0</v>
      </c>
      <c r="E210" s="6">
        <v>0</v>
      </c>
    </row>
    <row r="211" spans="2:5" x14ac:dyDescent="0.3">
      <c r="B211" s="4" t="s">
        <v>97</v>
      </c>
      <c r="C211" s="6">
        <v>85610279</v>
      </c>
      <c r="D211" s="6">
        <v>0</v>
      </c>
      <c r="E211" s="6">
        <v>0</v>
      </c>
    </row>
    <row r="212" spans="2:5" x14ac:dyDescent="0.3">
      <c r="B212" s="4" t="s">
        <v>98</v>
      </c>
      <c r="C212" s="6">
        <v>90910790</v>
      </c>
      <c r="D212" s="6">
        <v>0</v>
      </c>
      <c r="E212" s="6">
        <v>0</v>
      </c>
    </row>
    <row r="213" spans="2:5" x14ac:dyDescent="0.3">
      <c r="B213" s="4" t="s">
        <v>99</v>
      </c>
      <c r="C213" s="6">
        <v>89373648</v>
      </c>
      <c r="D213" s="6">
        <v>0</v>
      </c>
      <c r="E213" s="6">
        <v>0</v>
      </c>
    </row>
    <row r="214" spans="2:5" x14ac:dyDescent="0.3">
      <c r="B214" s="4" t="s">
        <v>100</v>
      </c>
      <c r="C214" s="6">
        <v>92536272</v>
      </c>
      <c r="D214" s="6">
        <v>0</v>
      </c>
      <c r="E214" s="6">
        <v>0</v>
      </c>
    </row>
    <row r="215" spans="2:5" x14ac:dyDescent="0.3">
      <c r="B215" s="4" t="s">
        <v>101</v>
      </c>
      <c r="C215" s="6">
        <v>98691300</v>
      </c>
      <c r="D215" s="6">
        <v>0</v>
      </c>
      <c r="E215" s="6">
        <v>0</v>
      </c>
    </row>
    <row r="216" spans="2:5" x14ac:dyDescent="0.3">
      <c r="B216" s="4" t="s">
        <v>102</v>
      </c>
      <c r="C216" s="6">
        <v>99825253</v>
      </c>
      <c r="D216" s="6">
        <v>0</v>
      </c>
      <c r="E216" s="6">
        <v>0</v>
      </c>
    </row>
    <row r="217" spans="2:5" x14ac:dyDescent="0.3">
      <c r="B217" s="4" t="s">
        <v>104</v>
      </c>
      <c r="C217" s="6">
        <v>98820460</v>
      </c>
      <c r="D217" s="6">
        <v>0</v>
      </c>
      <c r="E217" s="6">
        <v>0</v>
      </c>
    </row>
    <row r="218" spans="2:5" x14ac:dyDescent="0.3">
      <c r="B218" s="4" t="s">
        <v>105</v>
      </c>
      <c r="C218" s="6">
        <v>103545997</v>
      </c>
      <c r="D218" s="6">
        <v>0</v>
      </c>
      <c r="E218" s="6">
        <v>0</v>
      </c>
    </row>
    <row r="219" spans="2:5" x14ac:dyDescent="0.3">
      <c r="B219" s="4" t="s">
        <v>106</v>
      </c>
      <c r="C219" s="6">
        <v>103379499</v>
      </c>
      <c r="D219" s="6">
        <v>0</v>
      </c>
      <c r="E219" s="6">
        <v>0</v>
      </c>
    </row>
    <row r="220" spans="2:5" x14ac:dyDescent="0.3">
      <c r="B220" s="4" t="s">
        <v>107</v>
      </c>
      <c r="C220" s="6">
        <v>102696576</v>
      </c>
      <c r="D220" s="6">
        <v>0</v>
      </c>
      <c r="E220" s="6">
        <v>0</v>
      </c>
    </row>
    <row r="221" spans="2:5" x14ac:dyDescent="0.3">
      <c r="B221" s="4" t="s">
        <v>108</v>
      </c>
      <c r="C221" s="6">
        <v>104005391</v>
      </c>
      <c r="D221" s="6">
        <v>0</v>
      </c>
      <c r="E221" s="6">
        <v>0</v>
      </c>
    </row>
    <row r="222" spans="2:5" x14ac:dyDescent="0.3">
      <c r="B222" s="4" t="s">
        <v>109</v>
      </c>
      <c r="C222" s="6">
        <v>100856136</v>
      </c>
      <c r="D222" s="6">
        <v>0</v>
      </c>
      <c r="E222" s="6">
        <v>0</v>
      </c>
    </row>
    <row r="223" spans="2:5" x14ac:dyDescent="0.3">
      <c r="B223" s="4" t="s">
        <v>110</v>
      </c>
      <c r="C223" s="6">
        <v>96154942</v>
      </c>
      <c r="D223" s="6">
        <v>0</v>
      </c>
      <c r="E223" s="6">
        <v>0</v>
      </c>
    </row>
    <row r="224" spans="2:5" x14ac:dyDescent="0.3">
      <c r="B224" s="4" t="s">
        <v>111</v>
      </c>
      <c r="C224" s="6">
        <v>89827949</v>
      </c>
      <c r="D224" s="6">
        <v>0</v>
      </c>
      <c r="E224" s="6">
        <v>0</v>
      </c>
    </row>
    <row r="225" spans="2:5" x14ac:dyDescent="0.3">
      <c r="B225" s="4" t="s">
        <v>112</v>
      </c>
      <c r="C225" s="6">
        <v>83526322</v>
      </c>
      <c r="D225" s="6">
        <v>0</v>
      </c>
      <c r="E225" s="6">
        <v>0</v>
      </c>
    </row>
    <row r="226" spans="2:5" x14ac:dyDescent="0.3">
      <c r="B226" s="4" t="s">
        <v>113</v>
      </c>
      <c r="C226" s="6">
        <v>85325813</v>
      </c>
      <c r="D226" s="6">
        <v>0</v>
      </c>
      <c r="E226" s="6">
        <v>0</v>
      </c>
    </row>
    <row r="227" spans="2:5" x14ac:dyDescent="0.3">
      <c r="B227" s="4" t="s">
        <v>114</v>
      </c>
      <c r="C227" s="6">
        <v>82163637</v>
      </c>
      <c r="D227" s="6">
        <v>0</v>
      </c>
      <c r="E227" s="6">
        <v>0</v>
      </c>
    </row>
    <row r="228" spans="2:5" x14ac:dyDescent="0.3">
      <c r="B228" s="4" t="s">
        <v>115</v>
      </c>
      <c r="C228" s="6">
        <v>85584130</v>
      </c>
      <c r="D228" s="6">
        <v>0</v>
      </c>
      <c r="E228" s="6">
        <v>0</v>
      </c>
    </row>
    <row r="229" spans="2:5" x14ac:dyDescent="0.3">
      <c r="B229" s="4" t="s">
        <v>116</v>
      </c>
      <c r="C229" s="6">
        <v>83466548</v>
      </c>
      <c r="D229" s="6">
        <v>0</v>
      </c>
      <c r="E229" s="6">
        <v>0</v>
      </c>
    </row>
    <row r="230" spans="2:5" x14ac:dyDescent="0.3">
      <c r="B230" s="4" t="s">
        <v>117</v>
      </c>
      <c r="C230" s="6">
        <v>81671089</v>
      </c>
      <c r="D230" s="6">
        <v>0</v>
      </c>
      <c r="E230" s="6">
        <v>0</v>
      </c>
    </row>
    <row r="231" spans="2:5" x14ac:dyDescent="0.3">
      <c r="B231" s="4" t="s">
        <v>118</v>
      </c>
      <c r="C231" s="6">
        <v>76177207</v>
      </c>
      <c r="D231" s="6">
        <v>0</v>
      </c>
      <c r="E231" s="6">
        <v>0</v>
      </c>
    </row>
    <row r="232" spans="2:5" x14ac:dyDescent="0.3">
      <c r="B232" s="4" t="s">
        <v>119</v>
      </c>
      <c r="C232" s="6">
        <v>77954914</v>
      </c>
      <c r="D232" s="6">
        <v>0</v>
      </c>
      <c r="E232" s="6">
        <v>0</v>
      </c>
    </row>
    <row r="233" spans="2:5" x14ac:dyDescent="0.3">
      <c r="B233" s="4" t="s">
        <v>120</v>
      </c>
      <c r="C233" s="6">
        <v>77939406</v>
      </c>
      <c r="D233" s="6">
        <v>0</v>
      </c>
      <c r="E233" s="6">
        <v>0</v>
      </c>
    </row>
    <row r="234" spans="2:5" x14ac:dyDescent="0.3">
      <c r="B234" s="4" t="s">
        <v>121</v>
      </c>
      <c r="C234" s="6">
        <v>72706836</v>
      </c>
      <c r="D234" s="6">
        <v>0</v>
      </c>
      <c r="E234" s="6">
        <v>0</v>
      </c>
    </row>
    <row r="235" spans="2:5" x14ac:dyDescent="0.3">
      <c r="B235" s="4" t="s">
        <v>122</v>
      </c>
      <c r="C235" s="6">
        <v>69588405</v>
      </c>
      <c r="D235" s="6">
        <v>0</v>
      </c>
      <c r="E235" s="6">
        <v>0</v>
      </c>
    </row>
    <row r="236" spans="2:5" x14ac:dyDescent="0.3">
      <c r="B236" s="4" t="s">
        <v>123</v>
      </c>
      <c r="C236" s="6">
        <v>74687687</v>
      </c>
      <c r="D236" s="6">
        <v>0</v>
      </c>
      <c r="E236" s="6">
        <v>0</v>
      </c>
    </row>
    <row r="237" spans="2:5" x14ac:dyDescent="0.3">
      <c r="B237" s="4" t="s">
        <v>124</v>
      </c>
      <c r="C237" s="6">
        <v>75110273</v>
      </c>
      <c r="D237" s="6">
        <v>0</v>
      </c>
      <c r="E237" s="6">
        <v>0</v>
      </c>
    </row>
    <row r="238" spans="2:5" x14ac:dyDescent="0.3">
      <c r="B238" s="4" t="s">
        <v>125</v>
      </c>
      <c r="C238" s="6">
        <v>76202390</v>
      </c>
      <c r="D238" s="6">
        <v>0</v>
      </c>
      <c r="E238" s="6">
        <v>0</v>
      </c>
    </row>
    <row r="239" spans="2:5" x14ac:dyDescent="0.3">
      <c r="B239" s="4" t="s">
        <v>126</v>
      </c>
      <c r="C239" s="6">
        <v>74375836</v>
      </c>
      <c r="D239" s="6">
        <v>0</v>
      </c>
      <c r="E239" s="6">
        <v>0</v>
      </c>
    </row>
    <row r="240" spans="2:5" x14ac:dyDescent="0.3">
      <c r="B240" s="4" t="s">
        <v>127</v>
      </c>
      <c r="C240" s="6">
        <v>74822899</v>
      </c>
      <c r="D240" s="6">
        <v>0</v>
      </c>
      <c r="E240" s="6">
        <v>0</v>
      </c>
    </row>
    <row r="241" spans="2:5" x14ac:dyDescent="0.3">
      <c r="B241" s="4" t="s">
        <v>128</v>
      </c>
      <c r="C241" s="6">
        <v>72123558</v>
      </c>
      <c r="D241" s="6">
        <v>0</v>
      </c>
      <c r="E241" s="6">
        <v>0</v>
      </c>
    </row>
    <row r="242" spans="2:5" x14ac:dyDescent="0.3">
      <c r="B242" s="4" t="s">
        <v>129</v>
      </c>
      <c r="C242" s="6">
        <v>72197504</v>
      </c>
      <c r="D242" s="6">
        <v>0</v>
      </c>
      <c r="E242" s="6">
        <v>0</v>
      </c>
    </row>
    <row r="243" spans="2:5" x14ac:dyDescent="0.3">
      <c r="B243" s="4" t="s">
        <v>130</v>
      </c>
      <c r="C243" s="6">
        <v>67563427</v>
      </c>
      <c r="D243" s="6">
        <v>0</v>
      </c>
      <c r="E243" s="6">
        <v>0</v>
      </c>
    </row>
    <row r="244" spans="2:5" x14ac:dyDescent="0.3">
      <c r="B244" s="4" t="s">
        <v>131</v>
      </c>
      <c r="C244" s="6">
        <v>64699277</v>
      </c>
      <c r="D244" s="6">
        <v>0</v>
      </c>
      <c r="E244" s="6">
        <v>0</v>
      </c>
    </row>
    <row r="245" spans="2:5" x14ac:dyDescent="0.3">
      <c r="B245" s="4" t="s">
        <v>132</v>
      </c>
      <c r="C245" s="6">
        <v>64534583</v>
      </c>
      <c r="D245" s="6">
        <v>0</v>
      </c>
      <c r="E245" s="6">
        <v>0</v>
      </c>
    </row>
    <row r="246" spans="2:5" x14ac:dyDescent="0.3">
      <c r="B246" s="4" t="s">
        <v>133</v>
      </c>
      <c r="C246" s="6">
        <v>60454750</v>
      </c>
      <c r="D246" s="6">
        <v>0</v>
      </c>
      <c r="E246" s="6">
        <v>0</v>
      </c>
    </row>
    <row r="247" spans="2:5" x14ac:dyDescent="0.3">
      <c r="B247" s="4" t="s">
        <v>134</v>
      </c>
      <c r="C247" s="6">
        <v>67573072</v>
      </c>
      <c r="D247" s="6">
        <v>0</v>
      </c>
      <c r="E247" s="6">
        <v>0</v>
      </c>
    </row>
    <row r="248" spans="2:5" x14ac:dyDescent="0.3">
      <c r="B248" s="4" t="s">
        <v>135</v>
      </c>
      <c r="C248" s="6">
        <v>66446158</v>
      </c>
      <c r="D248" s="6">
        <v>0</v>
      </c>
      <c r="E248" s="6">
        <v>0</v>
      </c>
    </row>
    <row r="249" spans="2:5" x14ac:dyDescent="0.3">
      <c r="B249" s="4" t="s">
        <v>136</v>
      </c>
      <c r="C249" s="6">
        <v>65404640</v>
      </c>
      <c r="D249" s="6">
        <v>0</v>
      </c>
      <c r="E249" s="6">
        <v>0</v>
      </c>
    </row>
    <row r="250" spans="2:5" x14ac:dyDescent="0.3">
      <c r="B250" s="4" t="s">
        <v>137</v>
      </c>
      <c r="C250" s="6">
        <v>68179506</v>
      </c>
      <c r="D250" s="6">
        <v>0</v>
      </c>
      <c r="E250" s="6">
        <v>0</v>
      </c>
    </row>
    <row r="251" spans="2:5" x14ac:dyDescent="0.3">
      <c r="B251" s="4" t="s">
        <v>138</v>
      </c>
      <c r="C251" s="6">
        <v>72630318</v>
      </c>
      <c r="D251" s="6">
        <v>0</v>
      </c>
      <c r="E251" s="6">
        <v>0</v>
      </c>
    </row>
    <row r="252" spans="2:5" x14ac:dyDescent="0.3">
      <c r="B252" s="4" t="s">
        <v>139</v>
      </c>
      <c r="C252" s="6">
        <v>69024749</v>
      </c>
      <c r="D252" s="6">
        <v>0</v>
      </c>
      <c r="E252" s="6">
        <v>0</v>
      </c>
    </row>
    <row r="253" spans="2:5" x14ac:dyDescent="0.3">
      <c r="B253" s="4" t="s">
        <v>140</v>
      </c>
      <c r="C253" s="6">
        <v>70107146</v>
      </c>
      <c r="D253" s="6">
        <v>0</v>
      </c>
      <c r="E253" s="6">
        <v>0</v>
      </c>
    </row>
    <row r="254" spans="2:5" x14ac:dyDescent="0.3">
      <c r="B254" s="4" t="s">
        <v>141</v>
      </c>
      <c r="C254" s="6">
        <v>68881346</v>
      </c>
      <c r="D254" s="6">
        <v>0</v>
      </c>
      <c r="E254" s="6">
        <v>0</v>
      </c>
    </row>
    <row r="255" spans="2:5" x14ac:dyDescent="0.3">
      <c r="B255" s="4" t="s">
        <v>142</v>
      </c>
      <c r="C255" s="6">
        <v>71698905</v>
      </c>
      <c r="D255" s="6">
        <v>0</v>
      </c>
      <c r="E255" s="6">
        <v>0</v>
      </c>
    </row>
    <row r="256" spans="2:5" x14ac:dyDescent="0.3">
      <c r="B256" s="4" t="s">
        <v>143</v>
      </c>
      <c r="C256" s="6">
        <v>74549899</v>
      </c>
      <c r="D256" s="6">
        <v>0</v>
      </c>
      <c r="E256" s="6">
        <v>0</v>
      </c>
    </row>
    <row r="257" spans="2:5" x14ac:dyDescent="0.3">
      <c r="B257" s="4" t="s">
        <v>144</v>
      </c>
      <c r="C257" s="6">
        <v>75411934</v>
      </c>
      <c r="D257" s="6">
        <v>0</v>
      </c>
      <c r="E257" s="6">
        <v>0</v>
      </c>
    </row>
    <row r="258" spans="2:5" x14ac:dyDescent="0.3">
      <c r="B258" s="4" t="s">
        <v>145</v>
      </c>
      <c r="C258" s="6">
        <v>79684901</v>
      </c>
      <c r="D258" s="6">
        <v>0</v>
      </c>
      <c r="E258" s="6">
        <v>0</v>
      </c>
    </row>
    <row r="259" spans="2:5" x14ac:dyDescent="0.3">
      <c r="B259" s="4" t="s">
        <v>146</v>
      </c>
      <c r="C259" s="6">
        <v>85994827</v>
      </c>
      <c r="D259" s="6">
        <v>0</v>
      </c>
      <c r="E259" s="6">
        <v>0</v>
      </c>
    </row>
    <row r="260" spans="2:5" x14ac:dyDescent="0.3">
      <c r="B260" s="4" t="s">
        <v>147</v>
      </c>
      <c r="C260" s="6">
        <v>101142114</v>
      </c>
      <c r="D260" s="6">
        <v>0</v>
      </c>
      <c r="E260" s="6">
        <v>0</v>
      </c>
    </row>
    <row r="261" spans="2:5" x14ac:dyDescent="0.3">
      <c r="B261" s="4" t="s">
        <v>148</v>
      </c>
      <c r="C261" s="6">
        <v>102124287</v>
      </c>
      <c r="D261" s="6">
        <v>0</v>
      </c>
      <c r="E261" s="6">
        <v>0</v>
      </c>
    </row>
    <row r="262" spans="2:5" x14ac:dyDescent="0.3">
      <c r="B262" s="4" t="s">
        <v>149</v>
      </c>
      <c r="C262" s="6">
        <v>104559325</v>
      </c>
      <c r="D262" s="6">
        <v>0</v>
      </c>
      <c r="E262" s="6">
        <v>0</v>
      </c>
    </row>
    <row r="263" spans="2:5" x14ac:dyDescent="0.3">
      <c r="B263" s="4" t="s">
        <v>150</v>
      </c>
      <c r="C263" s="6">
        <v>109596066</v>
      </c>
      <c r="D263" s="6">
        <v>0</v>
      </c>
      <c r="E263" s="6">
        <v>0</v>
      </c>
    </row>
    <row r="264" spans="2:5" x14ac:dyDescent="0.3">
      <c r="B264" s="4" t="s">
        <v>151</v>
      </c>
      <c r="C264" s="6">
        <v>106490164</v>
      </c>
      <c r="D264" s="6">
        <v>0</v>
      </c>
      <c r="E264" s="6">
        <v>0</v>
      </c>
    </row>
    <row r="265" spans="2:5" x14ac:dyDescent="0.3">
      <c r="B265" s="4" t="s">
        <v>152</v>
      </c>
      <c r="C265" s="6">
        <v>106473264</v>
      </c>
      <c r="D265" s="6">
        <v>0</v>
      </c>
      <c r="E265" s="6">
        <v>0</v>
      </c>
    </row>
    <row r="266" spans="2:5" x14ac:dyDescent="0.3">
      <c r="B266" s="4" t="s">
        <v>153</v>
      </c>
      <c r="C266" s="6">
        <v>113028841</v>
      </c>
      <c r="D266" s="6">
        <v>0</v>
      </c>
      <c r="E266" s="6">
        <v>0</v>
      </c>
    </row>
    <row r="267" spans="2:5" x14ac:dyDescent="0.3">
      <c r="B267" s="4" t="s">
        <v>154</v>
      </c>
      <c r="C267" s="6">
        <v>123097085</v>
      </c>
      <c r="D267" s="6">
        <v>0</v>
      </c>
      <c r="E267" s="6">
        <v>0</v>
      </c>
    </row>
    <row r="268" spans="2:5" x14ac:dyDescent="0.3">
      <c r="B268" s="4" t="s">
        <v>155</v>
      </c>
      <c r="C268" s="6">
        <v>133184099</v>
      </c>
      <c r="D268" s="6">
        <v>0</v>
      </c>
      <c r="E268" s="6">
        <v>0</v>
      </c>
    </row>
    <row r="269" spans="2:5" x14ac:dyDescent="0.3">
      <c r="B269" s="4" t="s">
        <v>156</v>
      </c>
      <c r="C269" s="6">
        <v>130767036</v>
      </c>
      <c r="D269" s="6">
        <v>0</v>
      </c>
      <c r="E269" s="6">
        <v>0</v>
      </c>
    </row>
    <row r="270" spans="2:5" x14ac:dyDescent="0.3">
      <c r="B270" s="4" t="s">
        <v>157</v>
      </c>
      <c r="C270" s="6">
        <v>134757182</v>
      </c>
      <c r="D270" s="6">
        <v>0</v>
      </c>
      <c r="E270" s="6">
        <v>0</v>
      </c>
    </row>
    <row r="271" spans="2:5" x14ac:dyDescent="0.3">
      <c r="B271" s="4" t="s">
        <v>158</v>
      </c>
      <c r="C271" s="6">
        <v>142534136</v>
      </c>
      <c r="D271" s="6">
        <v>0</v>
      </c>
      <c r="E271" s="6">
        <v>0</v>
      </c>
    </row>
    <row r="272" spans="2:5" x14ac:dyDescent="0.3">
      <c r="B272" s="4" t="s">
        <v>159</v>
      </c>
      <c r="C272" s="6">
        <v>152877574</v>
      </c>
      <c r="D272" s="6">
        <v>0</v>
      </c>
      <c r="E272" s="6">
        <v>0</v>
      </c>
    </row>
    <row r="273" spans="2:5" x14ac:dyDescent="0.3">
      <c r="B273" s="4" t="s">
        <v>160</v>
      </c>
      <c r="C273" s="6">
        <v>140011691</v>
      </c>
      <c r="D273" s="6">
        <v>0</v>
      </c>
      <c r="E273" s="6">
        <v>0</v>
      </c>
    </row>
    <row r="274" spans="2:5" x14ac:dyDescent="0.3">
      <c r="B274" s="4" t="s">
        <v>161</v>
      </c>
      <c r="C274" s="6">
        <v>149241031</v>
      </c>
      <c r="D274" s="6">
        <v>0</v>
      </c>
      <c r="E274" s="6">
        <v>0</v>
      </c>
    </row>
    <row r="275" spans="2:5" x14ac:dyDescent="0.3">
      <c r="B275" s="4" t="s">
        <v>162</v>
      </c>
      <c r="C275" s="6">
        <v>152781395</v>
      </c>
      <c r="D275" s="6">
        <v>0</v>
      </c>
      <c r="E275" s="6">
        <v>0</v>
      </c>
    </row>
    <row r="276" spans="2:5" x14ac:dyDescent="0.3">
      <c r="B276" s="4" t="s">
        <v>163</v>
      </c>
      <c r="C276" s="6">
        <v>163311364</v>
      </c>
      <c r="D276" s="6">
        <v>0</v>
      </c>
      <c r="E276" s="6">
        <v>0</v>
      </c>
    </row>
    <row r="277" spans="2:5" x14ac:dyDescent="0.3">
      <c r="B277" s="4" t="s">
        <v>164</v>
      </c>
      <c r="C277" s="6">
        <v>163161811</v>
      </c>
      <c r="D277" s="6">
        <v>0</v>
      </c>
      <c r="E277" s="6">
        <v>0</v>
      </c>
    </row>
    <row r="278" spans="2:5" x14ac:dyDescent="0.3">
      <c r="B278" s="4" t="s">
        <v>165</v>
      </c>
      <c r="C278" s="6">
        <v>156692266</v>
      </c>
      <c r="D278" s="6">
        <v>0</v>
      </c>
      <c r="E278" s="6">
        <v>0</v>
      </c>
    </row>
    <row r="279" spans="2:5" x14ac:dyDescent="0.3">
      <c r="B279" s="4" t="s">
        <v>166</v>
      </c>
      <c r="C279" s="6">
        <v>157696272</v>
      </c>
      <c r="D279" s="6">
        <v>0</v>
      </c>
      <c r="E279" s="6">
        <v>0</v>
      </c>
    </row>
    <row r="280" spans="2:5" x14ac:dyDescent="0.3">
      <c r="B280" s="4" t="s">
        <v>167</v>
      </c>
      <c r="C280" s="6">
        <v>162812040</v>
      </c>
      <c r="D280" s="6">
        <v>0</v>
      </c>
      <c r="E280" s="6">
        <v>0</v>
      </c>
    </row>
    <row r="281" spans="2:5" x14ac:dyDescent="0.3">
      <c r="B281" s="4" t="s">
        <v>168</v>
      </c>
      <c r="C281" s="6">
        <v>178900895</v>
      </c>
      <c r="D281" s="6">
        <v>0</v>
      </c>
      <c r="E281" s="6">
        <v>0</v>
      </c>
    </row>
    <row r="282" spans="2:5" x14ac:dyDescent="0.3">
      <c r="B282" s="4" t="s">
        <v>169</v>
      </c>
      <c r="C282" s="6">
        <v>180360136</v>
      </c>
      <c r="D282" s="6">
        <v>0</v>
      </c>
      <c r="E282" s="6">
        <v>0</v>
      </c>
    </row>
    <row r="283" spans="2:5" x14ac:dyDescent="0.3">
      <c r="B283" s="4" t="s">
        <v>170</v>
      </c>
      <c r="C283" s="6">
        <v>186855019</v>
      </c>
      <c r="D283" s="6">
        <v>0</v>
      </c>
      <c r="E283" s="6">
        <v>0</v>
      </c>
    </row>
    <row r="284" spans="2:5" x14ac:dyDescent="0.3">
      <c r="B284" s="4" t="s">
        <v>171</v>
      </c>
      <c r="C284" s="6">
        <v>180996674</v>
      </c>
      <c r="D284" s="6">
        <v>0</v>
      </c>
      <c r="E284" s="6">
        <v>0</v>
      </c>
    </row>
    <row r="285" spans="2:5" x14ac:dyDescent="0.3">
      <c r="B285" s="4" t="s">
        <v>172</v>
      </c>
      <c r="C285" s="6">
        <v>174224263</v>
      </c>
      <c r="D285" s="6">
        <v>0</v>
      </c>
      <c r="E285" s="6">
        <v>0</v>
      </c>
    </row>
    <row r="286" spans="2:5" x14ac:dyDescent="0.3">
      <c r="B286" s="4" t="s">
        <v>173</v>
      </c>
      <c r="C286" s="6">
        <v>176495675</v>
      </c>
      <c r="D286" s="6">
        <v>0</v>
      </c>
      <c r="E286" s="6">
        <v>0</v>
      </c>
    </row>
    <row r="287" spans="2:5" x14ac:dyDescent="0.3">
      <c r="B287" s="4" t="s">
        <v>174</v>
      </c>
      <c r="C287" s="6">
        <v>176948323</v>
      </c>
      <c r="D287" s="6">
        <v>0</v>
      </c>
      <c r="E287" s="6">
        <v>0</v>
      </c>
    </row>
    <row r="288" spans="2:5" x14ac:dyDescent="0.3">
      <c r="B288" s="4" t="s">
        <v>175</v>
      </c>
      <c r="C288" s="6">
        <v>172153067</v>
      </c>
      <c r="D288" s="6">
        <v>0</v>
      </c>
      <c r="E288" s="6">
        <v>0</v>
      </c>
    </row>
    <row r="289" spans="2:5" x14ac:dyDescent="0.3">
      <c r="B289" s="4" t="s">
        <v>176</v>
      </c>
      <c r="C289" s="6">
        <v>163087860</v>
      </c>
      <c r="D289" s="6">
        <v>0</v>
      </c>
      <c r="E289" s="6">
        <v>0</v>
      </c>
    </row>
    <row r="290" spans="2:5" x14ac:dyDescent="0.3">
      <c r="B290" s="4" t="s">
        <v>177</v>
      </c>
      <c r="C290" s="6">
        <v>165517449</v>
      </c>
      <c r="D290" s="6">
        <v>0</v>
      </c>
      <c r="E290" s="6">
        <v>0</v>
      </c>
    </row>
    <row r="291" spans="2:5" x14ac:dyDescent="0.3">
      <c r="B291" s="4" t="s">
        <v>178</v>
      </c>
      <c r="C291" s="6">
        <v>177209232</v>
      </c>
      <c r="D291" s="6">
        <v>0</v>
      </c>
      <c r="E291" s="6">
        <v>0</v>
      </c>
    </row>
    <row r="292" spans="2:5" x14ac:dyDescent="0.3">
      <c r="B292" s="4" t="s">
        <v>179</v>
      </c>
      <c r="C292" s="6">
        <v>176716559</v>
      </c>
      <c r="D292" s="6">
        <v>0</v>
      </c>
      <c r="E292" s="6">
        <v>0</v>
      </c>
    </row>
    <row r="293" spans="2:5" x14ac:dyDescent="0.3">
      <c r="B293" s="4" t="s">
        <v>180</v>
      </c>
      <c r="C293" s="6">
        <v>171567791</v>
      </c>
      <c r="D293" s="6">
        <v>0</v>
      </c>
      <c r="E293" s="6">
        <v>0</v>
      </c>
    </row>
    <row r="294" spans="2:5" x14ac:dyDescent="0.3">
      <c r="B294" s="4" t="s">
        <v>181</v>
      </c>
      <c r="C294" s="6">
        <v>172654087</v>
      </c>
      <c r="D294" s="6">
        <v>0</v>
      </c>
      <c r="E294" s="6">
        <v>0</v>
      </c>
    </row>
    <row r="295" spans="2:5" x14ac:dyDescent="0.3">
      <c r="B295" s="4" t="s">
        <v>182</v>
      </c>
      <c r="C295" s="6">
        <v>165801316</v>
      </c>
      <c r="D295" s="6">
        <v>0</v>
      </c>
      <c r="E295" s="6">
        <v>0</v>
      </c>
    </row>
    <row r="296" spans="2:5" x14ac:dyDescent="0.3">
      <c r="B296" s="4" t="s">
        <v>183</v>
      </c>
      <c r="C296" s="6">
        <v>172424873</v>
      </c>
      <c r="D296" s="6">
        <v>0</v>
      </c>
      <c r="E296" s="6">
        <v>0</v>
      </c>
    </row>
    <row r="297" spans="2:5" x14ac:dyDescent="0.3">
      <c r="B297" s="4" t="s">
        <v>184</v>
      </c>
      <c r="C297" s="6">
        <v>174593522</v>
      </c>
      <c r="D297" s="6">
        <v>0</v>
      </c>
      <c r="E297" s="6">
        <v>0</v>
      </c>
    </row>
    <row r="298" spans="2:5" x14ac:dyDescent="0.3">
      <c r="B298" s="4" t="s">
        <v>185</v>
      </c>
      <c r="C298" s="6">
        <v>178318713</v>
      </c>
      <c r="D298" s="6">
        <v>0</v>
      </c>
      <c r="E298" s="6">
        <v>0</v>
      </c>
    </row>
    <row r="299" spans="2:5" x14ac:dyDescent="0.3">
      <c r="B299" s="4" t="s">
        <v>186</v>
      </c>
      <c r="C299" s="6">
        <v>172713587</v>
      </c>
      <c r="D299" s="6">
        <v>0</v>
      </c>
      <c r="E299" s="6">
        <v>0</v>
      </c>
    </row>
    <row r="300" spans="2:5" x14ac:dyDescent="0.3">
      <c r="B300" s="4" t="s">
        <v>187</v>
      </c>
      <c r="C300" s="6">
        <v>159396651</v>
      </c>
      <c r="D300" s="6">
        <v>0</v>
      </c>
      <c r="E300" s="6">
        <v>0</v>
      </c>
    </row>
    <row r="301" spans="2:5" x14ac:dyDescent="0.3">
      <c r="B301" s="4" t="s">
        <v>188</v>
      </c>
      <c r="C301" s="6">
        <v>141856366</v>
      </c>
      <c r="D301" s="6">
        <v>0</v>
      </c>
      <c r="E301" s="6">
        <v>0</v>
      </c>
    </row>
    <row r="302" spans="2:5" x14ac:dyDescent="0.3">
      <c r="B302" s="4" t="s">
        <v>189</v>
      </c>
      <c r="C302" s="6">
        <v>149066738</v>
      </c>
      <c r="D302" s="6">
        <v>0</v>
      </c>
      <c r="E302" s="6">
        <v>0</v>
      </c>
    </row>
    <row r="303" spans="2:5" x14ac:dyDescent="0.3">
      <c r="B303" s="4" t="s">
        <v>190</v>
      </c>
      <c r="C303" s="6">
        <v>145703377</v>
      </c>
      <c r="D303" s="6">
        <v>0</v>
      </c>
      <c r="E303" s="6">
        <v>0</v>
      </c>
    </row>
    <row r="304" spans="2:5" x14ac:dyDescent="0.3">
      <c r="B304" s="4" t="s">
        <v>191</v>
      </c>
      <c r="C304" s="6">
        <v>146378643</v>
      </c>
      <c r="D304" s="6">
        <v>0</v>
      </c>
      <c r="E304" s="6">
        <v>0</v>
      </c>
    </row>
    <row r="305" spans="2:5" x14ac:dyDescent="0.3">
      <c r="B305" s="4" t="s">
        <v>192</v>
      </c>
      <c r="C305" s="6">
        <v>143366445</v>
      </c>
      <c r="D305" s="6">
        <v>0</v>
      </c>
      <c r="E305" s="6">
        <v>0</v>
      </c>
    </row>
    <row r="306" spans="2:5" x14ac:dyDescent="0.3">
      <c r="B306" s="4" t="s">
        <v>193</v>
      </c>
      <c r="C306" s="6">
        <v>134721771</v>
      </c>
      <c r="D306" s="6">
        <v>0</v>
      </c>
      <c r="E306" s="6">
        <v>0</v>
      </c>
    </row>
    <row r="307" spans="2:5" x14ac:dyDescent="0.3">
      <c r="B307" s="4" t="s">
        <v>194</v>
      </c>
      <c r="C307" s="6">
        <v>155577525</v>
      </c>
      <c r="D307" s="6">
        <v>0</v>
      </c>
      <c r="E307" s="6">
        <v>0</v>
      </c>
    </row>
    <row r="308" spans="2:5" x14ac:dyDescent="0.3">
      <c r="B308" s="4" t="s">
        <v>195</v>
      </c>
      <c r="C308" s="6">
        <v>153590379</v>
      </c>
      <c r="D308" s="6">
        <v>0</v>
      </c>
      <c r="E308" s="6">
        <v>0</v>
      </c>
    </row>
    <row r="309" spans="2:5" x14ac:dyDescent="0.3">
      <c r="B309" s="4" t="s">
        <v>196</v>
      </c>
      <c r="C309" s="6">
        <v>160486751</v>
      </c>
      <c r="D309" s="6">
        <v>0</v>
      </c>
      <c r="E309" s="6">
        <v>0</v>
      </c>
    </row>
    <row r="310" spans="2:5" x14ac:dyDescent="0.3">
      <c r="B310" s="4" t="s">
        <v>197</v>
      </c>
      <c r="C310" s="6">
        <v>161289757</v>
      </c>
      <c r="D310" s="6">
        <v>0</v>
      </c>
      <c r="E310" s="6">
        <v>0</v>
      </c>
    </row>
    <row r="311" spans="2:5" x14ac:dyDescent="0.3">
      <c r="B311" s="4" t="s">
        <v>198</v>
      </c>
      <c r="C311" s="6">
        <v>165106770</v>
      </c>
      <c r="D311" s="6">
        <v>0</v>
      </c>
      <c r="E311" s="6">
        <v>0</v>
      </c>
    </row>
    <row r="312" spans="2:5" x14ac:dyDescent="0.3">
      <c r="B312" s="4" t="s">
        <v>199</v>
      </c>
      <c r="C312" s="6">
        <v>172141386</v>
      </c>
      <c r="D312" s="6">
        <v>0</v>
      </c>
      <c r="E312" s="6">
        <v>0</v>
      </c>
    </row>
    <row r="313" spans="2:5" x14ac:dyDescent="0.3">
      <c r="B313" s="4" t="s">
        <v>200</v>
      </c>
      <c r="C313" s="6">
        <v>165564313</v>
      </c>
      <c r="D313" s="6">
        <v>0</v>
      </c>
      <c r="E313" s="6">
        <v>0</v>
      </c>
    </row>
    <row r="314" spans="2:5" x14ac:dyDescent="0.3">
      <c r="B314" s="4" t="s">
        <v>201</v>
      </c>
      <c r="C314" s="6">
        <v>170668400</v>
      </c>
      <c r="D314" s="6">
        <v>0</v>
      </c>
      <c r="E314" s="6">
        <v>0</v>
      </c>
    </row>
    <row r="315" spans="2:5" x14ac:dyDescent="0.3">
      <c r="B315" s="4" t="s">
        <v>202</v>
      </c>
      <c r="C315" s="6">
        <v>170954358</v>
      </c>
      <c r="D315" s="6">
        <v>0</v>
      </c>
      <c r="E315" s="6">
        <v>0</v>
      </c>
    </row>
    <row r="316" spans="2:5" x14ac:dyDescent="0.3">
      <c r="B316" s="4" t="s">
        <v>203</v>
      </c>
      <c r="C316" s="6">
        <v>170572303</v>
      </c>
      <c r="D316" s="6">
        <v>0</v>
      </c>
      <c r="E316" s="6">
        <v>0</v>
      </c>
    </row>
    <row r="317" spans="2:5" x14ac:dyDescent="0.3">
      <c r="B317" s="4" t="s">
        <v>204</v>
      </c>
      <c r="C317" s="6">
        <v>168541466</v>
      </c>
      <c r="D317" s="6">
        <v>0</v>
      </c>
      <c r="E317" s="6">
        <v>0</v>
      </c>
    </row>
    <row r="318" spans="2:5" x14ac:dyDescent="0.3">
      <c r="B318" s="4" t="s">
        <v>205</v>
      </c>
      <c r="C318" s="6">
        <v>164785463</v>
      </c>
      <c r="D318" s="6">
        <v>0</v>
      </c>
      <c r="E318" s="6">
        <v>0</v>
      </c>
    </row>
    <row r="319" spans="2:5" x14ac:dyDescent="0.3">
      <c r="B319" s="4" t="s">
        <v>206</v>
      </c>
      <c r="C319" s="6">
        <v>147222751</v>
      </c>
      <c r="D319" s="6">
        <v>0</v>
      </c>
      <c r="E319" s="6">
        <v>0</v>
      </c>
    </row>
    <row r="320" spans="2:5" x14ac:dyDescent="0.3">
      <c r="B320" s="4" t="s">
        <v>207</v>
      </c>
      <c r="C320" s="6">
        <v>154199817</v>
      </c>
      <c r="D320" s="6">
        <v>0</v>
      </c>
      <c r="E320" s="6">
        <v>0</v>
      </c>
    </row>
    <row r="321" spans="2:5" x14ac:dyDescent="0.3">
      <c r="B321" s="4" t="s">
        <v>208</v>
      </c>
      <c r="C321" s="6">
        <v>145404054</v>
      </c>
      <c r="D321" s="6">
        <v>0</v>
      </c>
      <c r="E321" s="6">
        <v>0</v>
      </c>
    </row>
    <row r="322" spans="2:5" x14ac:dyDescent="0.3">
      <c r="B322" s="4" t="s">
        <v>209</v>
      </c>
      <c r="C322" s="6">
        <v>143859403</v>
      </c>
      <c r="D322" s="6">
        <v>0</v>
      </c>
      <c r="E322" s="6">
        <v>0</v>
      </c>
    </row>
    <row r="323" spans="2:5" x14ac:dyDescent="0.3">
      <c r="B323" s="4" t="s">
        <v>210</v>
      </c>
      <c r="C323" s="6">
        <v>154973225</v>
      </c>
      <c r="D323" s="6">
        <v>0</v>
      </c>
      <c r="E323" s="6">
        <v>0</v>
      </c>
    </row>
    <row r="324" spans="2:5" x14ac:dyDescent="0.3">
      <c r="B324" s="4" t="s">
        <v>211</v>
      </c>
      <c r="C324" s="6">
        <v>146701753</v>
      </c>
      <c r="D324" s="6">
        <v>0</v>
      </c>
      <c r="E324" s="6">
        <v>0</v>
      </c>
    </row>
    <row r="325" spans="2:5" x14ac:dyDescent="0.3">
      <c r="B325" s="4" t="s">
        <v>212</v>
      </c>
      <c r="C325" s="6">
        <v>149123768</v>
      </c>
      <c r="D325" s="6">
        <v>0</v>
      </c>
      <c r="E325" s="6">
        <v>0</v>
      </c>
    </row>
    <row r="326" spans="2:5" x14ac:dyDescent="0.3">
      <c r="B326" s="4" t="s">
        <v>213</v>
      </c>
      <c r="C326" s="6">
        <v>148708599</v>
      </c>
      <c r="D326" s="6">
        <v>0</v>
      </c>
      <c r="E326" s="6">
        <v>0</v>
      </c>
    </row>
    <row r="327" spans="2:5" x14ac:dyDescent="0.3">
      <c r="B327" s="4" t="s">
        <v>214</v>
      </c>
      <c r="C327" s="6">
        <v>154271507</v>
      </c>
      <c r="D327" s="6">
        <v>0</v>
      </c>
      <c r="E327" s="6">
        <v>0</v>
      </c>
    </row>
    <row r="328" spans="2:5" x14ac:dyDescent="0.3">
      <c r="B328" s="4" t="s">
        <v>215</v>
      </c>
      <c r="C328" s="6">
        <v>159855247</v>
      </c>
      <c r="D328" s="6">
        <v>0</v>
      </c>
      <c r="E328" s="6">
        <v>0</v>
      </c>
    </row>
    <row r="329" spans="2:5" x14ac:dyDescent="0.3">
      <c r="B329" s="4" t="s">
        <v>216</v>
      </c>
      <c r="C329" s="6">
        <v>160513659</v>
      </c>
      <c r="D329" s="6">
        <v>0</v>
      </c>
      <c r="E329" s="6">
        <v>0</v>
      </c>
    </row>
    <row r="330" spans="2:5" x14ac:dyDescent="0.3">
      <c r="B330" s="4" t="s">
        <v>217</v>
      </c>
      <c r="C330" s="6">
        <v>155782164</v>
      </c>
      <c r="D330" s="6">
        <v>0</v>
      </c>
      <c r="E330" s="6">
        <v>0</v>
      </c>
    </row>
    <row r="331" spans="2:5" x14ac:dyDescent="0.3">
      <c r="B331" s="4" t="s">
        <v>218</v>
      </c>
      <c r="C331" s="6">
        <v>140079561</v>
      </c>
      <c r="D331" s="6">
        <v>0</v>
      </c>
      <c r="E331" s="6">
        <v>0</v>
      </c>
    </row>
    <row r="332" spans="2:5" x14ac:dyDescent="0.3">
      <c r="B332" s="4" t="s">
        <v>219</v>
      </c>
      <c r="C332" s="6">
        <v>142552371</v>
      </c>
      <c r="D332" s="6">
        <v>0</v>
      </c>
      <c r="E332" s="6">
        <v>0</v>
      </c>
    </row>
    <row r="333" spans="2:5" x14ac:dyDescent="0.3">
      <c r="B333" s="4" t="s">
        <v>220</v>
      </c>
      <c r="C333" s="6">
        <v>156839697</v>
      </c>
      <c r="D333" s="6">
        <v>0</v>
      </c>
      <c r="E333" s="6">
        <v>0</v>
      </c>
    </row>
    <row r="334" spans="2:5" x14ac:dyDescent="0.3">
      <c r="B334" s="4" t="s">
        <v>221</v>
      </c>
      <c r="C334" s="6">
        <v>156738044</v>
      </c>
      <c r="D334" s="6">
        <v>0</v>
      </c>
      <c r="E334" s="6">
        <v>0</v>
      </c>
    </row>
    <row r="335" spans="2:5" x14ac:dyDescent="0.3">
      <c r="B335" s="4" t="s">
        <v>222</v>
      </c>
      <c r="C335" s="6">
        <v>148676936</v>
      </c>
      <c r="D335" s="6">
        <v>0</v>
      </c>
      <c r="E335" s="6">
        <v>0</v>
      </c>
    </row>
    <row r="336" spans="2:5" x14ac:dyDescent="0.3">
      <c r="B336" s="4" t="s">
        <v>223</v>
      </c>
      <c r="C336" s="6">
        <v>152731150</v>
      </c>
      <c r="D336" s="6">
        <v>0</v>
      </c>
      <c r="E336" s="6">
        <v>0</v>
      </c>
    </row>
    <row r="337" spans="2:5" x14ac:dyDescent="0.3">
      <c r="B337" s="4" t="s">
        <v>224</v>
      </c>
      <c r="C337" s="6">
        <v>151404933</v>
      </c>
      <c r="D337" s="6">
        <v>0</v>
      </c>
      <c r="E337" s="6">
        <v>0</v>
      </c>
    </row>
    <row r="338" spans="2:5" x14ac:dyDescent="0.3">
      <c r="B338" s="4" t="s">
        <v>225</v>
      </c>
      <c r="C338" s="6">
        <v>181331022</v>
      </c>
      <c r="D338" s="6">
        <v>0</v>
      </c>
      <c r="E338" s="6">
        <v>0</v>
      </c>
    </row>
    <row r="339" spans="2:5" x14ac:dyDescent="0.3">
      <c r="B339" s="4" t="s">
        <v>226</v>
      </c>
      <c r="C339" s="6">
        <v>189629827</v>
      </c>
      <c r="D339" s="6">
        <v>0</v>
      </c>
      <c r="E339" s="6">
        <v>0</v>
      </c>
    </row>
    <row r="340" spans="2:5" x14ac:dyDescent="0.3">
      <c r="B340" s="4" t="s">
        <v>227</v>
      </c>
      <c r="C340" s="6">
        <v>192261833</v>
      </c>
      <c r="D340" s="6">
        <v>0</v>
      </c>
      <c r="E340" s="6">
        <v>0</v>
      </c>
    </row>
    <row r="341" spans="2:5" x14ac:dyDescent="0.3">
      <c r="B341" s="4" t="s">
        <v>228</v>
      </c>
      <c r="C341" s="6">
        <v>206330008</v>
      </c>
      <c r="D341" s="6">
        <v>0</v>
      </c>
      <c r="E341" s="6">
        <v>0</v>
      </c>
    </row>
    <row r="342" spans="2:5" x14ac:dyDescent="0.3">
      <c r="B342" s="4" t="s">
        <v>229</v>
      </c>
      <c r="C342" s="6">
        <v>201199595</v>
      </c>
      <c r="D342" s="6">
        <v>0</v>
      </c>
      <c r="E342" s="6">
        <v>0</v>
      </c>
    </row>
    <row r="343" spans="2:5" x14ac:dyDescent="0.3">
      <c r="B343" s="4" t="s">
        <v>230</v>
      </c>
      <c r="C343" s="6">
        <v>201148116</v>
      </c>
      <c r="D343" s="6">
        <v>0</v>
      </c>
      <c r="E343" s="6">
        <v>0</v>
      </c>
    </row>
    <row r="344" spans="2:5" x14ac:dyDescent="0.3">
      <c r="B344" s="4" t="s">
        <v>231</v>
      </c>
      <c r="C344" s="6">
        <v>199678657</v>
      </c>
      <c r="D344" s="6">
        <v>0</v>
      </c>
      <c r="E344" s="6">
        <v>0</v>
      </c>
    </row>
    <row r="345" spans="2:5" x14ac:dyDescent="0.3">
      <c r="B345" s="4" t="s">
        <v>232</v>
      </c>
      <c r="C345" s="6">
        <v>200200600</v>
      </c>
      <c r="D345" s="6">
        <v>0</v>
      </c>
      <c r="E345" s="6">
        <v>0</v>
      </c>
    </row>
    <row r="346" spans="2:5" x14ac:dyDescent="0.3">
      <c r="B346" s="4" t="s">
        <v>233</v>
      </c>
      <c r="C346" s="6">
        <v>206439565</v>
      </c>
      <c r="D346" s="6">
        <v>0</v>
      </c>
      <c r="E346" s="6">
        <v>0</v>
      </c>
    </row>
    <row r="347" spans="2:5" x14ac:dyDescent="0.3">
      <c r="B347" s="4" t="s">
        <v>234</v>
      </c>
      <c r="C347" s="6">
        <v>207255771</v>
      </c>
      <c r="D347" s="6">
        <v>0</v>
      </c>
      <c r="E347" s="6">
        <v>0</v>
      </c>
    </row>
    <row r="348" spans="2:5" x14ac:dyDescent="0.3">
      <c r="B348" s="4" t="s">
        <v>235</v>
      </c>
      <c r="C348" s="6">
        <v>187821325</v>
      </c>
      <c r="D348" s="6">
        <v>0</v>
      </c>
      <c r="E348" s="6">
        <v>0</v>
      </c>
    </row>
    <row r="349" spans="2:5" x14ac:dyDescent="0.3">
      <c r="B349" s="4" t="s">
        <v>236</v>
      </c>
      <c r="C349" s="6">
        <v>174692638</v>
      </c>
      <c r="D349" s="6">
        <v>0</v>
      </c>
      <c r="E349" s="6">
        <v>0</v>
      </c>
    </row>
    <row r="350" spans="2:5" x14ac:dyDescent="0.3">
      <c r="B350" s="4" t="s">
        <v>237</v>
      </c>
      <c r="C350" s="6">
        <v>183518500</v>
      </c>
      <c r="D350" s="6">
        <v>0</v>
      </c>
      <c r="E350" s="6">
        <v>0</v>
      </c>
    </row>
    <row r="351" spans="2:5" x14ac:dyDescent="0.3">
      <c r="B351" s="4" t="s">
        <v>238</v>
      </c>
      <c r="C351" s="6">
        <v>178199538</v>
      </c>
      <c r="D351" s="6">
        <v>0</v>
      </c>
      <c r="E351" s="6">
        <v>0</v>
      </c>
    </row>
    <row r="352" spans="2:5" x14ac:dyDescent="0.3">
      <c r="B352" s="4" t="s">
        <v>239</v>
      </c>
      <c r="C352" s="6">
        <v>180564600</v>
      </c>
      <c r="D352" s="6">
        <v>0</v>
      </c>
      <c r="E352" s="6">
        <v>0</v>
      </c>
    </row>
    <row r="353" spans="2:5" x14ac:dyDescent="0.3">
      <c r="B353" s="4" t="s">
        <v>240</v>
      </c>
      <c r="C353" s="6">
        <v>184306210</v>
      </c>
      <c r="D353" s="6">
        <v>0</v>
      </c>
      <c r="E353" s="6">
        <v>0</v>
      </c>
    </row>
    <row r="354" spans="2:5" x14ac:dyDescent="0.3">
      <c r="B354" s="4" t="s">
        <v>241</v>
      </c>
      <c r="C354" s="6">
        <v>191639918</v>
      </c>
      <c r="D354" s="6">
        <v>0</v>
      </c>
      <c r="E354" s="6">
        <v>0</v>
      </c>
    </row>
    <row r="355" spans="2:5" x14ac:dyDescent="0.3">
      <c r="B355" s="4" t="s">
        <v>242</v>
      </c>
      <c r="C355" s="6">
        <v>205774418</v>
      </c>
      <c r="D355" s="6">
        <v>0</v>
      </c>
      <c r="E355" s="6">
        <v>0</v>
      </c>
    </row>
    <row r="356" spans="2:5" x14ac:dyDescent="0.3">
      <c r="B356" s="4" t="s">
        <v>243</v>
      </c>
      <c r="C356" s="6">
        <v>213345335</v>
      </c>
      <c r="D356" s="6">
        <v>0</v>
      </c>
      <c r="E356" s="6">
        <v>0</v>
      </c>
    </row>
    <row r="357" spans="2:5" x14ac:dyDescent="0.3">
      <c r="B357" s="4" t="s">
        <v>244</v>
      </c>
      <c r="C357" s="6">
        <v>207517242</v>
      </c>
      <c r="D357" s="6">
        <v>0</v>
      </c>
      <c r="E357" s="6">
        <v>0</v>
      </c>
    </row>
    <row r="358" spans="2:5" x14ac:dyDescent="0.3">
      <c r="B358" s="4" t="s">
        <v>245</v>
      </c>
      <c r="C358" s="6">
        <v>202893479</v>
      </c>
      <c r="D358" s="6">
        <v>0</v>
      </c>
      <c r="E358" s="6">
        <v>0</v>
      </c>
    </row>
    <row r="359" spans="2:5" x14ac:dyDescent="0.3">
      <c r="B359" s="4" t="s">
        <v>246</v>
      </c>
      <c r="C359" s="6">
        <v>195704666</v>
      </c>
      <c r="D359" s="6">
        <v>0</v>
      </c>
      <c r="E359" s="6">
        <v>0</v>
      </c>
    </row>
    <row r="360" spans="2:5" x14ac:dyDescent="0.3">
      <c r="B360" s="4" t="s">
        <v>247</v>
      </c>
      <c r="C360" s="6">
        <v>201035235</v>
      </c>
      <c r="D360" s="6">
        <v>0</v>
      </c>
      <c r="E360" s="6">
        <v>0</v>
      </c>
    </row>
    <row r="361" spans="2:5" x14ac:dyDescent="0.3">
      <c r="B361" s="4" t="s">
        <v>248</v>
      </c>
      <c r="C361" s="6">
        <v>200162073</v>
      </c>
      <c r="D361" s="6">
        <v>0</v>
      </c>
      <c r="E361" s="6">
        <v>0</v>
      </c>
    </row>
    <row r="362" spans="2:5" x14ac:dyDescent="0.3">
      <c r="B362" s="4" t="s">
        <v>249</v>
      </c>
      <c r="C362" s="6">
        <v>198639099</v>
      </c>
      <c r="D362" s="6">
        <v>0</v>
      </c>
      <c r="E362" s="6">
        <v>0</v>
      </c>
    </row>
    <row r="363" spans="2:5" x14ac:dyDescent="0.3">
      <c r="B363" s="4" t="s">
        <v>250</v>
      </c>
      <c r="C363" s="6">
        <v>209302726</v>
      </c>
      <c r="D363" s="6">
        <v>0</v>
      </c>
      <c r="E363" s="6">
        <v>0</v>
      </c>
    </row>
    <row r="364" spans="2:5" x14ac:dyDescent="0.3">
      <c r="B364" s="4" t="s">
        <v>251</v>
      </c>
      <c r="C364" s="6">
        <v>205908268</v>
      </c>
      <c r="D364" s="6">
        <v>0</v>
      </c>
      <c r="E364" s="6">
        <v>0</v>
      </c>
    </row>
    <row r="365" spans="2:5" x14ac:dyDescent="0.3">
      <c r="B365" s="4" t="s">
        <v>252</v>
      </c>
      <c r="C365" s="6">
        <v>203415278</v>
      </c>
      <c r="D365" s="6">
        <v>0</v>
      </c>
      <c r="E365" s="6">
        <v>0</v>
      </c>
    </row>
    <row r="366" spans="2:5" x14ac:dyDescent="0.3">
      <c r="B366" s="4" t="s">
        <v>253</v>
      </c>
      <c r="C366" s="6">
        <v>206634790</v>
      </c>
      <c r="D366" s="6">
        <v>0</v>
      </c>
      <c r="E366" s="6">
        <v>0</v>
      </c>
    </row>
    <row r="367" spans="2:5" x14ac:dyDescent="0.3">
      <c r="B367" s="4" t="s">
        <v>254</v>
      </c>
      <c r="C367" s="6">
        <v>206570838</v>
      </c>
      <c r="D367" s="6">
        <v>0</v>
      </c>
      <c r="E367" s="6">
        <v>0</v>
      </c>
    </row>
    <row r="368" spans="2:5" x14ac:dyDescent="0.3">
      <c r="B368" s="4" t="s">
        <v>255</v>
      </c>
      <c r="C368" s="6">
        <v>206034861</v>
      </c>
      <c r="D368" s="6">
        <v>0</v>
      </c>
      <c r="E368" s="6">
        <v>0</v>
      </c>
    </row>
    <row r="369" spans="2:5" x14ac:dyDescent="0.3">
      <c r="B369" s="4" t="s">
        <v>256</v>
      </c>
      <c r="C369" s="6">
        <v>196046601</v>
      </c>
      <c r="D369" s="6">
        <v>0</v>
      </c>
      <c r="E369" s="6">
        <v>0</v>
      </c>
    </row>
    <row r="370" spans="2:5" x14ac:dyDescent="0.3">
      <c r="B370" s="4" t="s">
        <v>257</v>
      </c>
      <c r="C370" s="6">
        <v>192232034</v>
      </c>
      <c r="D370" s="6">
        <v>0</v>
      </c>
      <c r="E370" s="6">
        <v>0</v>
      </c>
    </row>
    <row r="371" spans="2:5" x14ac:dyDescent="0.3">
      <c r="B371" s="4" t="s">
        <v>258</v>
      </c>
      <c r="C371" s="6">
        <v>187488159</v>
      </c>
      <c r="D371" s="6">
        <v>0</v>
      </c>
      <c r="E371" s="6">
        <v>0</v>
      </c>
    </row>
    <row r="372" spans="2:5" x14ac:dyDescent="0.3">
      <c r="B372" s="4" t="s">
        <v>259</v>
      </c>
      <c r="C372" s="6">
        <v>183822817</v>
      </c>
      <c r="D372" s="6">
        <v>0</v>
      </c>
      <c r="E372" s="6">
        <v>0</v>
      </c>
    </row>
    <row r="373" spans="2:5" x14ac:dyDescent="0.3">
      <c r="B373" s="4" t="s">
        <v>260</v>
      </c>
      <c r="C373" s="6">
        <v>186439572</v>
      </c>
      <c r="D373" s="6">
        <v>0</v>
      </c>
      <c r="E373" s="6">
        <v>0</v>
      </c>
    </row>
    <row r="374" spans="2:5" x14ac:dyDescent="0.3">
      <c r="B374" s="4" t="s">
        <v>261</v>
      </c>
      <c r="C374" s="6">
        <v>182816751</v>
      </c>
      <c r="D374" s="6">
        <v>0</v>
      </c>
      <c r="E374" s="6">
        <v>0</v>
      </c>
    </row>
    <row r="375" spans="2:5" x14ac:dyDescent="0.3">
      <c r="B375" s="4" t="s">
        <v>262</v>
      </c>
      <c r="C375" s="6">
        <v>184078439</v>
      </c>
      <c r="D375" s="6">
        <v>0</v>
      </c>
      <c r="E375" s="6">
        <v>0</v>
      </c>
    </row>
    <row r="376" spans="2:5" x14ac:dyDescent="0.3">
      <c r="B376" s="4" t="s">
        <v>263</v>
      </c>
      <c r="C376" s="6">
        <v>182019699</v>
      </c>
      <c r="D376" s="6">
        <v>0</v>
      </c>
      <c r="E376" s="6">
        <v>0</v>
      </c>
    </row>
    <row r="377" spans="2:5" x14ac:dyDescent="0.3">
      <c r="B377" s="4" t="s">
        <v>264</v>
      </c>
      <c r="C377" s="6">
        <v>169799074</v>
      </c>
      <c r="D377" s="6">
        <v>0</v>
      </c>
      <c r="E377" s="6">
        <v>0</v>
      </c>
    </row>
    <row r="378" spans="2:5" x14ac:dyDescent="0.3">
      <c r="B378" s="4" t="s">
        <v>265</v>
      </c>
      <c r="C378" s="6">
        <v>169052859</v>
      </c>
      <c r="D378" s="6">
        <v>0</v>
      </c>
      <c r="E378" s="6">
        <v>0</v>
      </c>
    </row>
    <row r="379" spans="2:5" x14ac:dyDescent="0.3">
      <c r="B379" s="4" t="s">
        <v>266</v>
      </c>
      <c r="C379" s="6">
        <v>175480266</v>
      </c>
      <c r="D379" s="6">
        <v>0</v>
      </c>
      <c r="E379" s="6">
        <v>0</v>
      </c>
    </row>
    <row r="380" spans="2:5" x14ac:dyDescent="0.3">
      <c r="B380" s="4" t="s">
        <v>267</v>
      </c>
      <c r="C380" s="6">
        <v>163822820</v>
      </c>
      <c r="D380" s="6">
        <v>0</v>
      </c>
      <c r="E380" s="6">
        <v>0</v>
      </c>
    </row>
    <row r="381" spans="2:5" x14ac:dyDescent="0.3">
      <c r="B381" s="4" t="s">
        <v>268</v>
      </c>
      <c r="C381" s="6">
        <v>164880229</v>
      </c>
      <c r="D381" s="6">
        <v>0</v>
      </c>
      <c r="E381" s="6">
        <v>0</v>
      </c>
    </row>
    <row r="382" spans="2:5" x14ac:dyDescent="0.3">
      <c r="B382" s="4" t="s">
        <v>269</v>
      </c>
      <c r="C382" s="6">
        <v>166267346</v>
      </c>
      <c r="D382" s="6">
        <v>0</v>
      </c>
      <c r="E382" s="6">
        <v>0</v>
      </c>
    </row>
    <row r="383" spans="2:5" x14ac:dyDescent="0.3">
      <c r="B383" s="4" t="s">
        <v>270</v>
      </c>
      <c r="C383" s="6">
        <v>156896201</v>
      </c>
      <c r="D383" s="6">
        <v>0</v>
      </c>
      <c r="E383" s="6">
        <v>0</v>
      </c>
    </row>
    <row r="384" spans="2:5" x14ac:dyDescent="0.3">
      <c r="B384" s="4" t="s">
        <v>271</v>
      </c>
      <c r="C384" s="6">
        <v>155522792</v>
      </c>
      <c r="D384" s="6">
        <v>0</v>
      </c>
      <c r="E384" s="6">
        <v>0</v>
      </c>
    </row>
    <row r="385" spans="2:5" x14ac:dyDescent="0.3">
      <c r="B385" s="4" t="s">
        <v>272</v>
      </c>
      <c r="C385" s="6">
        <v>158364913</v>
      </c>
      <c r="D385" s="6">
        <v>0</v>
      </c>
      <c r="E385" s="6">
        <v>0</v>
      </c>
    </row>
    <row r="386" spans="2:5" x14ac:dyDescent="0.3">
      <c r="B386" s="4" t="s">
        <v>273</v>
      </c>
      <c r="C386" s="6">
        <v>162157007</v>
      </c>
      <c r="D386" s="6">
        <v>0</v>
      </c>
      <c r="E386" s="6">
        <v>0</v>
      </c>
    </row>
    <row r="387" spans="2:5" x14ac:dyDescent="0.3">
      <c r="B387" s="4" t="s">
        <v>274</v>
      </c>
      <c r="C387" s="6">
        <v>181852154</v>
      </c>
      <c r="D387" s="6">
        <v>0</v>
      </c>
      <c r="E387" s="6">
        <v>0</v>
      </c>
    </row>
    <row r="388" spans="2:5" x14ac:dyDescent="0.3">
      <c r="B388" s="4" t="s">
        <v>275</v>
      </c>
      <c r="C388" s="6">
        <v>166901716</v>
      </c>
      <c r="D388" s="6">
        <v>0</v>
      </c>
      <c r="E388" s="6">
        <v>0</v>
      </c>
    </row>
    <row r="389" spans="2:5" x14ac:dyDescent="0.3">
      <c r="B389" s="4" t="s">
        <v>276</v>
      </c>
      <c r="C389" s="6">
        <v>169444920</v>
      </c>
      <c r="D389" s="6">
        <v>0</v>
      </c>
      <c r="E389" s="6">
        <v>0</v>
      </c>
    </row>
    <row r="390" spans="2:5" x14ac:dyDescent="0.3">
      <c r="B390" s="4" t="s">
        <v>277</v>
      </c>
      <c r="C390" s="6">
        <v>157624090</v>
      </c>
      <c r="D390" s="6">
        <v>0</v>
      </c>
      <c r="E390" s="6">
        <v>0</v>
      </c>
    </row>
    <row r="391" spans="2:5" x14ac:dyDescent="0.3">
      <c r="B391" s="4" t="s">
        <v>278</v>
      </c>
      <c r="C391" s="6">
        <v>164107148</v>
      </c>
      <c r="D391" s="6">
        <v>0</v>
      </c>
      <c r="E391" s="6">
        <v>0</v>
      </c>
    </row>
    <row r="392" spans="2:5" x14ac:dyDescent="0.3">
      <c r="B392" s="4" t="s">
        <v>279</v>
      </c>
      <c r="C392" s="6">
        <v>157258194</v>
      </c>
      <c r="D392" s="6">
        <v>0</v>
      </c>
      <c r="E392" s="6">
        <v>0</v>
      </c>
    </row>
    <row r="393" spans="2:5" x14ac:dyDescent="0.3">
      <c r="B393" s="4" t="s">
        <v>280</v>
      </c>
      <c r="C393" s="6">
        <v>162000470</v>
      </c>
      <c r="D393" s="6">
        <v>0</v>
      </c>
      <c r="E393" s="6">
        <v>0</v>
      </c>
    </row>
    <row r="394" spans="2:5" x14ac:dyDescent="0.3">
      <c r="B394" s="4" t="s">
        <v>281</v>
      </c>
      <c r="C394" s="6">
        <v>168357612</v>
      </c>
      <c r="D394" s="6">
        <v>0</v>
      </c>
      <c r="E394" s="6">
        <v>0</v>
      </c>
    </row>
    <row r="395" spans="2:5" x14ac:dyDescent="0.3">
      <c r="B395" s="4" t="s">
        <v>282</v>
      </c>
      <c r="C395" s="6">
        <v>167438517</v>
      </c>
      <c r="D395" s="6">
        <v>0</v>
      </c>
      <c r="E395" s="6">
        <v>0</v>
      </c>
    </row>
    <row r="396" spans="2:5" x14ac:dyDescent="0.3">
      <c r="B396" s="4" t="s">
        <v>283</v>
      </c>
      <c r="C396" s="6">
        <v>165799021</v>
      </c>
      <c r="D396" s="6">
        <v>0</v>
      </c>
      <c r="E396" s="6">
        <v>0</v>
      </c>
    </row>
    <row r="397" spans="2:5" x14ac:dyDescent="0.3">
      <c r="B397" s="4" t="s">
        <v>284</v>
      </c>
      <c r="C397" s="6">
        <v>174458547</v>
      </c>
      <c r="D397" s="6">
        <v>0</v>
      </c>
      <c r="E397" s="6">
        <v>0</v>
      </c>
    </row>
    <row r="398" spans="2:5" x14ac:dyDescent="0.3">
      <c r="B398" s="4" t="s">
        <v>285</v>
      </c>
      <c r="C398" s="6">
        <v>179977135</v>
      </c>
      <c r="D398" s="6">
        <v>0</v>
      </c>
      <c r="E398" s="6">
        <v>0</v>
      </c>
    </row>
    <row r="399" spans="2:5" x14ac:dyDescent="0.3">
      <c r="B399" s="4" t="s">
        <v>286</v>
      </c>
      <c r="C399" s="6">
        <v>175821755</v>
      </c>
      <c r="D399" s="6">
        <v>0</v>
      </c>
      <c r="E399" s="6">
        <v>0</v>
      </c>
    </row>
    <row r="400" spans="2:5" x14ac:dyDescent="0.3">
      <c r="B400" s="4" t="s">
        <v>287</v>
      </c>
      <c r="C400" s="6">
        <v>172760720</v>
      </c>
      <c r="D400" s="6">
        <v>0</v>
      </c>
      <c r="E400" s="6">
        <v>0</v>
      </c>
    </row>
    <row r="401" spans="2:5" x14ac:dyDescent="0.3">
      <c r="B401" s="4" t="s">
        <v>288</v>
      </c>
      <c r="C401" s="6">
        <v>171377063</v>
      </c>
      <c r="D401" s="6">
        <v>0</v>
      </c>
      <c r="E401" s="6">
        <v>0</v>
      </c>
    </row>
    <row r="402" spans="2:5" x14ac:dyDescent="0.3">
      <c r="B402" s="4" t="s">
        <v>289</v>
      </c>
      <c r="C402" s="6">
        <v>181561342</v>
      </c>
      <c r="D402" s="6">
        <v>0</v>
      </c>
      <c r="E402" s="6">
        <v>0</v>
      </c>
    </row>
    <row r="403" spans="2:5" x14ac:dyDescent="0.3">
      <c r="B403" s="4" t="s">
        <v>290</v>
      </c>
      <c r="C403" s="6">
        <v>180999875</v>
      </c>
      <c r="D403" s="6">
        <v>0</v>
      </c>
      <c r="E403" s="6">
        <v>0</v>
      </c>
    </row>
    <row r="404" spans="2:5" x14ac:dyDescent="0.3">
      <c r="B404" s="4" t="s">
        <v>291</v>
      </c>
      <c r="C404" s="6">
        <v>175215901</v>
      </c>
      <c r="D404" s="6">
        <v>0</v>
      </c>
      <c r="E404" s="6">
        <v>0</v>
      </c>
    </row>
    <row r="405" spans="2:5" x14ac:dyDescent="0.3">
      <c r="B405" s="4" t="s">
        <v>292</v>
      </c>
      <c r="C405" s="6">
        <v>172350784</v>
      </c>
      <c r="D405" s="6">
        <v>0</v>
      </c>
      <c r="E405" s="6">
        <v>0</v>
      </c>
    </row>
    <row r="406" spans="2:5" x14ac:dyDescent="0.3">
      <c r="B406" s="4" t="s">
        <v>293</v>
      </c>
      <c r="C406" s="6">
        <v>140767634</v>
      </c>
      <c r="D406" s="6">
        <v>0</v>
      </c>
      <c r="E406" s="6">
        <v>0</v>
      </c>
    </row>
    <row r="407" spans="2:5" x14ac:dyDescent="0.3">
      <c r="B407" s="4" t="s">
        <v>294</v>
      </c>
      <c r="C407" s="6">
        <v>137659327</v>
      </c>
      <c r="D407" s="6">
        <v>0</v>
      </c>
      <c r="E407" s="6">
        <v>0</v>
      </c>
    </row>
    <row r="408" spans="2:5" x14ac:dyDescent="0.3">
      <c r="B408" s="4" t="s">
        <v>295</v>
      </c>
      <c r="C408" s="6">
        <v>139095514</v>
      </c>
      <c r="D408" s="6">
        <v>0</v>
      </c>
      <c r="E408" s="6">
        <v>0</v>
      </c>
    </row>
    <row r="409" spans="2:5" x14ac:dyDescent="0.3">
      <c r="B409" s="4" t="s">
        <v>296</v>
      </c>
      <c r="C409" s="6">
        <v>138545111</v>
      </c>
      <c r="D409" s="6">
        <v>0</v>
      </c>
      <c r="E409" s="6">
        <v>0</v>
      </c>
    </row>
    <row r="410" spans="2:5" x14ac:dyDescent="0.3">
      <c r="B410" s="4" t="s">
        <v>297</v>
      </c>
      <c r="C410" s="6">
        <v>145792039</v>
      </c>
      <c r="D410" s="6">
        <v>0</v>
      </c>
      <c r="E410" s="6">
        <v>0</v>
      </c>
    </row>
    <row r="411" spans="2:5" x14ac:dyDescent="0.3">
      <c r="B411" s="4" t="s">
        <v>298</v>
      </c>
      <c r="C411" s="6">
        <v>153777841</v>
      </c>
      <c r="D411" s="6">
        <v>0</v>
      </c>
      <c r="E411" s="6">
        <v>0</v>
      </c>
    </row>
    <row r="412" spans="2:5" x14ac:dyDescent="0.3">
      <c r="B412" s="4" t="s">
        <v>299</v>
      </c>
      <c r="C412" s="6">
        <v>153120229</v>
      </c>
      <c r="D412" s="6">
        <v>0</v>
      </c>
      <c r="E412" s="6">
        <v>0</v>
      </c>
    </row>
    <row r="413" spans="2:5" x14ac:dyDescent="0.3">
      <c r="B413" s="4" t="s">
        <v>300</v>
      </c>
      <c r="C413" s="6">
        <v>156799495</v>
      </c>
      <c r="D413" s="6">
        <v>0</v>
      </c>
      <c r="E413" s="6">
        <v>0</v>
      </c>
    </row>
    <row r="414" spans="2:5" x14ac:dyDescent="0.3">
      <c r="B414" s="4" t="s">
        <v>301</v>
      </c>
      <c r="C414" s="6">
        <v>180436801</v>
      </c>
      <c r="D414" s="6">
        <v>0</v>
      </c>
      <c r="E414" s="6">
        <v>0</v>
      </c>
    </row>
    <row r="415" spans="2:5" x14ac:dyDescent="0.3">
      <c r="B415" s="4" t="s">
        <v>302</v>
      </c>
      <c r="C415" s="6">
        <v>179784064</v>
      </c>
      <c r="D415" s="6">
        <v>0</v>
      </c>
      <c r="E415" s="6">
        <v>0</v>
      </c>
    </row>
    <row r="416" spans="2:5" x14ac:dyDescent="0.3">
      <c r="B416" s="4" t="s">
        <v>303</v>
      </c>
      <c r="C416" s="6">
        <v>191092152</v>
      </c>
      <c r="D416" s="6">
        <v>0</v>
      </c>
      <c r="E416" s="6">
        <v>0</v>
      </c>
    </row>
    <row r="417" spans="2:5" x14ac:dyDescent="0.3">
      <c r="B417" s="4" t="s">
        <v>304</v>
      </c>
      <c r="C417" s="6">
        <v>189954707</v>
      </c>
      <c r="D417" s="6">
        <v>0</v>
      </c>
      <c r="E417" s="6">
        <v>0</v>
      </c>
    </row>
    <row r="418" spans="2:5" x14ac:dyDescent="0.3">
      <c r="B418" s="4" t="s">
        <v>305</v>
      </c>
      <c r="C418" s="6">
        <v>174033502</v>
      </c>
      <c r="D418" s="6">
        <v>0</v>
      </c>
      <c r="E418" s="6">
        <v>0</v>
      </c>
    </row>
    <row r="419" spans="2:5" x14ac:dyDescent="0.3">
      <c r="B419" s="4" t="s">
        <v>306</v>
      </c>
      <c r="C419" s="6">
        <v>184954799</v>
      </c>
      <c r="D419" s="6">
        <v>0</v>
      </c>
      <c r="E419" s="6">
        <v>0</v>
      </c>
    </row>
    <row r="420" spans="2:5" x14ac:dyDescent="0.3">
      <c r="B420" s="4" t="s">
        <v>307</v>
      </c>
      <c r="C420" s="6">
        <v>186510085</v>
      </c>
      <c r="D420" s="6">
        <v>0</v>
      </c>
      <c r="E420" s="6">
        <v>0</v>
      </c>
    </row>
    <row r="421" spans="2:5" x14ac:dyDescent="0.3">
      <c r="B421" s="4" t="s">
        <v>308</v>
      </c>
      <c r="C421" s="6">
        <v>199701062</v>
      </c>
      <c r="D421" s="6">
        <v>0</v>
      </c>
      <c r="E421" s="6">
        <v>0</v>
      </c>
    </row>
    <row r="422" spans="2:5" x14ac:dyDescent="0.3">
      <c r="B422" s="4" t="s">
        <v>309</v>
      </c>
      <c r="C422" s="6">
        <v>218694935</v>
      </c>
      <c r="D422" s="6">
        <v>0</v>
      </c>
      <c r="E422" s="6">
        <v>0</v>
      </c>
    </row>
    <row r="423" spans="2:5" x14ac:dyDescent="0.3">
      <c r="B423" s="4" t="s">
        <v>310</v>
      </c>
      <c r="C423" s="6">
        <v>213461887</v>
      </c>
      <c r="D423" s="6">
        <v>0</v>
      </c>
      <c r="E423" s="6">
        <v>0</v>
      </c>
    </row>
    <row r="424" spans="2:5" x14ac:dyDescent="0.3">
      <c r="B424" s="4" t="s">
        <v>311</v>
      </c>
      <c r="C424" s="6">
        <v>216910076</v>
      </c>
      <c r="D424" s="6">
        <v>0</v>
      </c>
      <c r="E424" s="6">
        <v>0</v>
      </c>
    </row>
    <row r="425" spans="2:5" x14ac:dyDescent="0.3">
      <c r="B425" s="4" t="s">
        <v>312</v>
      </c>
      <c r="C425" s="6">
        <v>203238993</v>
      </c>
      <c r="D425" s="6">
        <v>0</v>
      </c>
      <c r="E425" s="6">
        <v>0</v>
      </c>
    </row>
    <row r="426" spans="2:5" x14ac:dyDescent="0.3">
      <c r="B426" s="4" t="s">
        <v>313</v>
      </c>
      <c r="C426" s="6">
        <v>200575746</v>
      </c>
      <c r="D426" s="6">
        <v>0</v>
      </c>
      <c r="E426" s="6">
        <v>0</v>
      </c>
    </row>
    <row r="427" spans="2:5" x14ac:dyDescent="0.3">
      <c r="B427" s="4" t="s">
        <v>314</v>
      </c>
      <c r="C427" s="6">
        <v>197262344</v>
      </c>
      <c r="D427" s="6">
        <v>0</v>
      </c>
      <c r="E427" s="6">
        <v>93223</v>
      </c>
    </row>
    <row r="428" spans="2:5" x14ac:dyDescent="0.3">
      <c r="B428" s="4" t="s">
        <v>315</v>
      </c>
      <c r="C428" s="6">
        <v>209956881</v>
      </c>
      <c r="D428" s="6">
        <v>0</v>
      </c>
      <c r="E428" s="6">
        <v>1513428</v>
      </c>
    </row>
    <row r="429" spans="2:5" x14ac:dyDescent="0.3">
      <c r="B429" s="4" t="s">
        <v>316</v>
      </c>
      <c r="C429" s="6">
        <v>203631627</v>
      </c>
      <c r="D429" s="6">
        <v>0</v>
      </c>
      <c r="E429" s="6">
        <v>2463046</v>
      </c>
    </row>
    <row r="430" spans="2:5" x14ac:dyDescent="0.3">
      <c r="B430" s="4" t="s">
        <v>317</v>
      </c>
      <c r="C430" s="6">
        <v>212282016</v>
      </c>
      <c r="D430" s="6">
        <v>0</v>
      </c>
      <c r="E430" s="6">
        <v>2778901</v>
      </c>
    </row>
    <row r="431" spans="2:5" x14ac:dyDescent="0.3">
      <c r="B431" s="4" t="s">
        <v>318</v>
      </c>
      <c r="C431" s="6">
        <v>213122295</v>
      </c>
      <c r="D431" s="6">
        <v>0</v>
      </c>
      <c r="E431" s="6">
        <v>2918199</v>
      </c>
    </row>
    <row r="432" spans="2:5" x14ac:dyDescent="0.3">
      <c r="B432" s="4" t="s">
        <v>319</v>
      </c>
      <c r="C432" s="6">
        <v>211638754</v>
      </c>
      <c r="D432" s="6">
        <v>0</v>
      </c>
      <c r="E432" s="6">
        <v>2942085</v>
      </c>
    </row>
    <row r="433" spans="2:5" x14ac:dyDescent="0.3">
      <c r="B433" s="4" t="s">
        <v>320</v>
      </c>
      <c r="C433" s="6">
        <v>207273565</v>
      </c>
      <c r="D433" s="6">
        <v>0</v>
      </c>
      <c r="E433" s="6">
        <v>2954090</v>
      </c>
    </row>
    <row r="434" spans="2:5" x14ac:dyDescent="0.3">
      <c r="B434" s="4" t="s">
        <v>321</v>
      </c>
      <c r="C434" s="6">
        <v>203530631</v>
      </c>
      <c r="D434" s="6">
        <v>0</v>
      </c>
      <c r="E434" s="6">
        <v>2865857</v>
      </c>
    </row>
    <row r="435" spans="2:5" x14ac:dyDescent="0.3">
      <c r="B435" s="4" t="s">
        <v>322</v>
      </c>
      <c r="C435" s="6">
        <v>206282455</v>
      </c>
      <c r="D435" s="6">
        <v>0</v>
      </c>
      <c r="E435" s="6">
        <v>2594834</v>
      </c>
    </row>
    <row r="436" spans="2:5" x14ac:dyDescent="0.3">
      <c r="B436" s="4" t="s">
        <v>323</v>
      </c>
      <c r="C436" s="6">
        <v>212602889</v>
      </c>
      <c r="D436" s="6">
        <v>0</v>
      </c>
      <c r="E436" s="6">
        <v>2656084</v>
      </c>
    </row>
    <row r="437" spans="2:5" x14ac:dyDescent="0.3">
      <c r="B437" s="4" t="s">
        <v>324</v>
      </c>
      <c r="C437" s="6">
        <v>209763923</v>
      </c>
      <c r="D437" s="6">
        <v>0</v>
      </c>
      <c r="E437" s="6">
        <v>2661759</v>
      </c>
    </row>
    <row r="438" spans="2:5" x14ac:dyDescent="0.3">
      <c r="B438" s="4" t="s">
        <v>325</v>
      </c>
      <c r="C438" s="6">
        <v>212187208</v>
      </c>
      <c r="D438" s="6">
        <v>0</v>
      </c>
      <c r="E438" s="6">
        <v>2608255</v>
      </c>
    </row>
    <row r="439" spans="2:5" x14ac:dyDescent="0.3">
      <c r="B439" s="4" t="s">
        <v>326</v>
      </c>
      <c r="C439" s="6">
        <v>216282398</v>
      </c>
      <c r="D439" s="6">
        <v>0</v>
      </c>
      <c r="E439" s="6">
        <v>2678445</v>
      </c>
    </row>
    <row r="440" spans="2:5" x14ac:dyDescent="0.3">
      <c r="B440" s="4" t="s">
        <v>327</v>
      </c>
      <c r="C440" s="6">
        <v>214762448</v>
      </c>
      <c r="D440" s="6">
        <v>0</v>
      </c>
      <c r="E440" s="6">
        <v>2693116</v>
      </c>
    </row>
    <row r="441" spans="2:5" x14ac:dyDescent="0.3">
      <c r="B441" s="4" t="s">
        <v>328</v>
      </c>
      <c r="C441" s="6">
        <v>212372350</v>
      </c>
      <c r="D441" s="6">
        <v>0</v>
      </c>
      <c r="E441" s="6">
        <v>2694230</v>
      </c>
    </row>
    <row r="442" spans="2:5" x14ac:dyDescent="0.3">
      <c r="B442" s="4" t="s">
        <v>329</v>
      </c>
      <c r="C442" s="6">
        <v>184265208</v>
      </c>
      <c r="D442" s="6">
        <v>0</v>
      </c>
      <c r="E442" s="6">
        <v>2346581</v>
      </c>
    </row>
    <row r="443" spans="2:5" x14ac:dyDescent="0.3">
      <c r="B443" s="4" t="s">
        <v>330</v>
      </c>
      <c r="C443" s="6">
        <v>191876426</v>
      </c>
      <c r="D443" s="6">
        <v>0</v>
      </c>
      <c r="E443" s="6">
        <v>3585414</v>
      </c>
    </row>
    <row r="444" spans="2:5" x14ac:dyDescent="0.3">
      <c r="B444" s="4" t="s">
        <v>331</v>
      </c>
      <c r="C444" s="6">
        <v>195189196</v>
      </c>
      <c r="D444" s="6">
        <v>0</v>
      </c>
      <c r="E444" s="6">
        <v>3675141</v>
      </c>
    </row>
    <row r="445" spans="2:5" x14ac:dyDescent="0.3">
      <c r="B445" s="4" t="s">
        <v>332</v>
      </c>
      <c r="C445" s="6">
        <v>191851204</v>
      </c>
      <c r="D445" s="6">
        <v>0</v>
      </c>
      <c r="E445" s="6">
        <v>3590878</v>
      </c>
    </row>
    <row r="446" spans="2:5" x14ac:dyDescent="0.3">
      <c r="B446" s="4" t="s">
        <v>333</v>
      </c>
      <c r="C446" s="6">
        <v>208291926</v>
      </c>
      <c r="D446" s="6">
        <v>0</v>
      </c>
      <c r="E446" s="6">
        <v>3796375</v>
      </c>
    </row>
    <row r="447" spans="2:5" x14ac:dyDescent="0.3">
      <c r="B447" s="4" t="s">
        <v>334</v>
      </c>
      <c r="C447" s="6">
        <v>207874351</v>
      </c>
      <c r="D447" s="6">
        <v>0</v>
      </c>
      <c r="E447" s="6">
        <v>3896225</v>
      </c>
    </row>
    <row r="448" spans="2:5" x14ac:dyDescent="0.3">
      <c r="B448" s="4" t="s">
        <v>335</v>
      </c>
      <c r="C448" s="6">
        <v>205890386</v>
      </c>
      <c r="D448" s="6">
        <v>0</v>
      </c>
      <c r="E448" s="6">
        <v>4443201</v>
      </c>
    </row>
    <row r="449" spans="2:5" x14ac:dyDescent="0.3">
      <c r="B449" s="4" t="s">
        <v>336</v>
      </c>
      <c r="C449" s="6">
        <v>201519789</v>
      </c>
      <c r="D449" s="6">
        <v>0</v>
      </c>
      <c r="E449" s="6">
        <v>4393549</v>
      </c>
    </row>
    <row r="450" spans="2:5" x14ac:dyDescent="0.3">
      <c r="B450" s="4" t="s">
        <v>337</v>
      </c>
      <c r="C450" s="6">
        <v>202168750</v>
      </c>
      <c r="D450" s="6">
        <v>0</v>
      </c>
      <c r="E450" s="6">
        <v>4579334</v>
      </c>
    </row>
    <row r="451" spans="2:5" x14ac:dyDescent="0.3">
      <c r="B451" s="4" t="s">
        <v>338</v>
      </c>
      <c r="C451" s="6">
        <v>204611818</v>
      </c>
      <c r="D451" s="6">
        <v>0</v>
      </c>
      <c r="E451" s="6">
        <v>4616326</v>
      </c>
    </row>
    <row r="452" spans="2:5" x14ac:dyDescent="0.3">
      <c r="B452" s="4" t="s">
        <v>339</v>
      </c>
      <c r="C452" s="6">
        <v>204346163</v>
      </c>
      <c r="D452" s="6">
        <v>0</v>
      </c>
      <c r="E452" s="6">
        <v>4646370</v>
      </c>
    </row>
    <row r="453" spans="2:5" x14ac:dyDescent="0.3">
      <c r="B453" s="4" t="s">
        <v>340</v>
      </c>
      <c r="C453" s="6">
        <v>203891741</v>
      </c>
      <c r="D453" s="6">
        <v>0</v>
      </c>
      <c r="E453" s="6">
        <v>4800799</v>
      </c>
    </row>
    <row r="454" spans="2:5" x14ac:dyDescent="0.3">
      <c r="B454" s="4" t="s">
        <v>341</v>
      </c>
      <c r="C454" s="6">
        <v>211100622</v>
      </c>
      <c r="D454" s="6">
        <v>0</v>
      </c>
      <c r="E454" s="6">
        <v>4898993</v>
      </c>
    </row>
    <row r="455" spans="2:5" x14ac:dyDescent="0.3">
      <c r="B455" s="4" t="s">
        <v>342</v>
      </c>
      <c r="C455" s="6">
        <v>211267216</v>
      </c>
      <c r="D455" s="6">
        <v>0</v>
      </c>
      <c r="E455" s="6">
        <v>5223439</v>
      </c>
    </row>
    <row r="456" spans="2:5" x14ac:dyDescent="0.3">
      <c r="B456" s="4" t="s">
        <v>343</v>
      </c>
      <c r="C456" s="6">
        <v>210292457</v>
      </c>
      <c r="D456" s="6">
        <v>0</v>
      </c>
      <c r="E456" s="6">
        <v>5078503</v>
      </c>
    </row>
    <row r="457" spans="2:5" x14ac:dyDescent="0.3">
      <c r="B457" s="4" t="s">
        <v>344</v>
      </c>
      <c r="C457" s="6">
        <v>213234173</v>
      </c>
      <c r="D457" s="6">
        <v>0</v>
      </c>
      <c r="E457" s="6">
        <v>5117226</v>
      </c>
    </row>
    <row r="458" spans="2:5" x14ac:dyDescent="0.3">
      <c r="B458" s="4" t="s">
        <v>345</v>
      </c>
      <c r="C458" s="6">
        <v>213152604</v>
      </c>
      <c r="D458" s="6">
        <v>0</v>
      </c>
      <c r="E458" s="6">
        <v>5033033</v>
      </c>
    </row>
    <row r="459" spans="2:5" x14ac:dyDescent="0.3">
      <c r="B459" s="4" t="s">
        <v>346</v>
      </c>
      <c r="C459" s="6">
        <v>214921457</v>
      </c>
      <c r="D459" s="6">
        <v>0</v>
      </c>
      <c r="E459" s="6">
        <v>5247928</v>
      </c>
    </row>
    <row r="460" spans="2:5" x14ac:dyDescent="0.3">
      <c r="B460" s="4" t="s">
        <v>347</v>
      </c>
      <c r="C460" s="6">
        <v>208403127</v>
      </c>
      <c r="D460" s="6">
        <v>0</v>
      </c>
      <c r="E460" s="6">
        <v>4977325</v>
      </c>
    </row>
    <row r="461" spans="2:5" x14ac:dyDescent="0.3">
      <c r="B461" s="4" t="s">
        <v>348</v>
      </c>
      <c r="C461" s="6">
        <v>209425778</v>
      </c>
      <c r="D461" s="6">
        <v>0</v>
      </c>
      <c r="E461" s="6">
        <v>5042693</v>
      </c>
    </row>
    <row r="462" spans="2:5" x14ac:dyDescent="0.3">
      <c r="B462" s="4" t="s">
        <v>349</v>
      </c>
      <c r="C462" s="6">
        <v>211454504</v>
      </c>
      <c r="D462" s="6">
        <v>0</v>
      </c>
      <c r="E462" s="6">
        <v>4993792</v>
      </c>
    </row>
    <row r="463" spans="2:5" x14ac:dyDescent="0.3">
      <c r="B463" s="4" t="s">
        <v>350</v>
      </c>
      <c r="C463" s="6">
        <v>213018305</v>
      </c>
      <c r="D463" s="6">
        <v>0</v>
      </c>
      <c r="E463" s="6">
        <v>5115920</v>
      </c>
    </row>
    <row r="464" spans="2:5" x14ac:dyDescent="0.3">
      <c r="B464" s="4" t="s">
        <v>351</v>
      </c>
      <c r="C464" s="6">
        <v>215632457</v>
      </c>
      <c r="D464" s="6">
        <v>0</v>
      </c>
      <c r="E464" s="6">
        <v>5228614</v>
      </c>
    </row>
    <row r="465" spans="2:5" x14ac:dyDescent="0.3">
      <c r="B465" s="4" t="s">
        <v>352</v>
      </c>
      <c r="C465" s="6">
        <v>214624376</v>
      </c>
      <c r="D465" s="6">
        <v>0</v>
      </c>
      <c r="E465" s="6">
        <v>5260495</v>
      </c>
    </row>
    <row r="466" spans="2:5" x14ac:dyDescent="0.3">
      <c r="B466" s="4" t="s">
        <v>353</v>
      </c>
      <c r="C466" s="6">
        <v>226469134</v>
      </c>
      <c r="D466" s="6">
        <v>0</v>
      </c>
      <c r="E466" s="6">
        <v>5291529</v>
      </c>
    </row>
    <row r="467" spans="2:5" x14ac:dyDescent="0.3">
      <c r="B467" s="4" t="s">
        <v>354</v>
      </c>
      <c r="C467" s="6">
        <v>225508977</v>
      </c>
      <c r="D467" s="6">
        <v>0</v>
      </c>
      <c r="E467" s="6">
        <v>5274763</v>
      </c>
    </row>
    <row r="468" spans="2:5" x14ac:dyDescent="0.3">
      <c r="B468" s="4" t="s">
        <v>355</v>
      </c>
      <c r="C468" s="6">
        <v>241499896</v>
      </c>
      <c r="D468" s="6">
        <v>0</v>
      </c>
      <c r="E468" s="6">
        <v>5395103</v>
      </c>
    </row>
    <row r="469" spans="2:5" x14ac:dyDescent="0.3">
      <c r="B469" s="4" t="s">
        <v>356</v>
      </c>
      <c r="C469" s="6">
        <v>240107975</v>
      </c>
      <c r="D469" s="6">
        <v>0</v>
      </c>
      <c r="E469" s="6">
        <v>5333156</v>
      </c>
    </row>
    <row r="470" spans="2:5" x14ac:dyDescent="0.3">
      <c r="B470" s="4" t="s">
        <v>357</v>
      </c>
      <c r="C470" s="6">
        <v>235695780</v>
      </c>
      <c r="D470" s="6">
        <v>0</v>
      </c>
      <c r="E470" s="6">
        <v>5062406</v>
      </c>
    </row>
    <row r="471" spans="2:5" x14ac:dyDescent="0.3">
      <c r="B471" s="4" t="s">
        <v>358</v>
      </c>
      <c r="C471" s="6">
        <v>234198928</v>
      </c>
      <c r="D471" s="6">
        <v>0</v>
      </c>
      <c r="E471" s="6">
        <v>4975915</v>
      </c>
    </row>
    <row r="472" spans="2:5" x14ac:dyDescent="0.3">
      <c r="B472" s="4" t="s">
        <v>359</v>
      </c>
      <c r="C472" s="6">
        <v>237236122</v>
      </c>
      <c r="D472" s="6">
        <v>0</v>
      </c>
      <c r="E472" s="6">
        <v>6599154</v>
      </c>
    </row>
    <row r="473" spans="2:5" x14ac:dyDescent="0.3">
      <c r="B473" s="4" t="s">
        <v>360</v>
      </c>
      <c r="C473" s="6">
        <v>237044886</v>
      </c>
      <c r="D473" s="6">
        <v>0</v>
      </c>
      <c r="E473" s="6">
        <v>6254775</v>
      </c>
    </row>
    <row r="474" spans="2:5" x14ac:dyDescent="0.3">
      <c r="B474" s="4" t="s">
        <v>361</v>
      </c>
      <c r="C474" s="6">
        <v>236282349</v>
      </c>
      <c r="D474" s="6">
        <v>0</v>
      </c>
      <c r="E474" s="6">
        <v>7248429</v>
      </c>
    </row>
    <row r="475" spans="2:5" x14ac:dyDescent="0.3">
      <c r="B475" s="4" t="s">
        <v>362</v>
      </c>
      <c r="C475" s="6">
        <v>232539221</v>
      </c>
      <c r="D475" s="6">
        <v>0</v>
      </c>
      <c r="E475" s="6">
        <v>7173542</v>
      </c>
    </row>
    <row r="476" spans="2:5" x14ac:dyDescent="0.3">
      <c r="B476" s="4" t="s">
        <v>363</v>
      </c>
      <c r="C476" s="6">
        <v>210359946</v>
      </c>
      <c r="D476" s="6">
        <v>0</v>
      </c>
      <c r="E476" s="6">
        <v>6293862</v>
      </c>
    </row>
    <row r="477" spans="2:5" x14ac:dyDescent="0.3">
      <c r="B477" s="4" t="s">
        <v>364</v>
      </c>
      <c r="C477" s="6">
        <v>219335938</v>
      </c>
      <c r="D477" s="6">
        <v>0</v>
      </c>
      <c r="E477" s="6">
        <v>6286350</v>
      </c>
    </row>
    <row r="478" spans="2:5" x14ac:dyDescent="0.3">
      <c r="B478" s="4" t="s">
        <v>365</v>
      </c>
      <c r="C478" s="6">
        <v>218690064</v>
      </c>
      <c r="D478" s="6">
        <v>0</v>
      </c>
      <c r="E478" s="6">
        <v>6225307</v>
      </c>
    </row>
    <row r="479" spans="2:5" x14ac:dyDescent="0.3">
      <c r="B479" s="4" t="s">
        <v>366</v>
      </c>
      <c r="C479" s="6">
        <v>219999148</v>
      </c>
      <c r="D479" s="6">
        <v>0</v>
      </c>
      <c r="E479" s="6">
        <v>6066975</v>
      </c>
    </row>
    <row r="480" spans="2:5" x14ac:dyDescent="0.3">
      <c r="B480" s="4" t="s">
        <v>367</v>
      </c>
      <c r="C480" s="6">
        <v>223037217</v>
      </c>
      <c r="D480" s="6">
        <v>0</v>
      </c>
      <c r="E480" s="6">
        <v>6192115</v>
      </c>
    </row>
    <row r="481" spans="2:5" x14ac:dyDescent="0.3">
      <c r="B481" s="4" t="s">
        <v>368</v>
      </c>
      <c r="C481" s="6">
        <v>198172495</v>
      </c>
      <c r="D481" s="6">
        <v>0</v>
      </c>
      <c r="E481" s="6">
        <v>4954126</v>
      </c>
    </row>
    <row r="482" spans="2:5" x14ac:dyDescent="0.3">
      <c r="B482" s="4" t="s">
        <v>369</v>
      </c>
      <c r="C482" s="6">
        <v>185453398</v>
      </c>
      <c r="D482" s="6">
        <v>0</v>
      </c>
      <c r="E482" s="6">
        <v>5217263</v>
      </c>
    </row>
    <row r="483" spans="2:5" x14ac:dyDescent="0.3">
      <c r="B483" s="4" t="s">
        <v>370</v>
      </c>
      <c r="C483" s="6">
        <v>197676233</v>
      </c>
      <c r="D483" s="6">
        <v>0</v>
      </c>
      <c r="E483" s="6">
        <v>6391939</v>
      </c>
    </row>
    <row r="484" spans="2:5" x14ac:dyDescent="0.3">
      <c r="B484" s="4" t="s">
        <v>371</v>
      </c>
      <c r="C484" s="6">
        <v>185166554</v>
      </c>
      <c r="D484" s="6">
        <v>0</v>
      </c>
      <c r="E484" s="6">
        <v>7666745</v>
      </c>
    </row>
    <row r="485" spans="2:5" x14ac:dyDescent="0.3">
      <c r="B485" s="4" t="s">
        <v>372</v>
      </c>
      <c r="C485" s="6">
        <v>182100734</v>
      </c>
      <c r="D485" s="6">
        <v>0</v>
      </c>
      <c r="E485" s="6">
        <v>7257774</v>
      </c>
    </row>
    <row r="486" spans="2:5" x14ac:dyDescent="0.3">
      <c r="B486" s="4" t="s">
        <v>373</v>
      </c>
      <c r="C486" s="6">
        <v>169257429</v>
      </c>
      <c r="D486" s="6">
        <v>0</v>
      </c>
      <c r="E486" s="6">
        <v>6581350</v>
      </c>
    </row>
    <row r="487" spans="2:5" x14ac:dyDescent="0.3">
      <c r="B487" s="4" t="s">
        <v>374</v>
      </c>
      <c r="C487" s="6">
        <v>178380719</v>
      </c>
      <c r="D487" s="6">
        <v>0</v>
      </c>
      <c r="E487" s="6">
        <v>10041364</v>
      </c>
    </row>
    <row r="488" spans="2:5" x14ac:dyDescent="0.3">
      <c r="B488" s="4" t="s">
        <v>375</v>
      </c>
      <c r="C488" s="6">
        <v>170077236</v>
      </c>
      <c r="D488" s="6">
        <v>0</v>
      </c>
      <c r="E488" s="6">
        <v>9788823</v>
      </c>
    </row>
    <row r="489" spans="2:5" x14ac:dyDescent="0.3">
      <c r="B489" s="4" t="s">
        <v>376</v>
      </c>
      <c r="C489" s="6">
        <v>178537855</v>
      </c>
      <c r="D489" s="6">
        <v>0</v>
      </c>
      <c r="E489" s="6">
        <v>10383061</v>
      </c>
    </row>
    <row r="490" spans="2:5" x14ac:dyDescent="0.3">
      <c r="B490" s="4" t="s">
        <v>377</v>
      </c>
      <c r="C490" s="6">
        <v>198875833</v>
      </c>
      <c r="D490" s="6">
        <v>0</v>
      </c>
      <c r="E490" s="6">
        <v>11895069</v>
      </c>
    </row>
    <row r="491" spans="2:5" x14ac:dyDescent="0.3">
      <c r="B491" s="4" t="s">
        <v>378</v>
      </c>
      <c r="C491" s="6">
        <v>190985248</v>
      </c>
      <c r="D491" s="6">
        <v>0</v>
      </c>
      <c r="E491" s="6">
        <v>12049738</v>
      </c>
    </row>
    <row r="492" spans="2:5" x14ac:dyDescent="0.3">
      <c r="B492" s="4" t="s">
        <v>379</v>
      </c>
      <c r="C492" s="6">
        <v>184190547</v>
      </c>
      <c r="D492" s="6">
        <v>0</v>
      </c>
      <c r="E492" s="6">
        <v>11600384</v>
      </c>
    </row>
    <row r="493" spans="2:5" x14ac:dyDescent="0.3">
      <c r="B493" s="4" t="s">
        <v>380</v>
      </c>
      <c r="C493" s="6">
        <v>193119954</v>
      </c>
      <c r="D493" s="6">
        <v>0</v>
      </c>
      <c r="E493" s="6">
        <v>12611354</v>
      </c>
    </row>
    <row r="494" spans="2:5" x14ac:dyDescent="0.3">
      <c r="B494" s="4" t="s">
        <v>381</v>
      </c>
      <c r="C494" s="6">
        <v>190342215</v>
      </c>
      <c r="D494" s="6">
        <v>0</v>
      </c>
      <c r="E494" s="6">
        <v>11802141</v>
      </c>
    </row>
    <row r="495" spans="2:5" x14ac:dyDescent="0.3">
      <c r="B495" s="4" t="s">
        <v>382</v>
      </c>
      <c r="C495" s="6">
        <v>179141953</v>
      </c>
      <c r="D495" s="6">
        <v>0</v>
      </c>
      <c r="E495" s="6">
        <v>10157422</v>
      </c>
    </row>
    <row r="496" spans="2:5" x14ac:dyDescent="0.3">
      <c r="B496" s="4" t="s">
        <v>383</v>
      </c>
      <c r="C496" s="6">
        <v>182688960</v>
      </c>
      <c r="D496" s="6">
        <v>0</v>
      </c>
      <c r="E496" s="6">
        <v>10200103</v>
      </c>
    </row>
    <row r="497" spans="2:5" x14ac:dyDescent="0.3">
      <c r="B497" s="4" t="s">
        <v>384</v>
      </c>
      <c r="C497" s="6">
        <v>170044611</v>
      </c>
      <c r="D497" s="6">
        <v>0</v>
      </c>
      <c r="E497" s="6">
        <v>8581960</v>
      </c>
    </row>
    <row r="498" spans="2:5" x14ac:dyDescent="0.3">
      <c r="B498" s="4" t="s">
        <v>385</v>
      </c>
      <c r="C498" s="6">
        <v>148683839</v>
      </c>
      <c r="D498" s="6">
        <v>0</v>
      </c>
      <c r="E498" s="6">
        <v>7395705</v>
      </c>
    </row>
    <row r="499" spans="2:5" x14ac:dyDescent="0.3">
      <c r="B499" s="4" t="s">
        <v>386</v>
      </c>
      <c r="C499" s="6">
        <v>161366567</v>
      </c>
      <c r="D499" s="6">
        <v>0</v>
      </c>
      <c r="E499" s="6">
        <v>8768572</v>
      </c>
    </row>
    <row r="500" spans="2:5" x14ac:dyDescent="0.3">
      <c r="B500" s="4" t="s">
        <v>387</v>
      </c>
      <c r="C500" s="6">
        <v>159162845</v>
      </c>
      <c r="D500" s="6">
        <v>0</v>
      </c>
      <c r="E500" s="6">
        <v>9172087</v>
      </c>
    </row>
    <row r="501" spans="2:5" x14ac:dyDescent="0.3">
      <c r="B501" s="4" t="s">
        <v>388</v>
      </c>
      <c r="C501" s="6">
        <v>166323439</v>
      </c>
      <c r="D501" s="6">
        <v>0</v>
      </c>
      <c r="E501" s="6">
        <v>8805623</v>
      </c>
    </row>
    <row r="502" spans="2:5" x14ac:dyDescent="0.3">
      <c r="B502" s="4" t="s">
        <v>389</v>
      </c>
      <c r="C502" s="6">
        <v>160512607</v>
      </c>
      <c r="D502" s="6">
        <v>0</v>
      </c>
      <c r="E502" s="6">
        <v>7681465</v>
      </c>
    </row>
    <row r="503" spans="2:5" x14ac:dyDescent="0.3">
      <c r="B503" s="4" t="s">
        <v>390</v>
      </c>
      <c r="C503" s="6">
        <v>156623514</v>
      </c>
      <c r="D503" s="6">
        <v>0</v>
      </c>
      <c r="E503" s="6">
        <v>8188032</v>
      </c>
    </row>
    <row r="504" spans="2:5" x14ac:dyDescent="0.3">
      <c r="B504" s="4" t="s">
        <v>391</v>
      </c>
      <c r="C504" s="6">
        <v>160907480</v>
      </c>
      <c r="D504" s="6">
        <v>0</v>
      </c>
      <c r="E504" s="6">
        <v>9045519</v>
      </c>
    </row>
    <row r="505" spans="2:5" x14ac:dyDescent="0.3">
      <c r="B505" s="4" t="s">
        <v>392</v>
      </c>
      <c r="C505" s="6">
        <v>153718256</v>
      </c>
      <c r="D505" s="6">
        <v>0</v>
      </c>
      <c r="E505" s="6">
        <v>7926843</v>
      </c>
    </row>
    <row r="506" spans="2:5" x14ac:dyDescent="0.3">
      <c r="B506" s="4" t="s">
        <v>393</v>
      </c>
      <c r="C506" s="6">
        <v>149519415</v>
      </c>
      <c r="D506" s="6">
        <v>0</v>
      </c>
      <c r="E506" s="6">
        <v>7362897</v>
      </c>
    </row>
    <row r="507" spans="2:5" x14ac:dyDescent="0.3">
      <c r="B507" s="4" t="s">
        <v>394</v>
      </c>
      <c r="C507" s="6">
        <v>150120873</v>
      </c>
      <c r="D507" s="6">
        <v>0</v>
      </c>
      <c r="E507" s="6">
        <v>7632900</v>
      </c>
    </row>
    <row r="508" spans="2:5" x14ac:dyDescent="0.3">
      <c r="B508" s="4" t="s">
        <v>395</v>
      </c>
      <c r="C508" s="6">
        <v>152557699</v>
      </c>
      <c r="D508" s="6">
        <v>0</v>
      </c>
      <c r="E508" s="6">
        <v>7882756</v>
      </c>
    </row>
    <row r="509" spans="2:5" x14ac:dyDescent="0.3">
      <c r="B509" s="4" t="s">
        <v>396</v>
      </c>
      <c r="C509" s="6">
        <v>169884831</v>
      </c>
      <c r="D509" s="6">
        <v>0</v>
      </c>
      <c r="E509" s="6">
        <v>8631906</v>
      </c>
    </row>
    <row r="510" spans="2:5" x14ac:dyDescent="0.3">
      <c r="B510" s="4" t="s">
        <v>397</v>
      </c>
      <c r="C510" s="6">
        <v>182558046</v>
      </c>
      <c r="D510" s="6">
        <v>0</v>
      </c>
      <c r="E510" s="6">
        <v>9563343</v>
      </c>
    </row>
    <row r="511" spans="2:5" x14ac:dyDescent="0.3">
      <c r="B511" s="4" t="s">
        <v>398</v>
      </c>
      <c r="C511" s="6">
        <v>182496103</v>
      </c>
      <c r="D511" s="6">
        <v>0</v>
      </c>
      <c r="E511" s="6">
        <v>9652966</v>
      </c>
    </row>
    <row r="512" spans="2:5" x14ac:dyDescent="0.3">
      <c r="B512" s="4" t="s">
        <v>399</v>
      </c>
      <c r="C512" s="6">
        <v>211284685</v>
      </c>
      <c r="D512" s="6">
        <v>0</v>
      </c>
      <c r="E512" s="6">
        <v>10957114</v>
      </c>
    </row>
    <row r="513" spans="1:5" x14ac:dyDescent="0.3">
      <c r="B513" s="4" t="s">
        <v>400</v>
      </c>
      <c r="C513" s="6">
        <v>201695800</v>
      </c>
      <c r="D513" s="6">
        <v>0</v>
      </c>
      <c r="E513" s="6">
        <v>11304120</v>
      </c>
    </row>
    <row r="514" spans="1:5" x14ac:dyDescent="0.3">
      <c r="B514" s="4" t="s">
        <v>401</v>
      </c>
      <c r="C514" s="6">
        <v>223954778</v>
      </c>
      <c r="D514" s="6">
        <v>0</v>
      </c>
      <c r="E514" s="6">
        <v>11905397</v>
      </c>
    </row>
    <row r="515" spans="1:5" x14ac:dyDescent="0.3">
      <c r="B515" s="4" t="s">
        <v>402</v>
      </c>
      <c r="C515" s="6">
        <v>251840080</v>
      </c>
      <c r="D515" s="6">
        <v>0</v>
      </c>
      <c r="E515" s="6">
        <v>13298433</v>
      </c>
    </row>
    <row r="516" spans="1:5" x14ac:dyDescent="0.3">
      <c r="B516" s="4" t="s">
        <v>403</v>
      </c>
      <c r="C516" s="6">
        <v>270275693</v>
      </c>
      <c r="D516" s="6">
        <v>0</v>
      </c>
      <c r="E516" s="6">
        <v>15012379</v>
      </c>
    </row>
    <row r="517" spans="1:5" x14ac:dyDescent="0.3">
      <c r="B517" s="4" t="s">
        <v>404</v>
      </c>
      <c r="C517" s="6">
        <v>253329698</v>
      </c>
      <c r="D517" s="6">
        <v>0</v>
      </c>
      <c r="E517" s="6">
        <v>13494531</v>
      </c>
    </row>
    <row r="518" spans="1:5" x14ac:dyDescent="0.3">
      <c r="B518" s="4" t="s">
        <v>405</v>
      </c>
      <c r="C518" s="6">
        <v>257817143</v>
      </c>
      <c r="D518" s="6">
        <v>0</v>
      </c>
      <c r="E518" s="6">
        <v>14583613</v>
      </c>
    </row>
    <row r="519" spans="1:5" x14ac:dyDescent="0.3">
      <c r="B519" s="4" t="s">
        <v>406</v>
      </c>
      <c r="C519" s="6">
        <v>229026290</v>
      </c>
      <c r="D519" s="6">
        <v>0</v>
      </c>
      <c r="E519" s="6">
        <v>12391971</v>
      </c>
    </row>
    <row r="520" spans="1:5" x14ac:dyDescent="0.3">
      <c r="B520" s="4" t="s">
        <v>407</v>
      </c>
      <c r="C520" s="6">
        <v>273570499</v>
      </c>
      <c r="D520" s="6">
        <v>0</v>
      </c>
      <c r="E520" s="6">
        <v>14411369</v>
      </c>
    </row>
    <row r="521" spans="1:5" x14ac:dyDescent="0.3">
      <c r="B521" s="4" t="s">
        <v>408</v>
      </c>
      <c r="C521" s="6">
        <v>272418052</v>
      </c>
      <c r="D521" s="6">
        <v>0</v>
      </c>
      <c r="E521" s="6">
        <v>14481304</v>
      </c>
    </row>
    <row r="522" spans="1:5" x14ac:dyDescent="0.3">
      <c r="B522" s="4" t="s">
        <v>409</v>
      </c>
      <c r="C522" s="6">
        <v>279928985</v>
      </c>
      <c r="D522" s="6">
        <v>0</v>
      </c>
      <c r="E522" s="6">
        <v>14659932</v>
      </c>
    </row>
    <row r="523" spans="1:5" x14ac:dyDescent="0.3">
      <c r="A523" t="s">
        <v>41</v>
      </c>
      <c r="C523" s="6">
        <v>408580960.50734526</v>
      </c>
      <c r="D523" s="6">
        <v>0</v>
      </c>
      <c r="E523" s="6">
        <v>64704324.378082193</v>
      </c>
    </row>
    <row r="524" spans="1:5" x14ac:dyDescent="0.3">
      <c r="B524" s="4" t="s">
        <v>44</v>
      </c>
      <c r="C524" s="6">
        <v>265296891</v>
      </c>
      <c r="D524" s="6">
        <v>0</v>
      </c>
      <c r="E524" s="6">
        <v>13453351</v>
      </c>
    </row>
    <row r="525" spans="1:5" x14ac:dyDescent="0.3">
      <c r="B525" s="4" t="s">
        <v>45</v>
      </c>
      <c r="C525" s="6">
        <v>283231579</v>
      </c>
      <c r="D525" s="6">
        <v>0</v>
      </c>
      <c r="E525" s="6">
        <v>14349079</v>
      </c>
    </row>
    <row r="526" spans="1:5" x14ac:dyDescent="0.3">
      <c r="B526" s="4" t="s">
        <v>46</v>
      </c>
      <c r="C526" s="6">
        <v>309649617</v>
      </c>
      <c r="D526" s="6">
        <v>0</v>
      </c>
      <c r="E526" s="6">
        <v>16999755</v>
      </c>
    </row>
    <row r="527" spans="1:5" x14ac:dyDescent="0.3">
      <c r="B527" s="4" t="s">
        <v>47</v>
      </c>
      <c r="C527" s="6">
        <v>296427543</v>
      </c>
      <c r="D527" s="6">
        <v>0</v>
      </c>
      <c r="E527" s="6">
        <v>16224471</v>
      </c>
    </row>
    <row r="528" spans="1:5" x14ac:dyDescent="0.3">
      <c r="B528" s="4" t="s">
        <v>48</v>
      </c>
      <c r="C528" s="6">
        <v>307378238</v>
      </c>
      <c r="D528" s="6">
        <v>0</v>
      </c>
      <c r="E528" s="6">
        <v>17196568</v>
      </c>
    </row>
    <row r="529" spans="2:5" x14ac:dyDescent="0.3">
      <c r="B529" s="4" t="s">
        <v>49</v>
      </c>
      <c r="C529" s="6">
        <v>304402693</v>
      </c>
      <c r="D529" s="6">
        <v>0</v>
      </c>
      <c r="E529" s="6">
        <v>17482686</v>
      </c>
    </row>
    <row r="530" spans="2:5" x14ac:dyDescent="0.3">
      <c r="B530" s="4" t="s">
        <v>50</v>
      </c>
      <c r="C530" s="6">
        <v>307845523</v>
      </c>
      <c r="D530" s="6">
        <v>0</v>
      </c>
      <c r="E530" s="6">
        <v>17953079</v>
      </c>
    </row>
    <row r="531" spans="2:5" x14ac:dyDescent="0.3">
      <c r="B531" s="4" t="s">
        <v>51</v>
      </c>
      <c r="C531" s="6">
        <v>294356702</v>
      </c>
      <c r="D531" s="6">
        <v>0</v>
      </c>
      <c r="E531" s="6">
        <v>17397404</v>
      </c>
    </row>
    <row r="532" spans="2:5" x14ac:dyDescent="0.3">
      <c r="B532" s="4" t="s">
        <v>52</v>
      </c>
      <c r="C532" s="6">
        <v>291001888</v>
      </c>
      <c r="D532" s="6">
        <v>0</v>
      </c>
      <c r="E532" s="6">
        <v>18523486</v>
      </c>
    </row>
    <row r="533" spans="2:5" x14ac:dyDescent="0.3">
      <c r="B533" s="4" t="s">
        <v>53</v>
      </c>
      <c r="C533" s="6">
        <v>291334870</v>
      </c>
      <c r="D533" s="6">
        <v>0</v>
      </c>
      <c r="E533" s="6">
        <v>18855971</v>
      </c>
    </row>
    <row r="534" spans="2:5" x14ac:dyDescent="0.3">
      <c r="B534" s="4" t="s">
        <v>54</v>
      </c>
      <c r="C534" s="6">
        <v>248557270</v>
      </c>
      <c r="D534" s="6">
        <v>0</v>
      </c>
      <c r="E534" s="6">
        <v>15809177</v>
      </c>
    </row>
    <row r="535" spans="2:5" x14ac:dyDescent="0.3">
      <c r="B535" s="4" t="s">
        <v>55</v>
      </c>
      <c r="C535" s="6">
        <v>246996830</v>
      </c>
      <c r="D535" s="6">
        <v>0</v>
      </c>
      <c r="E535" s="6">
        <v>15779009</v>
      </c>
    </row>
    <row r="536" spans="2:5" x14ac:dyDescent="0.3">
      <c r="B536" s="4" t="s">
        <v>56</v>
      </c>
      <c r="C536" s="6">
        <v>244877149</v>
      </c>
      <c r="D536" s="6">
        <v>0</v>
      </c>
      <c r="E536" s="6">
        <v>16032643</v>
      </c>
    </row>
    <row r="537" spans="2:5" x14ac:dyDescent="0.3">
      <c r="B537" s="4" t="s">
        <v>57</v>
      </c>
      <c r="C537" s="6">
        <v>229298105</v>
      </c>
      <c r="D537" s="6">
        <v>0</v>
      </c>
      <c r="E537" s="6">
        <v>13975014</v>
      </c>
    </row>
    <row r="538" spans="2:5" x14ac:dyDescent="0.3">
      <c r="B538" s="4" t="s">
        <v>58</v>
      </c>
      <c r="C538" s="6">
        <v>258976810</v>
      </c>
      <c r="D538" s="6">
        <v>0</v>
      </c>
      <c r="E538" s="6">
        <v>16875979</v>
      </c>
    </row>
    <row r="539" spans="2:5" x14ac:dyDescent="0.3">
      <c r="B539" s="4" t="s">
        <v>59</v>
      </c>
      <c r="C539" s="6">
        <v>242651671</v>
      </c>
      <c r="D539" s="6">
        <v>0</v>
      </c>
      <c r="E539" s="6">
        <v>15925141</v>
      </c>
    </row>
    <row r="540" spans="2:5" x14ac:dyDescent="0.3">
      <c r="B540" s="4" t="s">
        <v>60</v>
      </c>
      <c r="C540" s="6">
        <v>247741141</v>
      </c>
      <c r="D540" s="6">
        <v>0</v>
      </c>
      <c r="E540" s="6">
        <v>20160302</v>
      </c>
    </row>
    <row r="541" spans="2:5" x14ac:dyDescent="0.3">
      <c r="B541" s="4" t="s">
        <v>61</v>
      </c>
      <c r="C541" s="6">
        <v>248298407</v>
      </c>
      <c r="D541" s="6">
        <v>0</v>
      </c>
      <c r="E541" s="6">
        <v>21339951</v>
      </c>
    </row>
    <row r="542" spans="2:5" x14ac:dyDescent="0.3">
      <c r="B542" s="4" t="s">
        <v>62</v>
      </c>
      <c r="C542" s="6">
        <v>242940905</v>
      </c>
      <c r="D542" s="6">
        <v>0</v>
      </c>
      <c r="E542" s="6">
        <v>20878577</v>
      </c>
    </row>
    <row r="543" spans="2:5" x14ac:dyDescent="0.3">
      <c r="B543" s="4" t="s">
        <v>63</v>
      </c>
      <c r="C543" s="6">
        <v>251714676</v>
      </c>
      <c r="D543" s="6">
        <v>0</v>
      </c>
      <c r="E543" s="6">
        <v>21957567</v>
      </c>
    </row>
    <row r="544" spans="2:5" x14ac:dyDescent="0.3">
      <c r="B544" s="4" t="s">
        <v>64</v>
      </c>
      <c r="C544" s="6">
        <v>243216643</v>
      </c>
      <c r="D544" s="6">
        <v>0</v>
      </c>
      <c r="E544" s="6">
        <v>22409808</v>
      </c>
    </row>
    <row r="545" spans="2:5" x14ac:dyDescent="0.3">
      <c r="B545" s="4" t="s">
        <v>65</v>
      </c>
      <c r="C545" s="6">
        <v>240846619</v>
      </c>
      <c r="D545" s="6">
        <v>0</v>
      </c>
      <c r="E545" s="6">
        <v>21266832</v>
      </c>
    </row>
    <row r="546" spans="2:5" x14ac:dyDescent="0.3">
      <c r="B546" s="4" t="s">
        <v>66</v>
      </c>
      <c r="C546" s="6">
        <v>244673474</v>
      </c>
      <c r="D546" s="6">
        <v>0</v>
      </c>
      <c r="E546" s="6">
        <v>20422124</v>
      </c>
    </row>
    <row r="547" spans="2:5" x14ac:dyDescent="0.3">
      <c r="B547" s="4" t="s">
        <v>67</v>
      </c>
      <c r="C547" s="6">
        <v>242345434</v>
      </c>
      <c r="D547" s="6">
        <v>0</v>
      </c>
      <c r="E547" s="6">
        <v>19991485</v>
      </c>
    </row>
    <row r="548" spans="2:5" x14ac:dyDescent="0.3">
      <c r="B548" s="4" t="s">
        <v>68</v>
      </c>
      <c r="C548" s="6">
        <v>245619056</v>
      </c>
      <c r="D548" s="6">
        <v>0</v>
      </c>
      <c r="E548" s="6">
        <v>20628334</v>
      </c>
    </row>
    <row r="549" spans="2:5" x14ac:dyDescent="0.3">
      <c r="B549" s="4" t="s">
        <v>69</v>
      </c>
      <c r="C549" s="6">
        <v>242377041</v>
      </c>
      <c r="D549" s="6">
        <v>0</v>
      </c>
      <c r="E549" s="6">
        <v>19857411</v>
      </c>
    </row>
    <row r="550" spans="2:5" x14ac:dyDescent="0.3">
      <c r="B550" s="4" t="s">
        <v>70</v>
      </c>
      <c r="C550" s="6">
        <v>244078962</v>
      </c>
      <c r="D550" s="6">
        <v>0</v>
      </c>
      <c r="E550" s="6">
        <v>19633894</v>
      </c>
    </row>
    <row r="551" spans="2:5" x14ac:dyDescent="0.3">
      <c r="B551" s="4" t="s">
        <v>71</v>
      </c>
      <c r="C551" s="6">
        <v>235556019</v>
      </c>
      <c r="D551" s="6">
        <v>0</v>
      </c>
      <c r="E551" s="6">
        <v>19025437</v>
      </c>
    </row>
    <row r="552" spans="2:5" x14ac:dyDescent="0.3">
      <c r="B552" s="4" t="s">
        <v>72</v>
      </c>
      <c r="C552" s="6">
        <v>224192064</v>
      </c>
      <c r="D552" s="6">
        <v>0</v>
      </c>
      <c r="E552" s="6">
        <v>17070951</v>
      </c>
    </row>
    <row r="553" spans="2:5" x14ac:dyDescent="0.3">
      <c r="B553" s="4" t="s">
        <v>73</v>
      </c>
      <c r="C553" s="6">
        <v>222584803</v>
      </c>
      <c r="D553" s="6">
        <v>0</v>
      </c>
      <c r="E553" s="6">
        <v>17617835</v>
      </c>
    </row>
    <row r="554" spans="2:5" x14ac:dyDescent="0.3">
      <c r="B554" s="4" t="s">
        <v>74</v>
      </c>
      <c r="C554" s="6">
        <v>232099520.17901599</v>
      </c>
      <c r="D554" s="6">
        <v>0</v>
      </c>
      <c r="E554" s="6">
        <v>18578295</v>
      </c>
    </row>
    <row r="555" spans="2:5" x14ac:dyDescent="0.3">
      <c r="B555" s="4" t="s">
        <v>75</v>
      </c>
      <c r="C555" s="6">
        <v>228155999.46850601</v>
      </c>
      <c r="D555" s="6">
        <v>0</v>
      </c>
      <c r="E555" s="6">
        <v>18878433</v>
      </c>
    </row>
    <row r="556" spans="2:5" x14ac:dyDescent="0.3">
      <c r="B556" s="4" t="s">
        <v>76</v>
      </c>
      <c r="C556" s="6">
        <v>228868620.13032001</v>
      </c>
      <c r="D556" s="6">
        <v>0</v>
      </c>
      <c r="E556" s="6">
        <v>18682990</v>
      </c>
    </row>
    <row r="557" spans="2:5" x14ac:dyDescent="0.3">
      <c r="B557" s="4" t="s">
        <v>77</v>
      </c>
      <c r="C557" s="6">
        <v>238174263.86575499</v>
      </c>
      <c r="D557" s="6">
        <v>0</v>
      </c>
      <c r="E557" s="6">
        <v>21003732</v>
      </c>
    </row>
    <row r="558" spans="2:5" x14ac:dyDescent="0.3">
      <c r="B558" s="4" t="s">
        <v>78</v>
      </c>
      <c r="C558" s="6">
        <v>229972557.881825</v>
      </c>
      <c r="D558" s="6">
        <v>0</v>
      </c>
      <c r="E558" s="6">
        <v>20438278</v>
      </c>
    </row>
    <row r="559" spans="2:5" x14ac:dyDescent="0.3">
      <c r="B559" s="4" t="s">
        <v>79</v>
      </c>
      <c r="C559" s="6">
        <v>230572708.65313599</v>
      </c>
      <c r="D559" s="6">
        <v>0</v>
      </c>
      <c r="E559" s="6">
        <v>19663874</v>
      </c>
    </row>
    <row r="560" spans="2:5" x14ac:dyDescent="0.3">
      <c r="B560" s="4" t="s">
        <v>80</v>
      </c>
      <c r="C560" s="6">
        <v>230684959.15670899</v>
      </c>
      <c r="D560" s="6">
        <v>0</v>
      </c>
      <c r="E560" s="6">
        <v>19774951</v>
      </c>
    </row>
    <row r="561" spans="2:5" x14ac:dyDescent="0.3">
      <c r="B561" s="4" t="s">
        <v>81</v>
      </c>
      <c r="C561" s="6">
        <v>227792057.89072901</v>
      </c>
      <c r="D561" s="6">
        <v>0</v>
      </c>
      <c r="E561" s="6">
        <v>18857339</v>
      </c>
    </row>
    <row r="562" spans="2:5" x14ac:dyDescent="0.3">
      <c r="B562" s="4" t="s">
        <v>82</v>
      </c>
      <c r="C562" s="6">
        <v>228424975.019153</v>
      </c>
      <c r="D562" s="6">
        <v>0</v>
      </c>
      <c r="E562" s="6">
        <v>18681230</v>
      </c>
    </row>
    <row r="563" spans="2:5" x14ac:dyDescent="0.3">
      <c r="B563" s="4" t="s">
        <v>83</v>
      </c>
      <c r="C563" s="6">
        <v>259027396.40575403</v>
      </c>
      <c r="D563" s="6">
        <v>0</v>
      </c>
      <c r="E563" s="6">
        <v>20666362</v>
      </c>
    </row>
    <row r="564" spans="2:5" x14ac:dyDescent="0.3">
      <c r="B564" s="4" t="s">
        <v>84</v>
      </c>
      <c r="C564" s="6">
        <v>261709608.610075</v>
      </c>
      <c r="D564" s="6">
        <v>0</v>
      </c>
      <c r="E564" s="6">
        <v>20523009</v>
      </c>
    </row>
    <row r="565" spans="2:5" x14ac:dyDescent="0.3">
      <c r="B565" s="4" t="s">
        <v>85</v>
      </c>
      <c r="C565" s="6">
        <v>274080484.72598201</v>
      </c>
      <c r="D565" s="6">
        <v>0</v>
      </c>
      <c r="E565" s="6">
        <v>21618545</v>
      </c>
    </row>
    <row r="566" spans="2:5" x14ac:dyDescent="0.3">
      <c r="B566" s="4" t="s">
        <v>86</v>
      </c>
      <c r="C566" s="6">
        <v>262733139.31865799</v>
      </c>
      <c r="D566" s="6">
        <v>0</v>
      </c>
      <c r="E566" s="6">
        <v>20434445</v>
      </c>
    </row>
    <row r="567" spans="2:5" x14ac:dyDescent="0.3">
      <c r="B567" s="4" t="s">
        <v>87</v>
      </c>
      <c r="C567" s="6">
        <v>267541327.651124</v>
      </c>
      <c r="D567" s="6">
        <v>0</v>
      </c>
      <c r="E567" s="6">
        <v>20808662</v>
      </c>
    </row>
    <row r="568" spans="2:5" x14ac:dyDescent="0.3">
      <c r="B568" s="4" t="s">
        <v>88</v>
      </c>
      <c r="C568" s="6">
        <v>267906409.540093</v>
      </c>
      <c r="D568" s="6">
        <v>0</v>
      </c>
      <c r="E568" s="6">
        <v>21117601</v>
      </c>
    </row>
    <row r="569" spans="2:5" x14ac:dyDescent="0.3">
      <c r="B569" s="4" t="s">
        <v>89</v>
      </c>
      <c r="C569" s="6">
        <v>265049002.18393701</v>
      </c>
      <c r="D569" s="6">
        <v>0</v>
      </c>
      <c r="E569" s="6">
        <v>20398673</v>
      </c>
    </row>
    <row r="570" spans="2:5" x14ac:dyDescent="0.3">
      <c r="B570" s="4" t="s">
        <v>90</v>
      </c>
      <c r="C570" s="6">
        <v>267936783.43250799</v>
      </c>
      <c r="D570" s="6">
        <v>0</v>
      </c>
      <c r="E570" s="6">
        <v>20707907</v>
      </c>
    </row>
    <row r="571" spans="2:5" x14ac:dyDescent="0.3">
      <c r="B571" s="4" t="s">
        <v>91</v>
      </c>
      <c r="C571" s="6">
        <v>271492335.41469997</v>
      </c>
      <c r="D571" s="6">
        <v>0</v>
      </c>
      <c r="E571" s="6">
        <v>20361950</v>
      </c>
    </row>
    <row r="572" spans="2:5" x14ac:dyDescent="0.3">
      <c r="B572" s="4" t="s">
        <v>92</v>
      </c>
      <c r="C572" s="6">
        <v>296170412.75614101</v>
      </c>
      <c r="D572" s="6">
        <v>0</v>
      </c>
      <c r="E572" s="6">
        <v>20979137</v>
      </c>
    </row>
    <row r="573" spans="2:5" x14ac:dyDescent="0.3">
      <c r="B573" s="4" t="s">
        <v>93</v>
      </c>
      <c r="C573" s="6">
        <v>321673145.72656798</v>
      </c>
      <c r="D573" s="6">
        <v>0</v>
      </c>
      <c r="E573" s="6">
        <v>22330570</v>
      </c>
    </row>
    <row r="574" spans="2:5" x14ac:dyDescent="0.3">
      <c r="B574" s="4" t="s">
        <v>94</v>
      </c>
      <c r="C574" s="6">
        <v>318050302.48540699</v>
      </c>
      <c r="D574" s="6">
        <v>0</v>
      </c>
      <c r="E574" s="6">
        <v>21785728</v>
      </c>
    </row>
    <row r="575" spans="2:5" x14ac:dyDescent="0.3">
      <c r="B575" s="4" t="s">
        <v>95</v>
      </c>
      <c r="C575" s="6">
        <v>327952245.21420097</v>
      </c>
      <c r="D575" s="6">
        <v>0</v>
      </c>
      <c r="E575" s="6">
        <v>22391044</v>
      </c>
    </row>
    <row r="576" spans="2:5" x14ac:dyDescent="0.3">
      <c r="B576" s="4" t="s">
        <v>96</v>
      </c>
      <c r="C576" s="6">
        <v>322999020.29754502</v>
      </c>
      <c r="D576" s="6">
        <v>0</v>
      </c>
      <c r="E576" s="6">
        <v>21587397</v>
      </c>
    </row>
    <row r="577" spans="2:5" x14ac:dyDescent="0.3">
      <c r="B577" s="4" t="s">
        <v>97</v>
      </c>
      <c r="C577" s="6">
        <v>331308207.69622397</v>
      </c>
      <c r="D577" s="6">
        <v>0</v>
      </c>
      <c r="E577" s="6">
        <v>21975754</v>
      </c>
    </row>
    <row r="578" spans="2:5" x14ac:dyDescent="0.3">
      <c r="B578" s="4" t="s">
        <v>98</v>
      </c>
      <c r="C578" s="6">
        <v>354071955.75049698</v>
      </c>
      <c r="D578" s="6">
        <v>0</v>
      </c>
      <c r="E578" s="6">
        <v>23780970</v>
      </c>
    </row>
    <row r="579" spans="2:5" x14ac:dyDescent="0.3">
      <c r="B579" s="4" t="s">
        <v>99</v>
      </c>
      <c r="C579" s="6">
        <v>297873393.52487099</v>
      </c>
      <c r="D579" s="6">
        <v>0</v>
      </c>
      <c r="E579" s="6">
        <v>20002976</v>
      </c>
    </row>
    <row r="580" spans="2:5" x14ac:dyDescent="0.3">
      <c r="B580" s="4" t="s">
        <v>100</v>
      </c>
      <c r="C580" s="6">
        <v>311807122.795959</v>
      </c>
      <c r="D580" s="6">
        <v>0</v>
      </c>
      <c r="E580" s="6">
        <v>20930487</v>
      </c>
    </row>
    <row r="581" spans="2:5" x14ac:dyDescent="0.3">
      <c r="B581" s="4" t="s">
        <v>101</v>
      </c>
      <c r="C581" s="6">
        <v>309015442.55857801</v>
      </c>
      <c r="D581" s="6">
        <v>0</v>
      </c>
      <c r="E581" s="6">
        <v>20771191</v>
      </c>
    </row>
    <row r="582" spans="2:5" x14ac:dyDescent="0.3">
      <c r="B582" s="4" t="s">
        <v>102</v>
      </c>
      <c r="C582" s="6">
        <v>306929974.69739997</v>
      </c>
      <c r="D582" s="6">
        <v>0</v>
      </c>
      <c r="E582" s="6">
        <v>20545953</v>
      </c>
    </row>
    <row r="583" spans="2:5" x14ac:dyDescent="0.3">
      <c r="B583" s="4" t="s">
        <v>104</v>
      </c>
      <c r="C583" s="6">
        <v>308391703.47870898</v>
      </c>
      <c r="D583" s="6">
        <v>0</v>
      </c>
      <c r="E583" s="6">
        <v>20072401</v>
      </c>
    </row>
    <row r="584" spans="2:5" x14ac:dyDescent="0.3">
      <c r="B584" s="4" t="s">
        <v>105</v>
      </c>
      <c r="C584" s="6">
        <v>310839723.28683603</v>
      </c>
      <c r="D584" s="6">
        <v>0</v>
      </c>
      <c r="E584" s="6">
        <v>20307220</v>
      </c>
    </row>
    <row r="585" spans="2:5" x14ac:dyDescent="0.3">
      <c r="B585" s="4" t="s">
        <v>106</v>
      </c>
      <c r="C585" s="6">
        <v>306705967.80179697</v>
      </c>
      <c r="D585" s="6">
        <v>0</v>
      </c>
      <c r="E585" s="6">
        <v>20101222</v>
      </c>
    </row>
    <row r="586" spans="2:5" x14ac:dyDescent="0.3">
      <c r="B586" s="4" t="s">
        <v>107</v>
      </c>
      <c r="C586" s="6">
        <v>300238994.02214903</v>
      </c>
      <c r="D586" s="6">
        <v>0</v>
      </c>
      <c r="E586" s="6">
        <v>20283843</v>
      </c>
    </row>
    <row r="587" spans="2:5" x14ac:dyDescent="0.3">
      <c r="B587" s="4" t="s">
        <v>108</v>
      </c>
      <c r="C587" s="6">
        <v>293201099.311176</v>
      </c>
      <c r="D587" s="6">
        <v>0</v>
      </c>
      <c r="E587" s="6">
        <v>18942132</v>
      </c>
    </row>
    <row r="588" spans="2:5" x14ac:dyDescent="0.3">
      <c r="B588" s="4" t="s">
        <v>109</v>
      </c>
      <c r="C588" s="6">
        <v>319605190.60646403</v>
      </c>
      <c r="D588" s="6">
        <v>0</v>
      </c>
      <c r="E588" s="6">
        <v>20169905</v>
      </c>
    </row>
    <row r="589" spans="2:5" x14ac:dyDescent="0.3">
      <c r="B589" s="4" t="s">
        <v>110</v>
      </c>
      <c r="C589" s="6">
        <v>322666998.76641703</v>
      </c>
      <c r="D589" s="6">
        <v>0</v>
      </c>
      <c r="E589" s="6">
        <v>20500123</v>
      </c>
    </row>
    <row r="590" spans="2:5" x14ac:dyDescent="0.3">
      <c r="B590" s="4" t="s">
        <v>111</v>
      </c>
      <c r="C590" s="6">
        <v>321387238.631769</v>
      </c>
      <c r="D590" s="6">
        <v>0</v>
      </c>
      <c r="E590" s="6">
        <v>20507948</v>
      </c>
    </row>
    <row r="591" spans="2:5" x14ac:dyDescent="0.3">
      <c r="B591" s="4" t="s">
        <v>112</v>
      </c>
      <c r="C591" s="6">
        <v>315545360.00746</v>
      </c>
      <c r="D591" s="6">
        <v>0</v>
      </c>
      <c r="E591" s="6">
        <v>20352506</v>
      </c>
    </row>
    <row r="592" spans="2:5" x14ac:dyDescent="0.3">
      <c r="B592" s="4" t="s">
        <v>113</v>
      </c>
      <c r="C592" s="6">
        <v>324808440.26481199</v>
      </c>
      <c r="D592" s="6">
        <v>0</v>
      </c>
      <c r="E592" s="6">
        <v>20413150</v>
      </c>
    </row>
    <row r="593" spans="2:5" x14ac:dyDescent="0.3">
      <c r="B593" s="4" t="s">
        <v>114</v>
      </c>
      <c r="C593" s="6">
        <v>319878598.58101797</v>
      </c>
      <c r="D593" s="6">
        <v>0</v>
      </c>
      <c r="E593" s="6">
        <v>21071415</v>
      </c>
    </row>
    <row r="594" spans="2:5" x14ac:dyDescent="0.3">
      <c r="B594" s="4" t="s">
        <v>115</v>
      </c>
      <c r="C594" s="6">
        <v>313594819.07243401</v>
      </c>
      <c r="D594" s="6">
        <v>0</v>
      </c>
      <c r="E594" s="6">
        <v>21904509</v>
      </c>
    </row>
    <row r="595" spans="2:5" x14ac:dyDescent="0.3">
      <c r="B595" s="4" t="s">
        <v>116</v>
      </c>
      <c r="C595" s="6">
        <v>316182923.356502</v>
      </c>
      <c r="D595" s="6">
        <v>0</v>
      </c>
      <c r="E595" s="6">
        <v>21259741</v>
      </c>
    </row>
    <row r="596" spans="2:5" x14ac:dyDescent="0.3">
      <c r="B596" s="4" t="s">
        <v>117</v>
      </c>
      <c r="C596" s="6">
        <v>312827018.00158501</v>
      </c>
      <c r="D596" s="6">
        <v>0</v>
      </c>
      <c r="E596" s="6">
        <v>21267990</v>
      </c>
    </row>
    <row r="597" spans="2:5" x14ac:dyDescent="0.3">
      <c r="B597" s="4" t="s">
        <v>118</v>
      </c>
      <c r="C597" s="6">
        <v>313473220.63136601</v>
      </c>
      <c r="D597" s="6">
        <v>0</v>
      </c>
      <c r="E597" s="6">
        <v>21098307</v>
      </c>
    </row>
    <row r="598" spans="2:5" x14ac:dyDescent="0.3">
      <c r="B598" s="4" t="s">
        <v>119</v>
      </c>
      <c r="C598" s="6">
        <v>325730175.468288</v>
      </c>
      <c r="D598" s="6">
        <v>0</v>
      </c>
      <c r="E598" s="6">
        <v>21640539</v>
      </c>
    </row>
    <row r="599" spans="2:5" x14ac:dyDescent="0.3">
      <c r="B599" s="4" t="s">
        <v>120</v>
      </c>
      <c r="C599" s="6">
        <v>335005719.24195498</v>
      </c>
      <c r="D599" s="6">
        <v>0</v>
      </c>
      <c r="E599" s="6">
        <v>21775255</v>
      </c>
    </row>
    <row r="600" spans="2:5" x14ac:dyDescent="0.3">
      <c r="B600" s="4" t="s">
        <v>121</v>
      </c>
      <c r="C600" s="6">
        <v>335616902.56717002</v>
      </c>
      <c r="D600" s="6">
        <v>0</v>
      </c>
      <c r="E600" s="6">
        <v>22058098</v>
      </c>
    </row>
    <row r="601" spans="2:5" x14ac:dyDescent="0.3">
      <c r="B601" s="4" t="s">
        <v>122</v>
      </c>
      <c r="C601" s="6">
        <v>332980033.33400798</v>
      </c>
      <c r="D601" s="6">
        <v>0</v>
      </c>
      <c r="E601" s="6">
        <v>21905062</v>
      </c>
    </row>
    <row r="602" spans="2:5" x14ac:dyDescent="0.3">
      <c r="B602" s="4" t="s">
        <v>123</v>
      </c>
      <c r="C602" s="6">
        <v>335218080.90607297</v>
      </c>
      <c r="D602" s="6">
        <v>0</v>
      </c>
      <c r="E602" s="6">
        <v>21584343</v>
      </c>
    </row>
    <row r="603" spans="2:5" x14ac:dyDescent="0.3">
      <c r="B603" s="4" t="s">
        <v>124</v>
      </c>
      <c r="C603" s="6">
        <v>336418046.11858797</v>
      </c>
      <c r="D603" s="6">
        <v>0</v>
      </c>
      <c r="E603" s="6">
        <v>22073646</v>
      </c>
    </row>
    <row r="604" spans="2:5" x14ac:dyDescent="0.3">
      <c r="B604" s="4" t="s">
        <v>125</v>
      </c>
      <c r="C604" s="6">
        <v>324153454.90873802</v>
      </c>
      <c r="D604" s="6">
        <v>0</v>
      </c>
      <c r="E604" s="6">
        <v>21238182</v>
      </c>
    </row>
    <row r="605" spans="2:5" x14ac:dyDescent="0.3">
      <c r="B605" s="4" t="s">
        <v>126</v>
      </c>
      <c r="C605" s="6">
        <v>324185197.148821</v>
      </c>
      <c r="D605" s="6">
        <v>0</v>
      </c>
      <c r="E605" s="6">
        <v>21420249</v>
      </c>
    </row>
    <row r="606" spans="2:5" x14ac:dyDescent="0.3">
      <c r="B606" s="4" t="s">
        <v>127</v>
      </c>
      <c r="C606" s="6">
        <v>326794433.78166699</v>
      </c>
      <c r="D606" s="6">
        <v>0</v>
      </c>
      <c r="E606" s="6">
        <v>22282847</v>
      </c>
    </row>
    <row r="607" spans="2:5" x14ac:dyDescent="0.3">
      <c r="B607" s="4" t="s">
        <v>128</v>
      </c>
      <c r="C607" s="6">
        <v>322395844.97279698</v>
      </c>
      <c r="D607" s="6">
        <v>0</v>
      </c>
      <c r="E607" s="6">
        <v>21862502</v>
      </c>
    </row>
    <row r="608" spans="2:5" x14ac:dyDescent="0.3">
      <c r="B608" s="4" t="s">
        <v>129</v>
      </c>
      <c r="C608" s="6">
        <v>317297521.91824102</v>
      </c>
      <c r="D608" s="6">
        <v>0</v>
      </c>
      <c r="E608" s="6">
        <v>22175866</v>
      </c>
    </row>
    <row r="609" spans="2:5" x14ac:dyDescent="0.3">
      <c r="B609" s="4" t="s">
        <v>130</v>
      </c>
      <c r="C609" s="6">
        <v>318352180.20884198</v>
      </c>
      <c r="D609" s="6">
        <v>0</v>
      </c>
      <c r="E609" s="6">
        <v>22319092</v>
      </c>
    </row>
    <row r="610" spans="2:5" x14ac:dyDescent="0.3">
      <c r="B610" s="4" t="s">
        <v>131</v>
      </c>
      <c r="C610" s="6">
        <v>331856451.05963898</v>
      </c>
      <c r="D610" s="6">
        <v>0</v>
      </c>
      <c r="E610" s="6">
        <v>23223623</v>
      </c>
    </row>
    <row r="611" spans="2:5" x14ac:dyDescent="0.3">
      <c r="B611" s="4" t="s">
        <v>132</v>
      </c>
      <c r="C611" s="6">
        <v>327578356.11576301</v>
      </c>
      <c r="D611" s="6">
        <v>0</v>
      </c>
      <c r="E611" s="6">
        <v>23743863</v>
      </c>
    </row>
    <row r="612" spans="2:5" x14ac:dyDescent="0.3">
      <c r="B612" s="4" t="s">
        <v>133</v>
      </c>
      <c r="C612" s="6">
        <v>340524982.34590298</v>
      </c>
      <c r="D612" s="6">
        <v>0</v>
      </c>
      <c r="E612" s="6">
        <v>24222173</v>
      </c>
    </row>
    <row r="613" spans="2:5" x14ac:dyDescent="0.3">
      <c r="B613" s="4" t="s">
        <v>134</v>
      </c>
      <c r="C613" s="6">
        <v>338372610.87894201</v>
      </c>
      <c r="D613" s="6">
        <v>0</v>
      </c>
      <c r="E613" s="6">
        <v>25047191</v>
      </c>
    </row>
    <row r="614" spans="2:5" x14ac:dyDescent="0.3">
      <c r="B614" s="4" t="s">
        <v>135</v>
      </c>
      <c r="C614" s="6">
        <v>336583337.74644202</v>
      </c>
      <c r="D614" s="6">
        <v>0</v>
      </c>
      <c r="E614" s="6">
        <v>24807741</v>
      </c>
    </row>
    <row r="615" spans="2:5" x14ac:dyDescent="0.3">
      <c r="B615" s="4" t="s">
        <v>136</v>
      </c>
      <c r="C615" s="6">
        <v>336976432.54911298</v>
      </c>
      <c r="D615" s="6">
        <v>0</v>
      </c>
      <c r="E615" s="6">
        <v>24610506</v>
      </c>
    </row>
    <row r="616" spans="2:5" x14ac:dyDescent="0.3">
      <c r="B616" s="4" t="s">
        <v>137</v>
      </c>
      <c r="C616" s="6">
        <v>389581878.410739</v>
      </c>
      <c r="D616" s="6">
        <v>0</v>
      </c>
      <c r="E616" s="6">
        <v>27915741</v>
      </c>
    </row>
    <row r="617" spans="2:5" x14ac:dyDescent="0.3">
      <c r="B617" s="4" t="s">
        <v>138</v>
      </c>
      <c r="C617" s="6">
        <v>379312266.83793598</v>
      </c>
      <c r="D617" s="6">
        <v>0</v>
      </c>
      <c r="E617" s="6">
        <v>27623461</v>
      </c>
    </row>
    <row r="618" spans="2:5" x14ac:dyDescent="0.3">
      <c r="B618" s="4" t="s">
        <v>139</v>
      </c>
      <c r="C618" s="6">
        <v>373874211.473517</v>
      </c>
      <c r="D618" s="6">
        <v>0</v>
      </c>
      <c r="E618" s="6">
        <v>26600538</v>
      </c>
    </row>
    <row r="619" spans="2:5" x14ac:dyDescent="0.3">
      <c r="B619" s="4" t="s">
        <v>140</v>
      </c>
      <c r="C619" s="6">
        <v>395875260.70605701</v>
      </c>
      <c r="D619" s="6">
        <v>0</v>
      </c>
      <c r="E619" s="6">
        <v>27560794</v>
      </c>
    </row>
    <row r="620" spans="2:5" x14ac:dyDescent="0.3">
      <c r="B620" s="4" t="s">
        <v>141</v>
      </c>
      <c r="C620" s="6">
        <v>395087741.58799398</v>
      </c>
      <c r="D620" s="6">
        <v>0</v>
      </c>
      <c r="E620" s="6">
        <v>28481455</v>
      </c>
    </row>
    <row r="621" spans="2:5" x14ac:dyDescent="0.3">
      <c r="B621" s="4" t="s">
        <v>142</v>
      </c>
      <c r="C621" s="6">
        <v>419709713.74877298</v>
      </c>
      <c r="D621" s="6">
        <v>0</v>
      </c>
      <c r="E621" s="6">
        <v>29549849</v>
      </c>
    </row>
    <row r="622" spans="2:5" x14ac:dyDescent="0.3">
      <c r="B622" s="4" t="s">
        <v>143</v>
      </c>
      <c r="C622" s="6">
        <v>431279738.71298897</v>
      </c>
      <c r="D622" s="6">
        <v>0</v>
      </c>
      <c r="E622" s="6">
        <v>30051534</v>
      </c>
    </row>
    <row r="623" spans="2:5" x14ac:dyDescent="0.3">
      <c r="B623" s="4" t="s">
        <v>144</v>
      </c>
      <c r="C623" s="6">
        <v>419794410.36426401</v>
      </c>
      <c r="D623" s="6">
        <v>0</v>
      </c>
      <c r="E623" s="6">
        <v>28316545</v>
      </c>
    </row>
    <row r="624" spans="2:5" x14ac:dyDescent="0.3">
      <c r="B624" s="4" t="s">
        <v>145</v>
      </c>
      <c r="C624" s="6">
        <v>425187382.13941401</v>
      </c>
      <c r="D624" s="6">
        <v>0</v>
      </c>
      <c r="E624" s="6">
        <v>29865153</v>
      </c>
    </row>
    <row r="625" spans="2:5" x14ac:dyDescent="0.3">
      <c r="B625" s="4" t="s">
        <v>146</v>
      </c>
      <c r="C625" s="6">
        <v>394426781.24575299</v>
      </c>
      <c r="D625" s="6">
        <v>0</v>
      </c>
      <c r="E625" s="6">
        <v>28202685</v>
      </c>
    </row>
    <row r="626" spans="2:5" x14ac:dyDescent="0.3">
      <c r="B626" s="4" t="s">
        <v>147</v>
      </c>
      <c r="C626" s="6">
        <v>392040307.39718199</v>
      </c>
      <c r="D626" s="6">
        <v>0</v>
      </c>
      <c r="E626" s="6">
        <v>30137860</v>
      </c>
    </row>
    <row r="627" spans="2:5" x14ac:dyDescent="0.3">
      <c r="B627" s="4" t="s">
        <v>148</v>
      </c>
      <c r="C627" s="6">
        <v>390728481.20216101</v>
      </c>
      <c r="D627" s="6">
        <v>0</v>
      </c>
      <c r="E627" s="6">
        <v>30066152</v>
      </c>
    </row>
    <row r="628" spans="2:5" x14ac:dyDescent="0.3">
      <c r="B628" s="4" t="s">
        <v>149</v>
      </c>
      <c r="C628" s="6">
        <v>400479473.45255297</v>
      </c>
      <c r="D628" s="6">
        <v>0</v>
      </c>
      <c r="E628" s="6">
        <v>31093458</v>
      </c>
    </row>
    <row r="629" spans="2:5" x14ac:dyDescent="0.3">
      <c r="B629" s="4" t="s">
        <v>150</v>
      </c>
      <c r="C629" s="6">
        <v>378714759.284271</v>
      </c>
      <c r="D629" s="6">
        <v>0</v>
      </c>
      <c r="E629" s="6">
        <v>29625466</v>
      </c>
    </row>
    <row r="630" spans="2:5" x14ac:dyDescent="0.3">
      <c r="B630" s="4" t="s">
        <v>151</v>
      </c>
      <c r="C630" s="6">
        <v>393326681.07888401</v>
      </c>
      <c r="D630" s="6">
        <v>0</v>
      </c>
      <c r="E630" s="6">
        <v>30809255</v>
      </c>
    </row>
    <row r="631" spans="2:5" x14ac:dyDescent="0.3">
      <c r="B631" s="4" t="s">
        <v>152</v>
      </c>
      <c r="C631" s="6">
        <v>394142149.89417398</v>
      </c>
      <c r="D631" s="6">
        <v>0</v>
      </c>
      <c r="E631" s="6">
        <v>32216442</v>
      </c>
    </row>
    <row r="632" spans="2:5" x14ac:dyDescent="0.3">
      <c r="B632" s="4" t="s">
        <v>153</v>
      </c>
      <c r="C632" s="6">
        <v>407783724.14892</v>
      </c>
      <c r="D632" s="6">
        <v>0</v>
      </c>
      <c r="E632" s="6">
        <v>33329144</v>
      </c>
    </row>
    <row r="633" spans="2:5" x14ac:dyDescent="0.3">
      <c r="B633" s="4" t="s">
        <v>154</v>
      </c>
      <c r="C633" s="6">
        <v>406051703.77801102</v>
      </c>
      <c r="D633" s="6">
        <v>0</v>
      </c>
      <c r="E633" s="6">
        <v>34138913</v>
      </c>
    </row>
    <row r="634" spans="2:5" x14ac:dyDescent="0.3">
      <c r="B634" s="4" t="s">
        <v>155</v>
      </c>
      <c r="C634" s="6">
        <v>398544402.90550202</v>
      </c>
      <c r="D634" s="6">
        <v>0</v>
      </c>
      <c r="E634" s="6">
        <v>34046456</v>
      </c>
    </row>
    <row r="635" spans="2:5" x14ac:dyDescent="0.3">
      <c r="B635" s="4" t="s">
        <v>156</v>
      </c>
      <c r="C635" s="6">
        <v>389970009.29414397</v>
      </c>
      <c r="D635" s="6">
        <v>0</v>
      </c>
      <c r="E635" s="6">
        <v>33459796</v>
      </c>
    </row>
    <row r="636" spans="2:5" x14ac:dyDescent="0.3">
      <c r="B636" s="4" t="s">
        <v>157</v>
      </c>
      <c r="C636" s="6">
        <v>392767196.29628098</v>
      </c>
      <c r="D636" s="6">
        <v>0</v>
      </c>
      <c r="E636" s="6">
        <v>34777916</v>
      </c>
    </row>
    <row r="637" spans="2:5" x14ac:dyDescent="0.3">
      <c r="B637" s="4" t="s">
        <v>158</v>
      </c>
      <c r="C637" s="6">
        <v>389533747.83966303</v>
      </c>
      <c r="D637" s="6">
        <v>0</v>
      </c>
      <c r="E637" s="6">
        <v>33638788</v>
      </c>
    </row>
    <row r="638" spans="2:5" x14ac:dyDescent="0.3">
      <c r="B638" s="4" t="s">
        <v>159</v>
      </c>
      <c r="C638" s="6">
        <v>378669470.93637699</v>
      </c>
      <c r="D638" s="6">
        <v>0</v>
      </c>
      <c r="E638" s="6">
        <v>33430263</v>
      </c>
    </row>
    <row r="639" spans="2:5" x14ac:dyDescent="0.3">
      <c r="B639" s="4" t="s">
        <v>160</v>
      </c>
      <c r="C639" s="6">
        <v>350748492.86125499</v>
      </c>
      <c r="D639" s="6">
        <v>0</v>
      </c>
      <c r="E639" s="6">
        <v>32297257</v>
      </c>
    </row>
    <row r="640" spans="2:5" x14ac:dyDescent="0.3">
      <c r="B640" s="4" t="s">
        <v>161</v>
      </c>
      <c r="C640" s="6">
        <v>357810648.43700898</v>
      </c>
      <c r="D640" s="6">
        <v>0</v>
      </c>
      <c r="E640" s="6">
        <v>33600692</v>
      </c>
    </row>
    <row r="641" spans="2:5" x14ac:dyDescent="0.3">
      <c r="B641" s="4" t="s">
        <v>162</v>
      </c>
      <c r="C641" s="6">
        <v>359287054.65502399</v>
      </c>
      <c r="D641" s="6">
        <v>0</v>
      </c>
      <c r="E641" s="6">
        <v>33363845</v>
      </c>
    </row>
    <row r="642" spans="2:5" x14ac:dyDescent="0.3">
      <c r="B642" s="4" t="s">
        <v>163</v>
      </c>
      <c r="C642" s="6">
        <v>356776560.76922399</v>
      </c>
      <c r="D642" s="6">
        <v>0</v>
      </c>
      <c r="E642" s="6">
        <v>33159608</v>
      </c>
    </row>
    <row r="643" spans="2:5" x14ac:dyDescent="0.3">
      <c r="B643" s="4" t="s">
        <v>164</v>
      </c>
      <c r="C643" s="6">
        <v>350822506.91326898</v>
      </c>
      <c r="D643" s="6">
        <v>0</v>
      </c>
      <c r="E643" s="6">
        <v>32426217</v>
      </c>
    </row>
    <row r="644" spans="2:5" x14ac:dyDescent="0.3">
      <c r="B644" s="4" t="s">
        <v>165</v>
      </c>
      <c r="C644" s="6">
        <v>369221984.452766</v>
      </c>
      <c r="D644" s="6">
        <v>0</v>
      </c>
      <c r="E644" s="6">
        <v>33866351</v>
      </c>
    </row>
    <row r="645" spans="2:5" x14ac:dyDescent="0.3">
      <c r="B645" s="4" t="s">
        <v>166</v>
      </c>
      <c r="C645" s="6">
        <v>362058765.39238298</v>
      </c>
      <c r="D645" s="6">
        <v>0</v>
      </c>
      <c r="E645" s="6">
        <v>32722197</v>
      </c>
    </row>
    <row r="646" spans="2:5" x14ac:dyDescent="0.3">
      <c r="B646" s="4" t="s">
        <v>167</v>
      </c>
      <c r="C646" s="6">
        <v>365285219.86888701</v>
      </c>
      <c r="D646" s="6">
        <v>0</v>
      </c>
      <c r="E646" s="6">
        <v>32476061</v>
      </c>
    </row>
    <row r="647" spans="2:5" x14ac:dyDescent="0.3">
      <c r="B647" s="4" t="s">
        <v>168</v>
      </c>
      <c r="C647" s="6">
        <v>376775270.94409603</v>
      </c>
      <c r="D647" s="6">
        <v>0</v>
      </c>
      <c r="E647" s="6">
        <v>33381440</v>
      </c>
    </row>
    <row r="648" spans="2:5" x14ac:dyDescent="0.3">
      <c r="B648" s="4" t="s">
        <v>169</v>
      </c>
      <c r="C648" s="6">
        <v>368333685.15285403</v>
      </c>
      <c r="D648" s="6">
        <v>0</v>
      </c>
      <c r="E648" s="6">
        <v>32596523</v>
      </c>
    </row>
    <row r="649" spans="2:5" x14ac:dyDescent="0.3">
      <c r="B649" s="4" t="s">
        <v>170</v>
      </c>
      <c r="C649" s="6">
        <v>364288600.01939702</v>
      </c>
      <c r="D649" s="6">
        <v>0</v>
      </c>
      <c r="E649" s="6">
        <v>32690533</v>
      </c>
    </row>
    <row r="650" spans="2:5" x14ac:dyDescent="0.3">
      <c r="B650" s="4" t="s">
        <v>171</v>
      </c>
      <c r="C650" s="6">
        <v>383420091.55009699</v>
      </c>
      <c r="D650" s="6">
        <v>0</v>
      </c>
      <c r="E650" s="6">
        <v>33568121</v>
      </c>
    </row>
    <row r="651" spans="2:5" x14ac:dyDescent="0.3">
      <c r="B651" s="4" t="s">
        <v>172</v>
      </c>
      <c r="C651" s="6">
        <v>374214624.13555801</v>
      </c>
      <c r="D651" s="6">
        <v>0</v>
      </c>
      <c r="E651" s="6">
        <v>32497039</v>
      </c>
    </row>
    <row r="652" spans="2:5" x14ac:dyDescent="0.3">
      <c r="B652" s="4" t="s">
        <v>173</v>
      </c>
      <c r="C652" s="6">
        <v>377414273.30783099</v>
      </c>
      <c r="D652" s="6">
        <v>0</v>
      </c>
      <c r="E652" s="6">
        <v>32579301</v>
      </c>
    </row>
    <row r="653" spans="2:5" x14ac:dyDescent="0.3">
      <c r="B653" s="4" t="s">
        <v>174</v>
      </c>
      <c r="C653" s="6">
        <v>374306412.89125502</v>
      </c>
      <c r="D653" s="6">
        <v>0</v>
      </c>
      <c r="E653" s="6">
        <v>31553305</v>
      </c>
    </row>
    <row r="654" spans="2:5" x14ac:dyDescent="0.3">
      <c r="B654" s="4" t="s">
        <v>175</v>
      </c>
      <c r="C654" s="6">
        <v>375885526.56603903</v>
      </c>
      <c r="D654" s="6">
        <v>0</v>
      </c>
      <c r="E654" s="6">
        <v>32925785</v>
      </c>
    </row>
    <row r="655" spans="2:5" x14ac:dyDescent="0.3">
      <c r="B655" s="4" t="s">
        <v>176</v>
      </c>
      <c r="C655" s="6">
        <v>413854741.79382497</v>
      </c>
      <c r="D655" s="6">
        <v>0</v>
      </c>
      <c r="E655" s="6">
        <v>34961723</v>
      </c>
    </row>
    <row r="656" spans="2:5" x14ac:dyDescent="0.3">
      <c r="B656" s="4" t="s">
        <v>177</v>
      </c>
      <c r="C656" s="6">
        <v>411261752.23411101</v>
      </c>
      <c r="D656" s="6">
        <v>0</v>
      </c>
      <c r="E656" s="6">
        <v>33745857</v>
      </c>
    </row>
    <row r="657" spans="2:5" x14ac:dyDescent="0.3">
      <c r="B657" s="4" t="s">
        <v>178</v>
      </c>
      <c r="C657" s="6">
        <v>426429623.814852</v>
      </c>
      <c r="D657" s="6">
        <v>0</v>
      </c>
      <c r="E657" s="6">
        <v>34092676</v>
      </c>
    </row>
    <row r="658" spans="2:5" x14ac:dyDescent="0.3">
      <c r="B658" s="4" t="s">
        <v>179</v>
      </c>
      <c r="C658" s="6">
        <v>470331470.595734</v>
      </c>
      <c r="D658" s="6">
        <v>0</v>
      </c>
      <c r="E658" s="6">
        <v>35964745</v>
      </c>
    </row>
    <row r="659" spans="2:5" x14ac:dyDescent="0.3">
      <c r="B659" s="4" t="s">
        <v>180</v>
      </c>
      <c r="C659" s="6">
        <v>526715287.00495601</v>
      </c>
      <c r="D659" s="6">
        <v>0</v>
      </c>
      <c r="E659" s="6">
        <v>41149879</v>
      </c>
    </row>
    <row r="660" spans="2:5" x14ac:dyDescent="0.3">
      <c r="B660" s="4" t="s">
        <v>181</v>
      </c>
      <c r="C660" s="6">
        <v>527556731.82480097</v>
      </c>
      <c r="D660" s="6">
        <v>0</v>
      </c>
      <c r="E660" s="6">
        <v>28841890</v>
      </c>
    </row>
    <row r="661" spans="2:5" x14ac:dyDescent="0.3">
      <c r="B661" s="4" t="s">
        <v>182</v>
      </c>
      <c r="C661" s="6">
        <v>486605669.83873498</v>
      </c>
      <c r="D661" s="6">
        <v>0</v>
      </c>
      <c r="E661" s="6">
        <v>27384800</v>
      </c>
    </row>
    <row r="662" spans="2:5" x14ac:dyDescent="0.3">
      <c r="B662" s="4" t="s">
        <v>183</v>
      </c>
      <c r="C662" s="6">
        <v>467360480.92413402</v>
      </c>
      <c r="D662" s="6">
        <v>0</v>
      </c>
      <c r="E662" s="6">
        <v>27399594</v>
      </c>
    </row>
    <row r="663" spans="2:5" x14ac:dyDescent="0.3">
      <c r="B663" s="4" t="s">
        <v>184</v>
      </c>
      <c r="C663" s="6">
        <v>519769858.54227495</v>
      </c>
      <c r="D663" s="6">
        <v>0</v>
      </c>
      <c r="E663" s="6">
        <v>29405287</v>
      </c>
    </row>
    <row r="664" spans="2:5" x14ac:dyDescent="0.3">
      <c r="B664" s="4" t="s">
        <v>185</v>
      </c>
      <c r="C664" s="6">
        <v>500809239.64572501</v>
      </c>
      <c r="D664" s="6">
        <v>0</v>
      </c>
      <c r="E664" s="6">
        <v>24655297</v>
      </c>
    </row>
    <row r="665" spans="2:5" x14ac:dyDescent="0.3">
      <c r="B665" s="4" t="s">
        <v>186</v>
      </c>
      <c r="C665" s="6">
        <v>500703380.02562898</v>
      </c>
      <c r="D665" s="6">
        <v>0</v>
      </c>
      <c r="E665" s="6">
        <v>24104305</v>
      </c>
    </row>
    <row r="666" spans="2:5" x14ac:dyDescent="0.3">
      <c r="B666" s="4" t="s">
        <v>187</v>
      </c>
      <c r="C666" s="6">
        <v>477207258.31787801</v>
      </c>
      <c r="D666" s="6">
        <v>0</v>
      </c>
      <c r="E666" s="6">
        <v>23795450</v>
      </c>
    </row>
    <row r="667" spans="2:5" x14ac:dyDescent="0.3">
      <c r="B667" s="4" t="s">
        <v>188</v>
      </c>
      <c r="C667" s="6">
        <v>480706493.66893798</v>
      </c>
      <c r="D667" s="6">
        <v>0</v>
      </c>
      <c r="E667" s="6">
        <v>23719013</v>
      </c>
    </row>
    <row r="668" spans="2:5" x14ac:dyDescent="0.3">
      <c r="B668" s="4" t="s">
        <v>189</v>
      </c>
      <c r="C668" s="6">
        <v>490895257.611884</v>
      </c>
      <c r="D668" s="6">
        <v>0</v>
      </c>
      <c r="E668" s="6">
        <v>22778051</v>
      </c>
    </row>
    <row r="669" spans="2:5" x14ac:dyDescent="0.3">
      <c r="B669" s="4" t="s">
        <v>190</v>
      </c>
      <c r="C669" s="6">
        <v>492109861.22539198</v>
      </c>
      <c r="D669" s="6">
        <v>0</v>
      </c>
      <c r="E669" s="6">
        <v>22868689</v>
      </c>
    </row>
    <row r="670" spans="2:5" x14ac:dyDescent="0.3">
      <c r="B670" s="4" t="s">
        <v>191</v>
      </c>
      <c r="C670" s="6">
        <v>523168759.04260004</v>
      </c>
      <c r="D670" s="6">
        <v>0</v>
      </c>
      <c r="E670" s="6">
        <v>23276297</v>
      </c>
    </row>
    <row r="671" spans="2:5" x14ac:dyDescent="0.3">
      <c r="B671" s="4" t="s">
        <v>192</v>
      </c>
      <c r="C671" s="6">
        <v>519955572.05030799</v>
      </c>
      <c r="D671" s="6">
        <v>0</v>
      </c>
      <c r="E671" s="6">
        <v>24954636</v>
      </c>
    </row>
    <row r="672" spans="2:5" x14ac:dyDescent="0.3">
      <c r="B672" s="4" t="s">
        <v>193</v>
      </c>
      <c r="C672" s="6">
        <v>500474781.09088802</v>
      </c>
      <c r="D672" s="6">
        <v>0</v>
      </c>
      <c r="E672" s="6">
        <v>27289765</v>
      </c>
    </row>
    <row r="673" spans="2:5" x14ac:dyDescent="0.3">
      <c r="B673" s="4" t="s">
        <v>194</v>
      </c>
      <c r="C673" s="6">
        <v>494814856.46832699</v>
      </c>
      <c r="D673" s="6">
        <v>0</v>
      </c>
      <c r="E673" s="6">
        <v>28037762</v>
      </c>
    </row>
    <row r="674" spans="2:5" x14ac:dyDescent="0.3">
      <c r="B674" s="4" t="s">
        <v>195</v>
      </c>
      <c r="C674" s="6">
        <v>468007066.112939</v>
      </c>
      <c r="D674" s="6">
        <v>0</v>
      </c>
      <c r="E674" s="6">
        <v>25818526</v>
      </c>
    </row>
    <row r="675" spans="2:5" x14ac:dyDescent="0.3">
      <c r="B675" s="4" t="s">
        <v>196</v>
      </c>
      <c r="C675" s="6">
        <v>494015321.98270601</v>
      </c>
      <c r="D675" s="6">
        <v>0</v>
      </c>
      <c r="E675" s="6">
        <v>27871459</v>
      </c>
    </row>
    <row r="676" spans="2:5" x14ac:dyDescent="0.3">
      <c r="B676" s="4" t="s">
        <v>197</v>
      </c>
      <c r="C676" s="6">
        <v>486953339.96426398</v>
      </c>
      <c r="D676" s="6">
        <v>0</v>
      </c>
      <c r="E676" s="6">
        <v>27746064</v>
      </c>
    </row>
    <row r="677" spans="2:5" x14ac:dyDescent="0.3">
      <c r="B677" s="4" t="s">
        <v>198</v>
      </c>
      <c r="C677" s="6">
        <v>495504697.91611099</v>
      </c>
      <c r="D677" s="6">
        <v>0</v>
      </c>
      <c r="E677" s="6">
        <v>28715704</v>
      </c>
    </row>
    <row r="678" spans="2:5" x14ac:dyDescent="0.3">
      <c r="B678" s="4" t="s">
        <v>199</v>
      </c>
      <c r="C678" s="6">
        <v>460720826.00556701</v>
      </c>
      <c r="D678" s="6">
        <v>0</v>
      </c>
      <c r="E678" s="6">
        <v>28203845</v>
      </c>
    </row>
    <row r="679" spans="2:5" x14ac:dyDescent="0.3">
      <c r="B679" s="4" t="s">
        <v>200</v>
      </c>
      <c r="C679" s="6">
        <v>445962375.07069403</v>
      </c>
      <c r="D679" s="6">
        <v>0</v>
      </c>
      <c r="E679" s="6">
        <v>27922526</v>
      </c>
    </row>
    <row r="680" spans="2:5" x14ac:dyDescent="0.3">
      <c r="B680" s="4" t="s">
        <v>201</v>
      </c>
      <c r="C680" s="6">
        <v>455519799.32273799</v>
      </c>
      <c r="D680" s="6">
        <v>0</v>
      </c>
      <c r="E680" s="6">
        <v>28398708</v>
      </c>
    </row>
    <row r="681" spans="2:5" x14ac:dyDescent="0.3">
      <c r="B681" s="4" t="s">
        <v>202</v>
      </c>
      <c r="C681" s="6">
        <v>459805363.31976402</v>
      </c>
      <c r="D681" s="6">
        <v>0</v>
      </c>
      <c r="E681" s="6">
        <v>29060808</v>
      </c>
    </row>
    <row r="682" spans="2:5" x14ac:dyDescent="0.3">
      <c r="B682" s="4" t="s">
        <v>203</v>
      </c>
      <c r="C682" s="6">
        <v>462952678.08188099</v>
      </c>
      <c r="D682" s="6">
        <v>0</v>
      </c>
      <c r="E682" s="6">
        <v>28999387</v>
      </c>
    </row>
    <row r="683" spans="2:5" x14ac:dyDescent="0.3">
      <c r="B683" s="4" t="s">
        <v>204</v>
      </c>
      <c r="C683" s="6">
        <v>452891645.09455103</v>
      </c>
      <c r="D683" s="6">
        <v>0</v>
      </c>
      <c r="E683" s="6">
        <v>28738027</v>
      </c>
    </row>
    <row r="684" spans="2:5" x14ac:dyDescent="0.3">
      <c r="B684" s="4" t="s">
        <v>205</v>
      </c>
      <c r="C684" s="6">
        <v>431412208.06128299</v>
      </c>
      <c r="D684" s="6">
        <v>0</v>
      </c>
      <c r="E684" s="6">
        <v>27703081</v>
      </c>
    </row>
    <row r="685" spans="2:5" x14ac:dyDescent="0.3">
      <c r="B685" s="4" t="s">
        <v>206</v>
      </c>
      <c r="C685" s="6">
        <v>458702735.50402999</v>
      </c>
      <c r="D685" s="6">
        <v>0</v>
      </c>
      <c r="E685" s="6">
        <v>30627665</v>
      </c>
    </row>
    <row r="686" spans="2:5" x14ac:dyDescent="0.3">
      <c r="B686" s="4" t="s">
        <v>207</v>
      </c>
      <c r="C686" s="6">
        <v>454581836.21913898</v>
      </c>
      <c r="D686" s="6">
        <v>0</v>
      </c>
      <c r="E686" s="6">
        <v>30815070</v>
      </c>
    </row>
    <row r="687" spans="2:5" x14ac:dyDescent="0.3">
      <c r="B687" s="4" t="s">
        <v>208</v>
      </c>
      <c r="C687" s="6">
        <v>487157764.20087999</v>
      </c>
      <c r="D687" s="6">
        <v>0</v>
      </c>
      <c r="E687" s="6">
        <v>31530979</v>
      </c>
    </row>
    <row r="688" spans="2:5" x14ac:dyDescent="0.3">
      <c r="B688" s="4" t="s">
        <v>209</v>
      </c>
      <c r="C688" s="6">
        <v>472295364.98960102</v>
      </c>
      <c r="D688" s="6">
        <v>0</v>
      </c>
      <c r="E688" s="6">
        <v>30500097</v>
      </c>
    </row>
    <row r="689" spans="2:5" x14ac:dyDescent="0.3">
      <c r="B689" s="4" t="s">
        <v>210</v>
      </c>
      <c r="C689" s="6">
        <v>487295648.14613801</v>
      </c>
      <c r="D689" s="6">
        <v>0</v>
      </c>
      <c r="E689" s="6">
        <v>32065112</v>
      </c>
    </row>
    <row r="690" spans="2:5" x14ac:dyDescent="0.3">
      <c r="B690" s="4" t="s">
        <v>211</v>
      </c>
      <c r="C690" s="6">
        <v>495203420.31194103</v>
      </c>
      <c r="D690" s="6">
        <v>0</v>
      </c>
      <c r="E690" s="6">
        <v>32967981</v>
      </c>
    </row>
    <row r="691" spans="2:5" x14ac:dyDescent="0.3">
      <c r="B691" s="4" t="s">
        <v>212</v>
      </c>
      <c r="C691" s="6">
        <v>496084560.84660399</v>
      </c>
      <c r="D691" s="6">
        <v>0</v>
      </c>
      <c r="E691" s="6">
        <v>33214369</v>
      </c>
    </row>
    <row r="692" spans="2:5" x14ac:dyDescent="0.3">
      <c r="B692" s="4" t="s">
        <v>213</v>
      </c>
      <c r="C692" s="6">
        <v>504567018.81774104</v>
      </c>
      <c r="D692" s="6">
        <v>0</v>
      </c>
      <c r="E692" s="6">
        <v>34257552</v>
      </c>
    </row>
    <row r="693" spans="2:5" x14ac:dyDescent="0.3">
      <c r="B693" s="4" t="s">
        <v>214</v>
      </c>
      <c r="C693" s="6">
        <v>487689503.47124702</v>
      </c>
      <c r="D693" s="6">
        <v>0</v>
      </c>
      <c r="E693" s="6">
        <v>33930379</v>
      </c>
    </row>
    <row r="694" spans="2:5" x14ac:dyDescent="0.3">
      <c r="B694" s="4" t="s">
        <v>215</v>
      </c>
      <c r="C694" s="6">
        <v>494970425.55544698</v>
      </c>
      <c r="D694" s="6">
        <v>0</v>
      </c>
      <c r="E694" s="6">
        <v>34712592</v>
      </c>
    </row>
    <row r="695" spans="2:5" x14ac:dyDescent="0.3">
      <c r="B695" s="4" t="s">
        <v>216</v>
      </c>
      <c r="C695" s="6">
        <v>499054522.33577502</v>
      </c>
      <c r="D695" s="6">
        <v>0</v>
      </c>
      <c r="E695" s="6">
        <v>34950500</v>
      </c>
    </row>
    <row r="696" spans="2:5" x14ac:dyDescent="0.3">
      <c r="B696" s="4" t="s">
        <v>217</v>
      </c>
      <c r="C696" s="6">
        <v>541885483.88677704</v>
      </c>
      <c r="D696" s="6">
        <v>0</v>
      </c>
      <c r="E696" s="6">
        <v>37363402</v>
      </c>
    </row>
    <row r="697" spans="2:5" x14ac:dyDescent="0.3">
      <c r="B697" s="4" t="s">
        <v>218</v>
      </c>
      <c r="C697" s="6">
        <v>566737355.52981496</v>
      </c>
      <c r="D697" s="6">
        <v>0</v>
      </c>
      <c r="E697" s="6">
        <v>38408585</v>
      </c>
    </row>
    <row r="698" spans="2:5" x14ac:dyDescent="0.3">
      <c r="B698" s="4" t="s">
        <v>219</v>
      </c>
      <c r="C698" s="6">
        <v>557409609.18435895</v>
      </c>
      <c r="D698" s="6">
        <v>0</v>
      </c>
      <c r="E698" s="6">
        <v>38308759</v>
      </c>
    </row>
    <row r="699" spans="2:5" x14ac:dyDescent="0.3">
      <c r="B699" s="4" t="s">
        <v>220</v>
      </c>
      <c r="C699" s="6">
        <v>561510431.01976705</v>
      </c>
      <c r="D699" s="6">
        <v>0</v>
      </c>
      <c r="E699" s="6">
        <v>39341501</v>
      </c>
    </row>
    <row r="700" spans="2:5" x14ac:dyDescent="0.3">
      <c r="B700" s="4" t="s">
        <v>221</v>
      </c>
      <c r="C700" s="6">
        <v>558305143.242046</v>
      </c>
      <c r="D700" s="6">
        <v>0</v>
      </c>
      <c r="E700" s="6">
        <v>43745016</v>
      </c>
    </row>
    <row r="701" spans="2:5" x14ac:dyDescent="0.3">
      <c r="B701" s="4" t="s">
        <v>222</v>
      </c>
      <c r="C701" s="6">
        <v>575527374.15288496</v>
      </c>
      <c r="D701" s="6">
        <v>0</v>
      </c>
      <c r="E701" s="6">
        <v>46349432</v>
      </c>
    </row>
    <row r="702" spans="2:5" x14ac:dyDescent="0.3">
      <c r="B702" s="4" t="s">
        <v>223</v>
      </c>
      <c r="C702" s="6">
        <v>509996424.33256495</v>
      </c>
      <c r="D702" s="6">
        <v>0</v>
      </c>
      <c r="E702" s="6">
        <v>42656586</v>
      </c>
    </row>
    <row r="703" spans="2:5" x14ac:dyDescent="0.3">
      <c r="B703" s="4" t="s">
        <v>224</v>
      </c>
      <c r="C703" s="6">
        <v>533931366.78733897</v>
      </c>
      <c r="D703" s="6">
        <v>0</v>
      </c>
      <c r="E703" s="6">
        <v>45630033</v>
      </c>
    </row>
    <row r="704" spans="2:5" x14ac:dyDescent="0.3">
      <c r="B704" s="4" t="s">
        <v>225</v>
      </c>
      <c r="C704" s="6">
        <v>544831244.40374804</v>
      </c>
      <c r="D704" s="6">
        <v>0</v>
      </c>
      <c r="E704" s="6">
        <v>45898567</v>
      </c>
    </row>
    <row r="705" spans="2:5" x14ac:dyDescent="0.3">
      <c r="B705" s="4" t="s">
        <v>226</v>
      </c>
      <c r="C705" s="6">
        <v>497351543.16171801</v>
      </c>
      <c r="D705" s="6">
        <v>0</v>
      </c>
      <c r="E705" s="6">
        <v>42825469</v>
      </c>
    </row>
    <row r="706" spans="2:5" x14ac:dyDescent="0.3">
      <c r="B706" s="4" t="s">
        <v>227</v>
      </c>
      <c r="C706" s="6">
        <v>508451120.025738</v>
      </c>
      <c r="D706" s="6">
        <v>0</v>
      </c>
      <c r="E706" s="6">
        <v>44057539</v>
      </c>
    </row>
    <row r="707" spans="2:5" x14ac:dyDescent="0.3">
      <c r="B707" s="4" t="s">
        <v>228</v>
      </c>
      <c r="C707" s="6">
        <v>509238008.48993301</v>
      </c>
      <c r="D707" s="6">
        <v>0</v>
      </c>
      <c r="E707" s="6">
        <v>43529555</v>
      </c>
    </row>
    <row r="708" spans="2:5" x14ac:dyDescent="0.3">
      <c r="B708" s="4" t="s">
        <v>229</v>
      </c>
      <c r="C708" s="6">
        <v>530528383.17110801</v>
      </c>
      <c r="D708" s="6">
        <v>0</v>
      </c>
      <c r="E708" s="6">
        <v>47697753</v>
      </c>
    </row>
    <row r="709" spans="2:5" x14ac:dyDescent="0.3">
      <c r="B709" s="4" t="s">
        <v>230</v>
      </c>
      <c r="C709" s="6">
        <v>497201278.189924</v>
      </c>
      <c r="D709" s="6">
        <v>0</v>
      </c>
      <c r="E709" s="6">
        <v>48204081</v>
      </c>
    </row>
    <row r="710" spans="2:5" x14ac:dyDescent="0.3">
      <c r="B710" s="4" t="s">
        <v>231</v>
      </c>
      <c r="C710" s="6">
        <v>503743036.20279896</v>
      </c>
      <c r="D710" s="6">
        <v>0</v>
      </c>
      <c r="E710" s="6">
        <v>50858891</v>
      </c>
    </row>
    <row r="711" spans="2:5" x14ac:dyDescent="0.3">
      <c r="B711" s="4" t="s">
        <v>232</v>
      </c>
      <c r="C711" s="6">
        <v>504759183.86403501</v>
      </c>
      <c r="D711" s="6">
        <v>0</v>
      </c>
      <c r="E711" s="6">
        <v>51580009</v>
      </c>
    </row>
    <row r="712" spans="2:5" x14ac:dyDescent="0.3">
      <c r="B712" s="4" t="s">
        <v>233</v>
      </c>
      <c r="C712" s="6">
        <v>532565672.49945402</v>
      </c>
      <c r="D712" s="6">
        <v>0</v>
      </c>
      <c r="E712" s="6">
        <v>54302050</v>
      </c>
    </row>
    <row r="713" spans="2:5" x14ac:dyDescent="0.3">
      <c r="B713" s="4" t="s">
        <v>234</v>
      </c>
      <c r="C713" s="6">
        <v>545517041.55833805</v>
      </c>
      <c r="D713" s="6">
        <v>0</v>
      </c>
      <c r="E713" s="6">
        <v>54962843</v>
      </c>
    </row>
    <row r="714" spans="2:5" x14ac:dyDescent="0.3">
      <c r="B714" s="4" t="s">
        <v>235</v>
      </c>
      <c r="C714" s="6">
        <v>537156769.188025</v>
      </c>
      <c r="D714" s="6">
        <v>0</v>
      </c>
      <c r="E714" s="6">
        <v>55091830</v>
      </c>
    </row>
    <row r="715" spans="2:5" x14ac:dyDescent="0.3">
      <c r="B715" s="4" t="s">
        <v>236</v>
      </c>
      <c r="C715" s="6">
        <v>503953410.86145496</v>
      </c>
      <c r="D715" s="6">
        <v>0</v>
      </c>
      <c r="E715" s="6">
        <v>52865139</v>
      </c>
    </row>
    <row r="716" spans="2:5" x14ac:dyDescent="0.3">
      <c r="B716" s="4" t="s">
        <v>237</v>
      </c>
      <c r="C716" s="6">
        <v>471557517.99501401</v>
      </c>
      <c r="D716" s="6">
        <v>0</v>
      </c>
      <c r="E716" s="6">
        <v>50908673</v>
      </c>
    </row>
    <row r="717" spans="2:5" x14ac:dyDescent="0.3">
      <c r="B717" s="4" t="s">
        <v>238</v>
      </c>
      <c r="C717" s="6">
        <v>480833263.461725</v>
      </c>
      <c r="D717" s="6">
        <v>0</v>
      </c>
      <c r="E717" s="6">
        <v>53295626</v>
      </c>
    </row>
    <row r="718" spans="2:5" x14ac:dyDescent="0.3">
      <c r="B718" s="4" t="s">
        <v>239</v>
      </c>
      <c r="C718" s="6">
        <v>469961388.70902801</v>
      </c>
      <c r="D718" s="6">
        <v>0</v>
      </c>
      <c r="E718" s="6">
        <v>52912866</v>
      </c>
    </row>
    <row r="719" spans="2:5" x14ac:dyDescent="0.3">
      <c r="B719" s="4" t="s">
        <v>240</v>
      </c>
      <c r="C719" s="6">
        <v>396214225.04081398</v>
      </c>
      <c r="D719" s="6">
        <v>0</v>
      </c>
      <c r="E719" s="6">
        <v>51689387</v>
      </c>
    </row>
    <row r="720" spans="2:5" x14ac:dyDescent="0.3">
      <c r="B720" s="4" t="s">
        <v>241</v>
      </c>
      <c r="C720" s="6">
        <v>399582865.249928</v>
      </c>
      <c r="D720" s="6">
        <v>0</v>
      </c>
      <c r="E720" s="6">
        <v>58695628</v>
      </c>
    </row>
    <row r="721" spans="2:5" x14ac:dyDescent="0.3">
      <c r="B721" s="4" t="s">
        <v>242</v>
      </c>
      <c r="C721" s="6">
        <v>355288100.78322101</v>
      </c>
      <c r="D721" s="6">
        <v>0</v>
      </c>
      <c r="E721" s="6">
        <v>52856494</v>
      </c>
    </row>
    <row r="722" spans="2:5" x14ac:dyDescent="0.3">
      <c r="B722" s="4" t="s">
        <v>243</v>
      </c>
      <c r="C722" s="6">
        <v>385125691.40660399</v>
      </c>
      <c r="D722" s="6">
        <v>0</v>
      </c>
      <c r="E722" s="6">
        <v>61276553</v>
      </c>
    </row>
    <row r="723" spans="2:5" x14ac:dyDescent="0.3">
      <c r="B723" s="4" t="s">
        <v>244</v>
      </c>
      <c r="C723" s="6">
        <v>413093461.44299197</v>
      </c>
      <c r="D723" s="6">
        <v>0</v>
      </c>
      <c r="E723" s="6">
        <v>66234872</v>
      </c>
    </row>
    <row r="724" spans="2:5" x14ac:dyDescent="0.3">
      <c r="B724" s="4" t="s">
        <v>245</v>
      </c>
      <c r="C724" s="6">
        <v>398741540.60057402</v>
      </c>
      <c r="D724" s="6">
        <v>0</v>
      </c>
      <c r="E724" s="6">
        <v>70424398</v>
      </c>
    </row>
    <row r="725" spans="2:5" x14ac:dyDescent="0.3">
      <c r="B725" s="4" t="s">
        <v>246</v>
      </c>
      <c r="C725" s="6">
        <v>410841917.51570499</v>
      </c>
      <c r="D725" s="6">
        <v>0</v>
      </c>
      <c r="E725" s="6">
        <v>74898713</v>
      </c>
    </row>
    <row r="726" spans="2:5" x14ac:dyDescent="0.3">
      <c r="B726" s="4" t="s">
        <v>247</v>
      </c>
      <c r="C726" s="6">
        <v>405027312.87672198</v>
      </c>
      <c r="D726" s="6">
        <v>0</v>
      </c>
      <c r="E726" s="6">
        <v>75605670</v>
      </c>
    </row>
    <row r="727" spans="2:5" x14ac:dyDescent="0.3">
      <c r="B727" s="4" t="s">
        <v>248</v>
      </c>
      <c r="C727" s="6">
        <v>372738425.92741001</v>
      </c>
      <c r="D727" s="6">
        <v>0</v>
      </c>
      <c r="E727" s="6">
        <v>78931356</v>
      </c>
    </row>
    <row r="728" spans="2:5" x14ac:dyDescent="0.3">
      <c r="B728" s="4" t="s">
        <v>249</v>
      </c>
      <c r="C728" s="6">
        <v>352506229.04163301</v>
      </c>
      <c r="D728" s="6">
        <v>0</v>
      </c>
      <c r="E728" s="6">
        <v>81178206</v>
      </c>
    </row>
    <row r="729" spans="2:5" x14ac:dyDescent="0.3">
      <c r="B729" s="4" t="s">
        <v>250</v>
      </c>
      <c r="C729" s="6">
        <v>357828633.18433499</v>
      </c>
      <c r="D729" s="6">
        <v>0</v>
      </c>
      <c r="E729" s="6">
        <v>84824281</v>
      </c>
    </row>
    <row r="730" spans="2:5" x14ac:dyDescent="0.3">
      <c r="B730" s="4" t="s">
        <v>251</v>
      </c>
      <c r="C730" s="6">
        <v>358472592.19103998</v>
      </c>
      <c r="D730" s="6">
        <v>0</v>
      </c>
      <c r="E730" s="6">
        <v>87993292</v>
      </c>
    </row>
    <row r="731" spans="2:5" x14ac:dyDescent="0.3">
      <c r="B731" s="4" t="s">
        <v>252</v>
      </c>
      <c r="C731" s="6">
        <v>357498450.31457502</v>
      </c>
      <c r="D731" s="6">
        <v>0</v>
      </c>
      <c r="E731" s="6">
        <v>94427059</v>
      </c>
    </row>
    <row r="732" spans="2:5" x14ac:dyDescent="0.3">
      <c r="B732" s="4" t="s">
        <v>253</v>
      </c>
      <c r="C732" s="6">
        <v>338075202.61729997</v>
      </c>
      <c r="D732" s="6">
        <v>0</v>
      </c>
      <c r="E732" s="6">
        <v>90268076</v>
      </c>
    </row>
    <row r="733" spans="2:5" x14ac:dyDescent="0.3">
      <c r="B733" s="4" t="s">
        <v>254</v>
      </c>
      <c r="C733" s="6">
        <v>344682985.32945597</v>
      </c>
      <c r="D733" s="6">
        <v>0</v>
      </c>
      <c r="E733" s="6">
        <v>92162266</v>
      </c>
    </row>
    <row r="734" spans="2:5" x14ac:dyDescent="0.3">
      <c r="B734" s="4" t="s">
        <v>255</v>
      </c>
      <c r="C734" s="6">
        <v>347147276.00751698</v>
      </c>
      <c r="D734" s="6">
        <v>0</v>
      </c>
      <c r="E734" s="6">
        <v>91584802</v>
      </c>
    </row>
    <row r="735" spans="2:5" x14ac:dyDescent="0.3">
      <c r="B735" s="4" t="s">
        <v>256</v>
      </c>
      <c r="C735" s="6">
        <v>346340344.23524803</v>
      </c>
      <c r="D735" s="6">
        <v>0</v>
      </c>
      <c r="E735" s="6">
        <v>91974600</v>
      </c>
    </row>
    <row r="736" spans="2:5" x14ac:dyDescent="0.3">
      <c r="B736" s="4" t="s">
        <v>257</v>
      </c>
      <c r="C736" s="6">
        <v>359181724.27095997</v>
      </c>
      <c r="D736" s="6">
        <v>0</v>
      </c>
      <c r="E736" s="6">
        <v>95899734</v>
      </c>
    </row>
    <row r="737" spans="2:5" x14ac:dyDescent="0.3">
      <c r="B737" s="4" t="s">
        <v>258</v>
      </c>
      <c r="C737" s="6">
        <v>353895623.99765199</v>
      </c>
      <c r="D737" s="6">
        <v>0</v>
      </c>
      <c r="E737" s="6">
        <v>98278292</v>
      </c>
    </row>
    <row r="738" spans="2:5" x14ac:dyDescent="0.3">
      <c r="B738" s="4" t="s">
        <v>259</v>
      </c>
      <c r="C738" s="6">
        <v>354025094.25650799</v>
      </c>
      <c r="D738" s="6">
        <v>0</v>
      </c>
      <c r="E738" s="6">
        <v>99770558</v>
      </c>
    </row>
    <row r="739" spans="2:5" x14ac:dyDescent="0.3">
      <c r="B739" s="4" t="s">
        <v>260</v>
      </c>
      <c r="C739" s="6">
        <v>361075380.82128298</v>
      </c>
      <c r="D739" s="6">
        <v>0</v>
      </c>
      <c r="E739" s="6">
        <v>102453548</v>
      </c>
    </row>
    <row r="740" spans="2:5" x14ac:dyDescent="0.3">
      <c r="B740" s="4" t="s">
        <v>261</v>
      </c>
      <c r="C740" s="6">
        <v>362110649.54975301</v>
      </c>
      <c r="D740" s="6">
        <v>0</v>
      </c>
      <c r="E740" s="6">
        <v>103243127</v>
      </c>
    </row>
    <row r="741" spans="2:5" x14ac:dyDescent="0.3">
      <c r="B741" s="4" t="s">
        <v>262</v>
      </c>
      <c r="C741" s="6">
        <v>377873441.56713903</v>
      </c>
      <c r="D741" s="6">
        <v>0</v>
      </c>
      <c r="E741" s="6">
        <v>106979455</v>
      </c>
    </row>
    <row r="742" spans="2:5" x14ac:dyDescent="0.3">
      <c r="B742" s="4" t="s">
        <v>263</v>
      </c>
      <c r="C742" s="6">
        <v>356868235.34332699</v>
      </c>
      <c r="D742" s="6">
        <v>0</v>
      </c>
      <c r="E742" s="6">
        <v>105822762</v>
      </c>
    </row>
    <row r="743" spans="2:5" x14ac:dyDescent="0.3">
      <c r="B743" s="4" t="s">
        <v>264</v>
      </c>
      <c r="C743" s="6">
        <v>358559199.619847</v>
      </c>
      <c r="D743" s="6">
        <v>0</v>
      </c>
      <c r="E743" s="6">
        <v>108249512</v>
      </c>
    </row>
    <row r="744" spans="2:5" x14ac:dyDescent="0.3">
      <c r="B744" s="4" t="s">
        <v>265</v>
      </c>
      <c r="C744" s="6">
        <v>352237790.87594998</v>
      </c>
      <c r="D744" s="6">
        <v>0</v>
      </c>
      <c r="E744" s="6">
        <v>104874815</v>
      </c>
    </row>
    <row r="745" spans="2:5" x14ac:dyDescent="0.3">
      <c r="B745" s="4" t="s">
        <v>266</v>
      </c>
      <c r="C745" s="6">
        <v>363070627.910896</v>
      </c>
      <c r="D745" s="6">
        <v>0</v>
      </c>
      <c r="E745" s="6">
        <v>101209883</v>
      </c>
    </row>
    <row r="746" spans="2:5" x14ac:dyDescent="0.3">
      <c r="B746" s="4" t="s">
        <v>267</v>
      </c>
      <c r="C746" s="6">
        <v>359805747.711757</v>
      </c>
      <c r="D746" s="6">
        <v>0</v>
      </c>
      <c r="E746" s="6">
        <v>100825832</v>
      </c>
    </row>
    <row r="747" spans="2:5" x14ac:dyDescent="0.3">
      <c r="B747" s="4" t="s">
        <v>268</v>
      </c>
      <c r="C747" s="6">
        <v>375868412.47431803</v>
      </c>
      <c r="D747" s="6">
        <v>0</v>
      </c>
      <c r="E747" s="6">
        <v>105164713</v>
      </c>
    </row>
    <row r="748" spans="2:5" x14ac:dyDescent="0.3">
      <c r="B748" s="4" t="s">
        <v>269</v>
      </c>
      <c r="C748" s="6">
        <v>366515586.022659</v>
      </c>
      <c r="D748" s="6">
        <v>0</v>
      </c>
      <c r="E748" s="6">
        <v>103919567</v>
      </c>
    </row>
    <row r="749" spans="2:5" x14ac:dyDescent="0.3">
      <c r="B749" s="4" t="s">
        <v>270</v>
      </c>
      <c r="C749" s="6">
        <v>365973140.86097401</v>
      </c>
      <c r="D749" s="6">
        <v>0</v>
      </c>
      <c r="E749" s="6">
        <v>105136857</v>
      </c>
    </row>
    <row r="750" spans="2:5" x14ac:dyDescent="0.3">
      <c r="B750" s="4" t="s">
        <v>271</v>
      </c>
      <c r="C750" s="6">
        <v>337163353.15401602</v>
      </c>
      <c r="D750" s="6">
        <v>0</v>
      </c>
      <c r="E750" s="6">
        <v>96675629</v>
      </c>
    </row>
    <row r="751" spans="2:5" x14ac:dyDescent="0.3">
      <c r="B751" s="4" t="s">
        <v>272</v>
      </c>
      <c r="C751" s="6">
        <v>349638803.00305402</v>
      </c>
      <c r="D751" s="6">
        <v>0</v>
      </c>
      <c r="E751" s="6">
        <v>101313790</v>
      </c>
    </row>
    <row r="752" spans="2:5" x14ac:dyDescent="0.3">
      <c r="B752" s="4" t="s">
        <v>273</v>
      </c>
      <c r="C752" s="6">
        <v>344282865.75385702</v>
      </c>
      <c r="D752" s="6">
        <v>0</v>
      </c>
      <c r="E752" s="6">
        <v>102710005</v>
      </c>
    </row>
    <row r="753" spans="2:5" x14ac:dyDescent="0.3">
      <c r="B753" s="4" t="s">
        <v>274</v>
      </c>
      <c r="C753" s="6">
        <v>345680489.06670499</v>
      </c>
      <c r="D753" s="6">
        <v>0</v>
      </c>
      <c r="E753" s="6">
        <v>108714063</v>
      </c>
    </row>
    <row r="754" spans="2:5" x14ac:dyDescent="0.3">
      <c r="B754" s="4" t="s">
        <v>275</v>
      </c>
      <c r="C754" s="6">
        <v>361943090.773444</v>
      </c>
      <c r="D754" s="6">
        <v>0</v>
      </c>
      <c r="E754" s="6">
        <v>112611947</v>
      </c>
    </row>
    <row r="755" spans="2:5" x14ac:dyDescent="0.3">
      <c r="B755" s="4" t="s">
        <v>276</v>
      </c>
      <c r="C755" s="6">
        <v>376051503.00617301</v>
      </c>
      <c r="D755" s="6">
        <v>0</v>
      </c>
      <c r="E755" s="6">
        <v>117514504</v>
      </c>
    </row>
    <row r="756" spans="2:5" x14ac:dyDescent="0.3">
      <c r="B756" s="4" t="s">
        <v>277</v>
      </c>
      <c r="C756" s="6">
        <v>366181223.56125599</v>
      </c>
      <c r="D756" s="6">
        <v>0</v>
      </c>
      <c r="E756" s="6">
        <v>117325717</v>
      </c>
    </row>
    <row r="757" spans="2:5" x14ac:dyDescent="0.3">
      <c r="B757" s="4" t="s">
        <v>278</v>
      </c>
      <c r="C757" s="6">
        <v>354098403.42572701</v>
      </c>
      <c r="D757" s="6">
        <v>0</v>
      </c>
      <c r="E757" s="6">
        <v>113094436</v>
      </c>
    </row>
    <row r="758" spans="2:5" x14ac:dyDescent="0.3">
      <c r="B758" s="4" t="s">
        <v>279</v>
      </c>
      <c r="C758" s="6">
        <v>359113650.711097</v>
      </c>
      <c r="D758" s="6">
        <v>0</v>
      </c>
      <c r="E758" s="6">
        <v>114939837</v>
      </c>
    </row>
    <row r="759" spans="2:5" x14ac:dyDescent="0.3">
      <c r="B759" s="4" t="s">
        <v>280</v>
      </c>
      <c r="C759" s="6">
        <v>366469417.25405997</v>
      </c>
      <c r="D759" s="6">
        <v>0</v>
      </c>
      <c r="E759" s="6">
        <v>118117237</v>
      </c>
    </row>
    <row r="760" spans="2:5" x14ac:dyDescent="0.3">
      <c r="B760" s="4" t="s">
        <v>281</v>
      </c>
      <c r="C760" s="6">
        <v>359177045.20808101</v>
      </c>
      <c r="D760" s="6">
        <v>0</v>
      </c>
      <c r="E760" s="6">
        <v>117288613</v>
      </c>
    </row>
    <row r="761" spans="2:5" x14ac:dyDescent="0.3">
      <c r="B761" s="4" t="s">
        <v>282</v>
      </c>
      <c r="C761" s="6">
        <v>353114984.88884699</v>
      </c>
      <c r="D761" s="6">
        <v>0</v>
      </c>
      <c r="E761" s="6">
        <v>115409397</v>
      </c>
    </row>
    <row r="762" spans="2:5" x14ac:dyDescent="0.3">
      <c r="B762" s="4" t="s">
        <v>283</v>
      </c>
      <c r="C762" s="6">
        <v>357578564.144445</v>
      </c>
      <c r="D762" s="6">
        <v>0</v>
      </c>
      <c r="E762" s="6">
        <v>116371900</v>
      </c>
    </row>
    <row r="763" spans="2:5" x14ac:dyDescent="0.3">
      <c r="B763" s="4" t="s">
        <v>284</v>
      </c>
      <c r="C763" s="6">
        <v>361895578.220855</v>
      </c>
      <c r="D763" s="6">
        <v>0</v>
      </c>
      <c r="E763" s="6">
        <v>116037079</v>
      </c>
    </row>
    <row r="764" spans="2:5" x14ac:dyDescent="0.3">
      <c r="B764" s="4" t="s">
        <v>285</v>
      </c>
      <c r="C764" s="6">
        <v>345314267.67756301</v>
      </c>
      <c r="D764" s="6">
        <v>0</v>
      </c>
      <c r="E764" s="6">
        <v>107827469</v>
      </c>
    </row>
    <row r="765" spans="2:5" x14ac:dyDescent="0.3">
      <c r="B765" s="4" t="s">
        <v>286</v>
      </c>
      <c r="C765" s="6">
        <v>340839473.025446</v>
      </c>
      <c r="D765" s="6">
        <v>0</v>
      </c>
      <c r="E765" s="6">
        <v>107265065</v>
      </c>
    </row>
    <row r="766" spans="2:5" x14ac:dyDescent="0.3">
      <c r="B766" s="4" t="s">
        <v>287</v>
      </c>
      <c r="C766" s="6">
        <v>340706144.94327801</v>
      </c>
      <c r="D766" s="6">
        <v>0</v>
      </c>
      <c r="E766" s="6">
        <v>113696268</v>
      </c>
    </row>
    <row r="767" spans="2:5" x14ac:dyDescent="0.3">
      <c r="B767" s="4" t="s">
        <v>288</v>
      </c>
      <c r="C767" s="6">
        <v>347788870.60058701</v>
      </c>
      <c r="D767" s="6">
        <v>0</v>
      </c>
      <c r="E767" s="6">
        <v>115321256</v>
      </c>
    </row>
    <row r="768" spans="2:5" x14ac:dyDescent="0.3">
      <c r="B768" s="4" t="s">
        <v>289</v>
      </c>
      <c r="C768" s="6">
        <v>344806987.10069799</v>
      </c>
      <c r="D768" s="6">
        <v>0</v>
      </c>
      <c r="E768" s="6">
        <v>116217271</v>
      </c>
    </row>
    <row r="769" spans="2:5" x14ac:dyDescent="0.3">
      <c r="B769" s="4" t="s">
        <v>290</v>
      </c>
      <c r="C769" s="6">
        <v>358487264.98811901</v>
      </c>
      <c r="D769" s="6">
        <v>0</v>
      </c>
      <c r="E769" s="6">
        <v>120591919</v>
      </c>
    </row>
    <row r="770" spans="2:5" x14ac:dyDescent="0.3">
      <c r="B770" s="4" t="s">
        <v>291</v>
      </c>
      <c r="C770" s="6">
        <v>361958661.05999202</v>
      </c>
      <c r="D770" s="6">
        <v>0</v>
      </c>
      <c r="E770" s="6">
        <v>120958264</v>
      </c>
    </row>
    <row r="771" spans="2:5" x14ac:dyDescent="0.3">
      <c r="B771" s="4" t="s">
        <v>292</v>
      </c>
      <c r="C771" s="6">
        <v>361991204.99064702</v>
      </c>
      <c r="D771" s="6">
        <v>0</v>
      </c>
      <c r="E771" s="6">
        <v>118151445</v>
      </c>
    </row>
    <row r="772" spans="2:5" x14ac:dyDescent="0.3">
      <c r="B772" s="4" t="s">
        <v>293</v>
      </c>
      <c r="C772" s="6">
        <v>358467842.52145302</v>
      </c>
      <c r="D772" s="6">
        <v>0</v>
      </c>
      <c r="E772" s="6">
        <v>118446049</v>
      </c>
    </row>
    <row r="773" spans="2:5" x14ac:dyDescent="0.3">
      <c r="B773" s="4" t="s">
        <v>294</v>
      </c>
      <c r="C773" s="6">
        <v>347221107.15724403</v>
      </c>
      <c r="D773" s="6">
        <v>0</v>
      </c>
      <c r="E773" s="6">
        <v>117999179</v>
      </c>
    </row>
    <row r="774" spans="2:5" x14ac:dyDescent="0.3">
      <c r="B774" s="4" t="s">
        <v>295</v>
      </c>
      <c r="C774" s="6">
        <v>363517444.90103</v>
      </c>
      <c r="D774" s="6">
        <v>0</v>
      </c>
      <c r="E774" s="6">
        <v>121413872</v>
      </c>
    </row>
    <row r="775" spans="2:5" x14ac:dyDescent="0.3">
      <c r="B775" s="4" t="s">
        <v>296</v>
      </c>
      <c r="C775" s="6">
        <v>372687258.871984</v>
      </c>
      <c r="D775" s="6">
        <v>0</v>
      </c>
      <c r="E775" s="6">
        <v>123041841</v>
      </c>
    </row>
    <row r="776" spans="2:5" x14ac:dyDescent="0.3">
      <c r="B776" s="4" t="s">
        <v>297</v>
      </c>
      <c r="C776" s="6">
        <v>373091271.365053</v>
      </c>
      <c r="D776" s="6">
        <v>0</v>
      </c>
      <c r="E776" s="6">
        <v>121371620</v>
      </c>
    </row>
    <row r="777" spans="2:5" x14ac:dyDescent="0.3">
      <c r="B777" s="4" t="s">
        <v>298</v>
      </c>
      <c r="C777" s="6">
        <v>372595918.19410098</v>
      </c>
      <c r="D777" s="6">
        <v>0</v>
      </c>
      <c r="E777" s="6">
        <v>120924578</v>
      </c>
    </row>
    <row r="778" spans="2:5" x14ac:dyDescent="0.3">
      <c r="B778" s="4" t="s">
        <v>299</v>
      </c>
      <c r="C778" s="6">
        <v>371399837.49749798</v>
      </c>
      <c r="D778" s="6">
        <v>0</v>
      </c>
      <c r="E778" s="6">
        <v>120281331</v>
      </c>
    </row>
    <row r="779" spans="2:5" x14ac:dyDescent="0.3">
      <c r="B779" s="4" t="s">
        <v>300</v>
      </c>
      <c r="C779" s="6">
        <v>380004119.99359101</v>
      </c>
      <c r="D779" s="6">
        <v>0</v>
      </c>
      <c r="E779" s="6">
        <v>122998597</v>
      </c>
    </row>
    <row r="780" spans="2:5" x14ac:dyDescent="0.3">
      <c r="B780" s="4" t="s">
        <v>301</v>
      </c>
      <c r="C780" s="6">
        <v>380904439.65903199</v>
      </c>
      <c r="D780" s="6">
        <v>0</v>
      </c>
      <c r="E780" s="6">
        <v>123016852</v>
      </c>
    </row>
    <row r="781" spans="2:5" x14ac:dyDescent="0.3">
      <c r="B781" s="4" t="s">
        <v>302</v>
      </c>
      <c r="C781" s="6">
        <v>391574395.838067</v>
      </c>
      <c r="D781" s="6">
        <v>0</v>
      </c>
      <c r="E781" s="6">
        <v>127613513</v>
      </c>
    </row>
    <row r="782" spans="2:5" x14ac:dyDescent="0.3">
      <c r="B782" s="4" t="s">
        <v>303</v>
      </c>
      <c r="C782" s="6">
        <v>408026359.44595301</v>
      </c>
      <c r="D782" s="6">
        <v>0</v>
      </c>
      <c r="E782" s="6">
        <v>120611800</v>
      </c>
    </row>
    <row r="783" spans="2:5" x14ac:dyDescent="0.3">
      <c r="B783" s="4" t="s">
        <v>304</v>
      </c>
      <c r="C783" s="6">
        <v>425581915.92337203</v>
      </c>
      <c r="D783" s="6">
        <v>0</v>
      </c>
      <c r="E783" s="6">
        <v>120057437</v>
      </c>
    </row>
    <row r="784" spans="2:5" x14ac:dyDescent="0.3">
      <c r="B784" s="4" t="s">
        <v>305</v>
      </c>
      <c r="C784" s="6">
        <v>444343338.44622505</v>
      </c>
      <c r="D784" s="6">
        <v>0</v>
      </c>
      <c r="E784" s="6">
        <v>123351393</v>
      </c>
    </row>
    <row r="785" spans="2:5" x14ac:dyDescent="0.3">
      <c r="B785" s="4" t="s">
        <v>306</v>
      </c>
      <c r="C785" s="6">
        <v>452072925.50810599</v>
      </c>
      <c r="D785" s="6">
        <v>0</v>
      </c>
      <c r="E785" s="6">
        <v>123685568</v>
      </c>
    </row>
    <row r="786" spans="2:5" x14ac:dyDescent="0.3">
      <c r="B786" s="4" t="s">
        <v>307</v>
      </c>
      <c r="C786" s="6">
        <v>470650573.01609695</v>
      </c>
      <c r="D786" s="6">
        <v>0</v>
      </c>
      <c r="E786" s="6">
        <v>128318594</v>
      </c>
    </row>
    <row r="787" spans="2:5" x14ac:dyDescent="0.3">
      <c r="B787" s="4" t="s">
        <v>308</v>
      </c>
      <c r="C787" s="6">
        <v>462358984.03208005</v>
      </c>
      <c r="D787" s="6">
        <v>0</v>
      </c>
      <c r="E787" s="6">
        <v>127786988</v>
      </c>
    </row>
    <row r="788" spans="2:5" x14ac:dyDescent="0.3">
      <c r="B788" s="4" t="s">
        <v>309</v>
      </c>
      <c r="C788" s="6">
        <v>457645100.31368101</v>
      </c>
      <c r="D788" s="6">
        <v>0</v>
      </c>
      <c r="E788" s="6">
        <v>127097171</v>
      </c>
    </row>
    <row r="789" spans="2:5" x14ac:dyDescent="0.3">
      <c r="B789" s="4" t="s">
        <v>310</v>
      </c>
      <c r="C789" s="6">
        <v>453293199.825176</v>
      </c>
      <c r="D789" s="6">
        <v>0</v>
      </c>
      <c r="E789" s="6">
        <v>125037039</v>
      </c>
    </row>
    <row r="790" spans="2:5" x14ac:dyDescent="0.3">
      <c r="B790" s="4" t="s">
        <v>311</v>
      </c>
      <c r="C790" s="6">
        <v>430087336.10305798</v>
      </c>
      <c r="D790" s="6">
        <v>0</v>
      </c>
      <c r="E790" s="6">
        <v>119440711</v>
      </c>
    </row>
    <row r="791" spans="2:5" x14ac:dyDescent="0.3">
      <c r="B791" s="4" t="s">
        <v>312</v>
      </c>
      <c r="C791" s="6">
        <v>360872346.92625803</v>
      </c>
      <c r="D791" s="6">
        <v>0</v>
      </c>
      <c r="E791" s="6">
        <v>105265761</v>
      </c>
    </row>
    <row r="792" spans="2:5" x14ac:dyDescent="0.3">
      <c r="B792" s="4" t="s">
        <v>313</v>
      </c>
      <c r="C792" s="6">
        <v>372252639.66768199</v>
      </c>
      <c r="D792" s="6">
        <v>0</v>
      </c>
      <c r="E792" s="6">
        <v>108063346</v>
      </c>
    </row>
    <row r="793" spans="2:5" x14ac:dyDescent="0.3">
      <c r="B793" s="4" t="s">
        <v>314</v>
      </c>
      <c r="C793" s="6">
        <v>375376665.75743198</v>
      </c>
      <c r="D793" s="6">
        <v>0</v>
      </c>
      <c r="E793" s="6">
        <v>106662637</v>
      </c>
    </row>
    <row r="794" spans="2:5" x14ac:dyDescent="0.3">
      <c r="B794" s="4" t="s">
        <v>315</v>
      </c>
      <c r="C794" s="6">
        <v>394143641.84053802</v>
      </c>
      <c r="D794" s="6">
        <v>0</v>
      </c>
      <c r="E794" s="6">
        <v>113938870</v>
      </c>
    </row>
    <row r="795" spans="2:5" x14ac:dyDescent="0.3">
      <c r="B795" s="4" t="s">
        <v>316</v>
      </c>
      <c r="C795" s="6">
        <v>395987360.27576602</v>
      </c>
      <c r="D795" s="6">
        <v>0</v>
      </c>
      <c r="E795" s="6">
        <v>115363311</v>
      </c>
    </row>
    <row r="796" spans="2:5" x14ac:dyDescent="0.3">
      <c r="B796" s="4" t="s">
        <v>317</v>
      </c>
      <c r="C796" s="6">
        <v>385889475.493945</v>
      </c>
      <c r="D796" s="6">
        <v>0</v>
      </c>
      <c r="E796" s="6">
        <v>113170821</v>
      </c>
    </row>
    <row r="797" spans="2:5" x14ac:dyDescent="0.3">
      <c r="B797" s="4" t="s">
        <v>318</v>
      </c>
      <c r="C797" s="6">
        <v>404443456.41152102</v>
      </c>
      <c r="D797" s="6">
        <v>0</v>
      </c>
      <c r="E797" s="6">
        <v>114982077</v>
      </c>
    </row>
    <row r="798" spans="2:5" x14ac:dyDescent="0.3">
      <c r="B798" s="4" t="s">
        <v>319</v>
      </c>
      <c r="C798" s="6">
        <v>395605769.08790398</v>
      </c>
      <c r="D798" s="6">
        <v>0</v>
      </c>
      <c r="E798" s="6">
        <v>113380508</v>
      </c>
    </row>
    <row r="799" spans="2:5" x14ac:dyDescent="0.3">
      <c r="B799" s="4" t="s">
        <v>320</v>
      </c>
      <c r="C799" s="6">
        <v>411461023.87814701</v>
      </c>
      <c r="D799" s="6">
        <v>0</v>
      </c>
      <c r="E799" s="6">
        <v>114925314</v>
      </c>
    </row>
    <row r="800" spans="2:5" x14ac:dyDescent="0.3">
      <c r="B800" s="4" t="s">
        <v>321</v>
      </c>
      <c r="C800" s="6">
        <v>396329452.73322898</v>
      </c>
      <c r="D800" s="6">
        <v>0</v>
      </c>
      <c r="E800" s="6">
        <v>112033952</v>
      </c>
    </row>
    <row r="801" spans="2:5" x14ac:dyDescent="0.3">
      <c r="B801" s="4" t="s">
        <v>322</v>
      </c>
      <c r="C801" s="6">
        <v>402353423.49395001</v>
      </c>
      <c r="D801" s="6">
        <v>0</v>
      </c>
      <c r="E801" s="6">
        <v>113248519</v>
      </c>
    </row>
    <row r="802" spans="2:5" x14ac:dyDescent="0.3">
      <c r="B802" s="4" t="s">
        <v>323</v>
      </c>
      <c r="C802" s="6">
        <v>407836917.50924999</v>
      </c>
      <c r="D802" s="6">
        <v>0</v>
      </c>
      <c r="E802" s="6">
        <v>115557980</v>
      </c>
    </row>
    <row r="803" spans="2:5" x14ac:dyDescent="0.3">
      <c r="B803" s="4" t="s">
        <v>324</v>
      </c>
      <c r="C803" s="6">
        <v>389354386.87794799</v>
      </c>
      <c r="D803" s="6">
        <v>0</v>
      </c>
      <c r="E803" s="6">
        <v>111513894</v>
      </c>
    </row>
    <row r="804" spans="2:5" x14ac:dyDescent="0.3">
      <c r="B804" s="4" t="s">
        <v>325</v>
      </c>
      <c r="C804" s="6">
        <v>408804532.88407201</v>
      </c>
      <c r="D804" s="6">
        <v>0</v>
      </c>
      <c r="E804" s="6">
        <v>113304609</v>
      </c>
    </row>
    <row r="805" spans="2:5" x14ac:dyDescent="0.3">
      <c r="B805" s="4" t="s">
        <v>326</v>
      </c>
      <c r="C805" s="6">
        <v>411786740.40027899</v>
      </c>
      <c r="D805" s="6">
        <v>0</v>
      </c>
      <c r="E805" s="6">
        <v>117989567</v>
      </c>
    </row>
    <row r="806" spans="2:5" x14ac:dyDescent="0.3">
      <c r="B806" s="4" t="s">
        <v>327</v>
      </c>
      <c r="C806" s="6">
        <v>440707844.76610303</v>
      </c>
      <c r="D806" s="6">
        <v>0</v>
      </c>
      <c r="E806" s="6">
        <v>124756238</v>
      </c>
    </row>
    <row r="807" spans="2:5" x14ac:dyDescent="0.3">
      <c r="B807" s="4" t="s">
        <v>328</v>
      </c>
      <c r="C807" s="6">
        <v>440979796.16715205</v>
      </c>
      <c r="D807" s="6">
        <v>0</v>
      </c>
      <c r="E807" s="6">
        <v>125692451</v>
      </c>
    </row>
    <row r="808" spans="2:5" x14ac:dyDescent="0.3">
      <c r="B808" s="4" t="s">
        <v>329</v>
      </c>
      <c r="C808" s="6">
        <v>417777766.256006</v>
      </c>
      <c r="D808" s="6">
        <v>0</v>
      </c>
      <c r="E808" s="6">
        <v>119892348</v>
      </c>
    </row>
    <row r="809" spans="2:5" x14ac:dyDescent="0.3">
      <c r="B809" s="4" t="s">
        <v>330</v>
      </c>
      <c r="C809" s="6">
        <v>421411936.64733803</v>
      </c>
      <c r="D809" s="6">
        <v>0</v>
      </c>
      <c r="E809" s="6">
        <v>121841770</v>
      </c>
    </row>
    <row r="810" spans="2:5" x14ac:dyDescent="0.3">
      <c r="B810" s="4" t="s">
        <v>331</v>
      </c>
      <c r="C810" s="6">
        <v>425360257.60370803</v>
      </c>
      <c r="D810" s="6">
        <v>0</v>
      </c>
      <c r="E810" s="6">
        <v>121777971</v>
      </c>
    </row>
    <row r="811" spans="2:5" x14ac:dyDescent="0.3">
      <c r="B811" s="4" t="s">
        <v>332</v>
      </c>
      <c r="C811" s="6">
        <v>434358016.350124</v>
      </c>
      <c r="D811" s="6">
        <v>0</v>
      </c>
      <c r="E811" s="6">
        <v>123821825</v>
      </c>
    </row>
    <row r="812" spans="2:5" x14ac:dyDescent="0.3">
      <c r="B812" s="4" t="s">
        <v>333</v>
      </c>
      <c r="C812" s="6">
        <v>418864904.54449904</v>
      </c>
      <c r="D812" s="6">
        <v>0</v>
      </c>
      <c r="E812" s="6">
        <v>120055337</v>
      </c>
    </row>
    <row r="813" spans="2:5" x14ac:dyDescent="0.3">
      <c r="B813" s="4" t="s">
        <v>334</v>
      </c>
      <c r="C813" s="6">
        <v>411899101.47152197</v>
      </c>
      <c r="D813" s="6">
        <v>0</v>
      </c>
      <c r="E813" s="6">
        <v>118553845</v>
      </c>
    </row>
    <row r="814" spans="2:5" x14ac:dyDescent="0.3">
      <c r="B814" s="4" t="s">
        <v>335</v>
      </c>
      <c r="C814" s="6">
        <v>423783738.55558705</v>
      </c>
      <c r="D814" s="6">
        <v>0</v>
      </c>
      <c r="E814" s="6">
        <v>119919216</v>
      </c>
    </row>
    <row r="815" spans="2:5" x14ac:dyDescent="0.3">
      <c r="B815" s="4" t="s">
        <v>336</v>
      </c>
      <c r="C815" s="6">
        <v>413017924.90617299</v>
      </c>
      <c r="D815" s="6">
        <v>0</v>
      </c>
      <c r="E815" s="6">
        <v>117421982</v>
      </c>
    </row>
    <row r="816" spans="2:5" x14ac:dyDescent="0.3">
      <c r="B816" s="4" t="s">
        <v>337</v>
      </c>
      <c r="C816" s="6">
        <v>416889518.20523798</v>
      </c>
      <c r="D816" s="6">
        <v>0</v>
      </c>
      <c r="E816" s="6">
        <v>118701996</v>
      </c>
    </row>
    <row r="817" spans="2:5" x14ac:dyDescent="0.3">
      <c r="B817" s="4" t="s">
        <v>338</v>
      </c>
      <c r="C817" s="6">
        <v>424268919.38154101</v>
      </c>
      <c r="D817" s="6">
        <v>0</v>
      </c>
      <c r="E817" s="6">
        <v>120012980</v>
      </c>
    </row>
    <row r="818" spans="2:5" x14ac:dyDescent="0.3">
      <c r="B818" s="4" t="s">
        <v>339</v>
      </c>
      <c r="C818" s="6">
        <v>423827530.42454696</v>
      </c>
      <c r="D818" s="6">
        <v>0</v>
      </c>
      <c r="E818" s="6">
        <v>119901582</v>
      </c>
    </row>
    <row r="819" spans="2:5" x14ac:dyDescent="0.3">
      <c r="B819" s="4" t="s">
        <v>340</v>
      </c>
      <c r="C819" s="6">
        <v>420352890.05477703</v>
      </c>
      <c r="D819" s="6">
        <v>0</v>
      </c>
      <c r="E819" s="6">
        <v>116851667</v>
      </c>
    </row>
    <row r="820" spans="2:5" x14ac:dyDescent="0.3">
      <c r="B820" s="4" t="s">
        <v>341</v>
      </c>
      <c r="C820" s="6">
        <v>422511356.42466199</v>
      </c>
      <c r="D820" s="6">
        <v>0</v>
      </c>
      <c r="E820" s="6">
        <v>111182693</v>
      </c>
    </row>
    <row r="821" spans="2:5" x14ac:dyDescent="0.3">
      <c r="B821" s="4" t="s">
        <v>342</v>
      </c>
      <c r="C821" s="6">
        <v>424564658.92133605</v>
      </c>
      <c r="D821" s="6">
        <v>0</v>
      </c>
      <c r="E821" s="6">
        <v>114067080</v>
      </c>
    </row>
    <row r="822" spans="2:5" x14ac:dyDescent="0.3">
      <c r="B822" s="4" t="s">
        <v>343</v>
      </c>
      <c r="C822" s="6">
        <v>473465020.84961402</v>
      </c>
      <c r="D822" s="6">
        <v>0</v>
      </c>
      <c r="E822" s="6">
        <v>124240612</v>
      </c>
    </row>
    <row r="823" spans="2:5" x14ac:dyDescent="0.3">
      <c r="B823" s="4" t="s">
        <v>344</v>
      </c>
      <c r="C823" s="6">
        <v>466873912.97226703</v>
      </c>
      <c r="D823" s="6">
        <v>0</v>
      </c>
      <c r="E823" s="6">
        <v>122141653</v>
      </c>
    </row>
    <row r="824" spans="2:5" x14ac:dyDescent="0.3">
      <c r="B824" s="4" t="s">
        <v>345</v>
      </c>
      <c r="C824" s="6">
        <v>481082644.53217399</v>
      </c>
      <c r="D824" s="6">
        <v>0</v>
      </c>
      <c r="E824" s="6">
        <v>124890962</v>
      </c>
    </row>
    <row r="825" spans="2:5" x14ac:dyDescent="0.3">
      <c r="B825" s="4" t="s">
        <v>346</v>
      </c>
      <c r="C825" s="6">
        <v>476239694.06944597</v>
      </c>
      <c r="D825" s="6">
        <v>0</v>
      </c>
      <c r="E825" s="6">
        <v>124099809</v>
      </c>
    </row>
    <row r="826" spans="2:5" x14ac:dyDescent="0.3">
      <c r="B826" s="4" t="s">
        <v>347</v>
      </c>
      <c r="C826" s="6">
        <v>500050625.50535297</v>
      </c>
      <c r="D826" s="6">
        <v>0</v>
      </c>
      <c r="E826" s="6">
        <v>128340915</v>
      </c>
    </row>
    <row r="827" spans="2:5" x14ac:dyDescent="0.3">
      <c r="B827" s="4" t="s">
        <v>348</v>
      </c>
      <c r="C827" s="6">
        <v>482208410.08397603</v>
      </c>
      <c r="D827" s="6">
        <v>0</v>
      </c>
      <c r="E827" s="6">
        <v>125987651</v>
      </c>
    </row>
    <row r="828" spans="2:5" x14ac:dyDescent="0.3">
      <c r="B828" s="4" t="s">
        <v>349</v>
      </c>
      <c r="C828" s="6">
        <v>477966939.98400903</v>
      </c>
      <c r="D828" s="6">
        <v>0</v>
      </c>
      <c r="E828" s="6">
        <v>124355071</v>
      </c>
    </row>
    <row r="829" spans="2:5" x14ac:dyDescent="0.3">
      <c r="B829" s="4" t="s">
        <v>350</v>
      </c>
      <c r="C829" s="6">
        <v>482709106.89630497</v>
      </c>
      <c r="D829" s="6">
        <v>0</v>
      </c>
      <c r="E829" s="6">
        <v>126515782</v>
      </c>
    </row>
    <row r="830" spans="2:5" x14ac:dyDescent="0.3">
      <c r="B830" s="4" t="s">
        <v>351</v>
      </c>
      <c r="C830" s="6">
        <v>484852367.02691698</v>
      </c>
      <c r="D830" s="6">
        <v>0</v>
      </c>
      <c r="E830" s="6">
        <v>127412750</v>
      </c>
    </row>
    <row r="831" spans="2:5" x14ac:dyDescent="0.3">
      <c r="B831" s="4" t="s">
        <v>352</v>
      </c>
      <c r="C831" s="6">
        <v>482880750.43347502</v>
      </c>
      <c r="D831" s="6">
        <v>0</v>
      </c>
      <c r="E831" s="6">
        <v>124864798</v>
      </c>
    </row>
    <row r="832" spans="2:5" x14ac:dyDescent="0.3">
      <c r="B832" s="4" t="s">
        <v>353</v>
      </c>
      <c r="C832" s="6">
        <v>500716075.83374202</v>
      </c>
      <c r="D832" s="6">
        <v>0</v>
      </c>
      <c r="E832" s="6">
        <v>125657888</v>
      </c>
    </row>
    <row r="833" spans="2:5" x14ac:dyDescent="0.3">
      <c r="B833" s="4" t="s">
        <v>354</v>
      </c>
      <c r="C833" s="6">
        <v>514911176.53419602</v>
      </c>
      <c r="D833" s="6">
        <v>0</v>
      </c>
      <c r="E833" s="6">
        <v>122282255</v>
      </c>
    </row>
    <row r="834" spans="2:5" x14ac:dyDescent="0.3">
      <c r="B834" s="4" t="s">
        <v>355</v>
      </c>
      <c r="C834" s="6">
        <v>530639570.75176001</v>
      </c>
      <c r="D834" s="6">
        <v>0</v>
      </c>
      <c r="E834" s="6">
        <v>119162440</v>
      </c>
    </row>
    <row r="835" spans="2:5" x14ac:dyDescent="0.3">
      <c r="B835" s="4" t="s">
        <v>356</v>
      </c>
      <c r="C835" s="6">
        <v>522599099.94518995</v>
      </c>
      <c r="D835" s="6">
        <v>0</v>
      </c>
      <c r="E835" s="6">
        <v>116025768</v>
      </c>
    </row>
    <row r="836" spans="2:5" x14ac:dyDescent="0.3">
      <c r="B836" s="4" t="s">
        <v>357</v>
      </c>
      <c r="C836" s="6">
        <v>521049471.13431501</v>
      </c>
      <c r="D836" s="6">
        <v>0</v>
      </c>
      <c r="E836" s="6">
        <v>114438157</v>
      </c>
    </row>
    <row r="837" spans="2:5" x14ac:dyDescent="0.3">
      <c r="B837" s="4" t="s">
        <v>358</v>
      </c>
      <c r="C837" s="6">
        <v>528798804.16894197</v>
      </c>
      <c r="D837" s="6">
        <v>0</v>
      </c>
      <c r="E837" s="6">
        <v>114839461</v>
      </c>
    </row>
    <row r="838" spans="2:5" x14ac:dyDescent="0.3">
      <c r="B838" s="4" t="s">
        <v>359</v>
      </c>
      <c r="C838" s="6">
        <v>529816230.37255096</v>
      </c>
      <c r="D838" s="6">
        <v>0</v>
      </c>
      <c r="E838" s="6">
        <v>115149915</v>
      </c>
    </row>
    <row r="839" spans="2:5" x14ac:dyDescent="0.3">
      <c r="B839" s="4" t="s">
        <v>360</v>
      </c>
      <c r="C839" s="6">
        <v>527090786.05653095</v>
      </c>
      <c r="D839" s="6">
        <v>0</v>
      </c>
      <c r="E839" s="6">
        <v>112931714</v>
      </c>
    </row>
    <row r="840" spans="2:5" x14ac:dyDescent="0.3">
      <c r="B840" s="4" t="s">
        <v>361</v>
      </c>
      <c r="C840" s="6">
        <v>537066208.53931797</v>
      </c>
      <c r="D840" s="6">
        <v>0</v>
      </c>
      <c r="E840" s="6">
        <v>110441604</v>
      </c>
    </row>
    <row r="841" spans="2:5" x14ac:dyDescent="0.3">
      <c r="B841" s="4" t="s">
        <v>362</v>
      </c>
      <c r="C841" s="6">
        <v>544723898.09060705</v>
      </c>
      <c r="D841" s="6">
        <v>0</v>
      </c>
      <c r="E841" s="6">
        <v>103705899</v>
      </c>
    </row>
    <row r="842" spans="2:5" x14ac:dyDescent="0.3">
      <c r="B842" s="4" t="s">
        <v>363</v>
      </c>
      <c r="C842" s="6">
        <v>536091476.26777005</v>
      </c>
      <c r="D842" s="6">
        <v>0</v>
      </c>
      <c r="E842" s="6">
        <v>102457745</v>
      </c>
    </row>
    <row r="843" spans="2:5" x14ac:dyDescent="0.3">
      <c r="B843" s="4" t="s">
        <v>364</v>
      </c>
      <c r="C843" s="6">
        <v>527669076.09069002</v>
      </c>
      <c r="D843" s="6">
        <v>0</v>
      </c>
      <c r="E843" s="6">
        <v>104064718</v>
      </c>
    </row>
    <row r="844" spans="2:5" x14ac:dyDescent="0.3">
      <c r="B844" s="4" t="s">
        <v>365</v>
      </c>
      <c r="C844" s="6">
        <v>538190893.67556798</v>
      </c>
      <c r="D844" s="6">
        <v>0</v>
      </c>
      <c r="E844" s="6">
        <v>105374717</v>
      </c>
    </row>
    <row r="845" spans="2:5" x14ac:dyDescent="0.3">
      <c r="B845" s="4" t="s">
        <v>366</v>
      </c>
      <c r="C845" s="6">
        <v>556854628.51704705</v>
      </c>
      <c r="D845" s="6">
        <v>0</v>
      </c>
      <c r="E845" s="6">
        <v>106034182</v>
      </c>
    </row>
    <row r="846" spans="2:5" x14ac:dyDescent="0.3">
      <c r="B846" s="4" t="s">
        <v>367</v>
      </c>
      <c r="C846" s="6">
        <v>545585370.11956894</v>
      </c>
      <c r="D846" s="6">
        <v>0</v>
      </c>
      <c r="E846" s="6">
        <v>100964509</v>
      </c>
    </row>
    <row r="847" spans="2:5" x14ac:dyDescent="0.3">
      <c r="B847" s="4" t="s">
        <v>368</v>
      </c>
      <c r="C847" s="6">
        <v>553702034.03868198</v>
      </c>
      <c r="D847" s="6">
        <v>0</v>
      </c>
      <c r="E847" s="6">
        <v>101219838</v>
      </c>
    </row>
    <row r="848" spans="2:5" x14ac:dyDescent="0.3">
      <c r="B848" s="4" t="s">
        <v>369</v>
      </c>
      <c r="C848" s="6">
        <v>562465699.85790002</v>
      </c>
      <c r="D848" s="6">
        <v>0</v>
      </c>
      <c r="E848" s="6">
        <v>102014354</v>
      </c>
    </row>
    <row r="849" spans="2:5" x14ac:dyDescent="0.3">
      <c r="B849" s="4" t="s">
        <v>370</v>
      </c>
      <c r="C849" s="6">
        <v>530328003.93348801</v>
      </c>
      <c r="D849" s="6">
        <v>0</v>
      </c>
      <c r="E849" s="6">
        <v>97279113</v>
      </c>
    </row>
    <row r="850" spans="2:5" x14ac:dyDescent="0.3">
      <c r="B850" s="4" t="s">
        <v>371</v>
      </c>
      <c r="C850" s="6">
        <v>525085501.10278201</v>
      </c>
      <c r="D850" s="6">
        <v>0</v>
      </c>
      <c r="E850" s="6">
        <v>96855394</v>
      </c>
    </row>
    <row r="851" spans="2:5" x14ac:dyDescent="0.3">
      <c r="B851" s="4" t="s">
        <v>372</v>
      </c>
      <c r="C851" s="6">
        <v>536955537.78132999</v>
      </c>
      <c r="D851" s="6">
        <v>0</v>
      </c>
      <c r="E851" s="6">
        <v>100769067</v>
      </c>
    </row>
    <row r="852" spans="2:5" x14ac:dyDescent="0.3">
      <c r="B852" s="4" t="s">
        <v>373</v>
      </c>
      <c r="C852" s="6">
        <v>516643256.00489998</v>
      </c>
      <c r="D852" s="6">
        <v>0</v>
      </c>
      <c r="E852" s="6">
        <v>94428653</v>
      </c>
    </row>
    <row r="853" spans="2:5" x14ac:dyDescent="0.3">
      <c r="B853" s="4" t="s">
        <v>374</v>
      </c>
      <c r="C853" s="6">
        <v>549314670.583022</v>
      </c>
      <c r="D853" s="6">
        <v>0</v>
      </c>
      <c r="E853" s="6">
        <v>95808761</v>
      </c>
    </row>
    <row r="854" spans="2:5" x14ac:dyDescent="0.3">
      <c r="B854" s="4" t="s">
        <v>375</v>
      </c>
      <c r="C854" s="6">
        <v>553872218.44021797</v>
      </c>
      <c r="D854" s="6">
        <v>0</v>
      </c>
      <c r="E854" s="6">
        <v>98247471</v>
      </c>
    </row>
    <row r="855" spans="2:5" x14ac:dyDescent="0.3">
      <c r="B855" s="4" t="s">
        <v>376</v>
      </c>
      <c r="C855" s="6">
        <v>577448669.85342002</v>
      </c>
      <c r="D855" s="6">
        <v>0</v>
      </c>
      <c r="E855" s="6">
        <v>99382916</v>
      </c>
    </row>
    <row r="856" spans="2:5" x14ac:dyDescent="0.3">
      <c r="B856" s="4" t="s">
        <v>377</v>
      </c>
      <c r="C856" s="6">
        <v>569178333.31585896</v>
      </c>
      <c r="D856" s="6">
        <v>0</v>
      </c>
      <c r="E856" s="6">
        <v>98974828</v>
      </c>
    </row>
    <row r="857" spans="2:5" x14ac:dyDescent="0.3">
      <c r="B857" s="4" t="s">
        <v>378</v>
      </c>
      <c r="C857" s="6">
        <v>575632869.85053897</v>
      </c>
      <c r="D857" s="6">
        <v>0</v>
      </c>
      <c r="E857" s="6">
        <v>101741613</v>
      </c>
    </row>
    <row r="858" spans="2:5" x14ac:dyDescent="0.3">
      <c r="B858" s="4" t="s">
        <v>379</v>
      </c>
      <c r="C858" s="6">
        <v>572981004.09669304</v>
      </c>
      <c r="D858" s="6">
        <v>0</v>
      </c>
      <c r="E858" s="6">
        <v>100403778</v>
      </c>
    </row>
    <row r="859" spans="2:5" x14ac:dyDescent="0.3">
      <c r="B859" s="4" t="s">
        <v>380</v>
      </c>
      <c r="C859" s="6">
        <v>555128856.64568603</v>
      </c>
      <c r="D859" s="6">
        <v>0</v>
      </c>
      <c r="E859" s="6">
        <v>99250942</v>
      </c>
    </row>
    <row r="860" spans="2:5" x14ac:dyDescent="0.3">
      <c r="B860" s="4" t="s">
        <v>381</v>
      </c>
      <c r="C860" s="6">
        <v>559702051.72978497</v>
      </c>
      <c r="D860" s="6">
        <v>0</v>
      </c>
      <c r="E860" s="6">
        <v>97785062</v>
      </c>
    </row>
    <row r="861" spans="2:5" x14ac:dyDescent="0.3">
      <c r="B861" s="4" t="s">
        <v>382</v>
      </c>
      <c r="C861" s="6">
        <v>563692827.93194997</v>
      </c>
      <c r="D861" s="6">
        <v>0</v>
      </c>
      <c r="E861" s="6">
        <v>100597297</v>
      </c>
    </row>
    <row r="862" spans="2:5" x14ac:dyDescent="0.3">
      <c r="B862" s="4" t="s">
        <v>383</v>
      </c>
      <c r="C862" s="6">
        <v>547779809.96450996</v>
      </c>
      <c r="D862" s="6">
        <v>0</v>
      </c>
      <c r="E862" s="6">
        <v>100728053</v>
      </c>
    </row>
    <row r="863" spans="2:5" x14ac:dyDescent="0.3">
      <c r="B863" s="4" t="s">
        <v>384</v>
      </c>
      <c r="C863" s="6">
        <v>553202742.02014005</v>
      </c>
      <c r="D863" s="6">
        <v>0</v>
      </c>
      <c r="E863" s="6">
        <v>99554113</v>
      </c>
    </row>
    <row r="864" spans="2:5" x14ac:dyDescent="0.3">
      <c r="B864" s="4" t="s">
        <v>385</v>
      </c>
      <c r="C864" s="6">
        <v>560190604.81371796</v>
      </c>
      <c r="D864" s="6">
        <v>0</v>
      </c>
      <c r="E864" s="6">
        <v>100213517</v>
      </c>
    </row>
    <row r="865" spans="2:5" x14ac:dyDescent="0.3">
      <c r="B865" s="4" t="s">
        <v>386</v>
      </c>
      <c r="C865" s="6">
        <v>570725118.15633798</v>
      </c>
      <c r="D865" s="6">
        <v>0</v>
      </c>
      <c r="E865" s="6">
        <v>97456868</v>
      </c>
    </row>
    <row r="866" spans="2:5" x14ac:dyDescent="0.3">
      <c r="B866" s="4" t="s">
        <v>387</v>
      </c>
      <c r="C866" s="6">
        <v>577158762.48380494</v>
      </c>
      <c r="D866" s="6">
        <v>0</v>
      </c>
      <c r="E866" s="6">
        <v>97794378</v>
      </c>
    </row>
    <row r="867" spans="2:5" x14ac:dyDescent="0.3">
      <c r="B867" s="4" t="s">
        <v>388</v>
      </c>
      <c r="C867" s="6">
        <v>569783699.64436996</v>
      </c>
      <c r="D867" s="6">
        <v>0</v>
      </c>
      <c r="E867" s="6">
        <v>102144390</v>
      </c>
    </row>
    <row r="868" spans="2:5" x14ac:dyDescent="0.3">
      <c r="B868" s="4" t="s">
        <v>389</v>
      </c>
      <c r="C868" s="6">
        <v>558619493.43877995</v>
      </c>
      <c r="D868" s="6">
        <v>0</v>
      </c>
      <c r="E868" s="6">
        <v>98578819</v>
      </c>
    </row>
    <row r="869" spans="2:5" x14ac:dyDescent="0.3">
      <c r="B869" s="4" t="s">
        <v>390</v>
      </c>
      <c r="C869" s="6">
        <v>562724541.312047</v>
      </c>
      <c r="D869" s="6">
        <v>0</v>
      </c>
      <c r="E869" s="6">
        <v>98072680</v>
      </c>
    </row>
    <row r="870" spans="2:5" x14ac:dyDescent="0.3">
      <c r="B870" s="4" t="s">
        <v>391</v>
      </c>
      <c r="C870" s="6">
        <v>562899672.44543004</v>
      </c>
      <c r="D870" s="6">
        <v>0</v>
      </c>
      <c r="E870" s="6">
        <v>99477630</v>
      </c>
    </row>
    <row r="871" spans="2:5" x14ac:dyDescent="0.3">
      <c r="B871" s="4" t="s">
        <v>392</v>
      </c>
      <c r="C871" s="6">
        <v>569671846.69247794</v>
      </c>
      <c r="D871" s="6">
        <v>0</v>
      </c>
      <c r="E871" s="6">
        <v>99732003</v>
      </c>
    </row>
    <row r="872" spans="2:5" x14ac:dyDescent="0.3">
      <c r="B872" s="4" t="s">
        <v>393</v>
      </c>
      <c r="C872" s="6">
        <v>565604607.52999103</v>
      </c>
      <c r="D872" s="6">
        <v>0</v>
      </c>
      <c r="E872" s="6">
        <v>98964074</v>
      </c>
    </row>
    <row r="873" spans="2:5" x14ac:dyDescent="0.3">
      <c r="B873" s="4" t="s">
        <v>394</v>
      </c>
      <c r="C873" s="6">
        <v>566736531.69010794</v>
      </c>
      <c r="D873" s="6">
        <v>0</v>
      </c>
      <c r="E873" s="6">
        <v>98950329</v>
      </c>
    </row>
    <row r="874" spans="2:5" x14ac:dyDescent="0.3">
      <c r="B874" s="4" t="s">
        <v>395</v>
      </c>
      <c r="C874" s="6">
        <v>555662609.43517399</v>
      </c>
      <c r="D874" s="6">
        <v>0</v>
      </c>
      <c r="E874" s="6">
        <v>94497065</v>
      </c>
    </row>
    <row r="875" spans="2:5" x14ac:dyDescent="0.3">
      <c r="B875" s="4" t="s">
        <v>396</v>
      </c>
      <c r="C875" s="6">
        <v>526091983.43700397</v>
      </c>
      <c r="D875" s="6">
        <v>0</v>
      </c>
      <c r="E875" s="6">
        <v>89471133</v>
      </c>
    </row>
    <row r="876" spans="2:5" x14ac:dyDescent="0.3">
      <c r="B876" s="4" t="s">
        <v>397</v>
      </c>
      <c r="C876" s="6">
        <v>567609725.27598405</v>
      </c>
      <c r="D876" s="6">
        <v>0</v>
      </c>
      <c r="E876" s="6">
        <v>98266263</v>
      </c>
    </row>
    <row r="877" spans="2:5" x14ac:dyDescent="0.3">
      <c r="B877" s="4" t="s">
        <v>398</v>
      </c>
      <c r="C877" s="6">
        <v>561082739.24105203</v>
      </c>
      <c r="D877" s="6">
        <v>0</v>
      </c>
      <c r="E877" s="6">
        <v>96368323</v>
      </c>
    </row>
    <row r="878" spans="2:5" x14ac:dyDescent="0.3">
      <c r="B878" s="4" t="s">
        <v>399</v>
      </c>
      <c r="C878" s="6">
        <v>573426511.22187603</v>
      </c>
      <c r="D878" s="6">
        <v>0</v>
      </c>
      <c r="E878" s="6">
        <v>98964332</v>
      </c>
    </row>
    <row r="879" spans="2:5" x14ac:dyDescent="0.3">
      <c r="B879" s="4" t="s">
        <v>400</v>
      </c>
      <c r="C879" s="6">
        <v>576628657.66143596</v>
      </c>
      <c r="D879" s="6">
        <v>0</v>
      </c>
      <c r="E879" s="6">
        <v>99063583</v>
      </c>
    </row>
    <row r="880" spans="2:5" x14ac:dyDescent="0.3">
      <c r="B880" s="4" t="s">
        <v>401</v>
      </c>
      <c r="C880" s="6">
        <v>589634936.39504802</v>
      </c>
      <c r="D880" s="6">
        <v>0</v>
      </c>
      <c r="E880" s="6">
        <v>100441617</v>
      </c>
    </row>
    <row r="881" spans="1:5" x14ac:dyDescent="0.3">
      <c r="B881" s="4" t="s">
        <v>402</v>
      </c>
      <c r="C881" s="6">
        <v>571545444.91557801</v>
      </c>
      <c r="D881" s="6">
        <v>0</v>
      </c>
      <c r="E881" s="6">
        <v>99093142</v>
      </c>
    </row>
    <row r="882" spans="1:5" x14ac:dyDescent="0.3">
      <c r="B882" s="4" t="s">
        <v>403</v>
      </c>
      <c r="C882" s="6">
        <v>570095303.75158501</v>
      </c>
      <c r="D882" s="6">
        <v>0</v>
      </c>
      <c r="E882" s="6">
        <v>98251640</v>
      </c>
    </row>
    <row r="883" spans="1:5" x14ac:dyDescent="0.3">
      <c r="B883" s="4" t="s">
        <v>404</v>
      </c>
      <c r="C883" s="6">
        <v>566492779.61581004</v>
      </c>
      <c r="D883" s="6">
        <v>0</v>
      </c>
      <c r="E883" s="6">
        <v>97407415</v>
      </c>
    </row>
    <row r="884" spans="1:5" x14ac:dyDescent="0.3">
      <c r="B884" s="4" t="s">
        <v>405</v>
      </c>
      <c r="C884" s="6">
        <v>560559254.66681898</v>
      </c>
      <c r="D884" s="6">
        <v>0</v>
      </c>
      <c r="E884" s="6">
        <v>99342276</v>
      </c>
    </row>
    <row r="885" spans="1:5" x14ac:dyDescent="0.3">
      <c r="B885" s="4" t="s">
        <v>406</v>
      </c>
      <c r="C885" s="6">
        <v>569281841.98417699</v>
      </c>
      <c r="D885" s="6">
        <v>0</v>
      </c>
      <c r="E885" s="6">
        <v>97440802</v>
      </c>
    </row>
    <row r="886" spans="1:5" x14ac:dyDescent="0.3">
      <c r="B886" s="4" t="s">
        <v>407</v>
      </c>
      <c r="C886" s="6">
        <v>572778292.91085696</v>
      </c>
      <c r="D886" s="6">
        <v>0</v>
      </c>
      <c r="E886" s="6">
        <v>101103701</v>
      </c>
    </row>
    <row r="887" spans="1:5" x14ac:dyDescent="0.3">
      <c r="B887" s="4" t="s">
        <v>408</v>
      </c>
      <c r="C887" s="6">
        <v>598464663.67480004</v>
      </c>
      <c r="D887" s="6">
        <v>0</v>
      </c>
      <c r="E887" s="6">
        <v>99096789</v>
      </c>
    </row>
    <row r="888" spans="1:5" x14ac:dyDescent="0.3">
      <c r="B888" s="4" t="s">
        <v>409</v>
      </c>
      <c r="C888" s="6">
        <v>583698008.302472</v>
      </c>
      <c r="D888" s="6">
        <v>0</v>
      </c>
      <c r="E888" s="6">
        <v>95883417</v>
      </c>
    </row>
    <row r="889" spans="1:5" x14ac:dyDescent="0.3">
      <c r="A889" t="s">
        <v>42</v>
      </c>
      <c r="C889" s="6">
        <v>2312063434.8473496</v>
      </c>
      <c r="D889" s="6">
        <v>361132748.05944055</v>
      </c>
      <c r="E889" s="6">
        <v>354304599.88111889</v>
      </c>
    </row>
    <row r="890" spans="1:5" x14ac:dyDescent="0.3">
      <c r="B890" s="4" t="s">
        <v>44</v>
      </c>
      <c r="C890" s="6">
        <v>580308449.10917199</v>
      </c>
      <c r="D890" s="6">
        <v>0</v>
      </c>
      <c r="E890" s="6">
        <v>95616373</v>
      </c>
    </row>
    <row r="891" spans="1:5" x14ac:dyDescent="0.3">
      <c r="B891" s="4" t="s">
        <v>45</v>
      </c>
      <c r="C891" s="6">
        <v>594296674.30904996</v>
      </c>
      <c r="D891" s="6">
        <v>0</v>
      </c>
      <c r="E891" s="6">
        <v>97042860</v>
      </c>
    </row>
    <row r="892" spans="1:5" x14ac:dyDescent="0.3">
      <c r="B892" s="4" t="s">
        <v>46</v>
      </c>
      <c r="C892" s="6">
        <v>565871496.59031999</v>
      </c>
      <c r="D892" s="6">
        <v>0</v>
      </c>
      <c r="E892" s="6">
        <v>96663742</v>
      </c>
    </row>
    <row r="893" spans="1:5" x14ac:dyDescent="0.3">
      <c r="B893" s="4" t="s">
        <v>47</v>
      </c>
      <c r="C893" s="6">
        <v>588896659.67841995</v>
      </c>
      <c r="D893" s="6">
        <v>0</v>
      </c>
      <c r="E893" s="6">
        <v>99057259</v>
      </c>
    </row>
    <row r="894" spans="1:5" x14ac:dyDescent="0.3">
      <c r="B894" s="4" t="s">
        <v>48</v>
      </c>
      <c r="C894" s="6">
        <v>593310018.11588001</v>
      </c>
      <c r="D894" s="6">
        <v>0</v>
      </c>
      <c r="E894" s="6">
        <v>100300938</v>
      </c>
    </row>
    <row r="895" spans="1:5" x14ac:dyDescent="0.3">
      <c r="B895" s="4" t="s">
        <v>49</v>
      </c>
      <c r="C895" s="6">
        <v>594237040.33686996</v>
      </c>
      <c r="D895" s="6">
        <v>0</v>
      </c>
      <c r="E895" s="6">
        <v>101296603</v>
      </c>
    </row>
    <row r="896" spans="1:5" x14ac:dyDescent="0.3">
      <c r="B896" s="4" t="s">
        <v>50</v>
      </c>
      <c r="C896" s="6">
        <v>592792627.60791397</v>
      </c>
      <c r="D896" s="6">
        <v>0</v>
      </c>
      <c r="E896" s="6">
        <v>104588579</v>
      </c>
    </row>
    <row r="897" spans="2:5" x14ac:dyDescent="0.3">
      <c r="B897" s="4" t="s">
        <v>51</v>
      </c>
      <c r="C897" s="6">
        <v>607738393.95116699</v>
      </c>
      <c r="D897" s="6">
        <v>0</v>
      </c>
      <c r="E897" s="6">
        <v>107245970</v>
      </c>
    </row>
    <row r="898" spans="2:5" x14ac:dyDescent="0.3">
      <c r="B898" s="4" t="s">
        <v>52</v>
      </c>
      <c r="C898" s="6">
        <v>593935085.25332999</v>
      </c>
      <c r="D898" s="6">
        <v>319620</v>
      </c>
      <c r="E898" s="6">
        <v>99646159</v>
      </c>
    </row>
    <row r="899" spans="2:5" x14ac:dyDescent="0.3">
      <c r="B899" s="4" t="s">
        <v>53</v>
      </c>
      <c r="C899" s="6">
        <v>579994838.78519499</v>
      </c>
      <c r="D899" s="6">
        <v>429423</v>
      </c>
      <c r="E899" s="6">
        <v>97924702</v>
      </c>
    </row>
    <row r="900" spans="2:5" x14ac:dyDescent="0.3">
      <c r="B900" s="4" t="s">
        <v>54</v>
      </c>
      <c r="C900" s="6">
        <v>607991887.529302</v>
      </c>
      <c r="D900" s="6">
        <v>812149</v>
      </c>
      <c r="E900" s="6">
        <v>102828901</v>
      </c>
    </row>
    <row r="901" spans="2:5" x14ac:dyDescent="0.3">
      <c r="B901" s="4" t="s">
        <v>55</v>
      </c>
      <c r="C901" s="6">
        <v>587322239.064147</v>
      </c>
      <c r="D901" s="6">
        <v>993936</v>
      </c>
      <c r="E901" s="6">
        <v>102504054</v>
      </c>
    </row>
    <row r="902" spans="2:5" x14ac:dyDescent="0.3">
      <c r="B902" s="4" t="s">
        <v>56</v>
      </c>
      <c r="C902" s="6">
        <v>608345508.90285099</v>
      </c>
      <c r="D902" s="6">
        <v>1145212</v>
      </c>
      <c r="E902" s="6">
        <v>104608762</v>
      </c>
    </row>
    <row r="903" spans="2:5" x14ac:dyDescent="0.3">
      <c r="B903" s="4" t="s">
        <v>57</v>
      </c>
      <c r="C903" s="6">
        <v>626307089.93072796</v>
      </c>
      <c r="D903" s="6">
        <v>2013974</v>
      </c>
      <c r="E903" s="6">
        <v>103271632</v>
      </c>
    </row>
    <row r="904" spans="2:5" x14ac:dyDescent="0.3">
      <c r="B904" s="4" t="s">
        <v>58</v>
      </c>
      <c r="C904" s="6">
        <v>694228763.70079994</v>
      </c>
      <c r="D904" s="6">
        <v>2037786</v>
      </c>
      <c r="E904" s="6">
        <v>112177380</v>
      </c>
    </row>
    <row r="905" spans="2:5" x14ac:dyDescent="0.3">
      <c r="B905" s="4" t="s">
        <v>59</v>
      </c>
      <c r="C905" s="6">
        <v>685126252.400334</v>
      </c>
      <c r="D905" s="6">
        <v>2217877</v>
      </c>
      <c r="E905" s="6">
        <v>120362891</v>
      </c>
    </row>
    <row r="906" spans="2:5" x14ac:dyDescent="0.3">
      <c r="B906" s="4" t="s">
        <v>60</v>
      </c>
      <c r="C906" s="6">
        <v>688356858.31387603</v>
      </c>
      <c r="D906" s="6">
        <v>2397260</v>
      </c>
      <c r="E906" s="6">
        <v>119525798</v>
      </c>
    </row>
    <row r="907" spans="2:5" x14ac:dyDescent="0.3">
      <c r="B907" s="4" t="s">
        <v>61</v>
      </c>
      <c r="C907" s="6">
        <v>718067846.97735405</v>
      </c>
      <c r="D907" s="6">
        <v>2518152</v>
      </c>
      <c r="E907" s="6">
        <v>119484547</v>
      </c>
    </row>
    <row r="908" spans="2:5" x14ac:dyDescent="0.3">
      <c r="B908" s="4" t="s">
        <v>62</v>
      </c>
      <c r="C908" s="6">
        <v>729393696.45808494</v>
      </c>
      <c r="D908" s="6">
        <v>2648338</v>
      </c>
      <c r="E908" s="6">
        <v>119120009</v>
      </c>
    </row>
    <row r="909" spans="2:5" x14ac:dyDescent="0.3">
      <c r="B909" s="4" t="s">
        <v>63</v>
      </c>
      <c r="C909" s="6">
        <v>708402256.71162903</v>
      </c>
      <c r="D909" s="6">
        <v>2956981</v>
      </c>
      <c r="E909" s="6">
        <v>113502236</v>
      </c>
    </row>
    <row r="910" spans="2:5" x14ac:dyDescent="0.3">
      <c r="B910" s="4" t="s">
        <v>64</v>
      </c>
      <c r="C910" s="6">
        <v>708433837.58963597</v>
      </c>
      <c r="D910" s="6">
        <v>3006996</v>
      </c>
      <c r="E910" s="6">
        <v>104365142</v>
      </c>
    </row>
    <row r="911" spans="2:5" x14ac:dyDescent="0.3">
      <c r="B911" s="4" t="s">
        <v>65</v>
      </c>
      <c r="C911" s="6">
        <v>723111176.87070704</v>
      </c>
      <c r="D911" s="6">
        <v>3772805</v>
      </c>
      <c r="E911" s="6">
        <v>108497977</v>
      </c>
    </row>
    <row r="912" spans="2:5" x14ac:dyDescent="0.3">
      <c r="B912" s="4" t="s">
        <v>66</v>
      </c>
      <c r="C912" s="6">
        <v>722132007.22310996</v>
      </c>
      <c r="D912" s="6">
        <v>4020737</v>
      </c>
      <c r="E912" s="6">
        <v>109174622</v>
      </c>
    </row>
    <row r="913" spans="2:5" x14ac:dyDescent="0.3">
      <c r="B913" s="4" t="s">
        <v>67</v>
      </c>
      <c r="C913" s="6">
        <v>695197230.23632896</v>
      </c>
      <c r="D913" s="6">
        <v>3949684</v>
      </c>
      <c r="E913" s="6">
        <v>106755630</v>
      </c>
    </row>
    <row r="914" spans="2:5" x14ac:dyDescent="0.3">
      <c r="B914" s="4" t="s">
        <v>68</v>
      </c>
      <c r="C914" s="6">
        <v>689195027.81515896</v>
      </c>
      <c r="D914" s="6">
        <v>4158881</v>
      </c>
      <c r="E914" s="6">
        <v>108878577</v>
      </c>
    </row>
    <row r="915" spans="2:5" x14ac:dyDescent="0.3">
      <c r="B915" s="4" t="s">
        <v>69</v>
      </c>
      <c r="C915" s="6">
        <v>693797198.63002002</v>
      </c>
      <c r="D915" s="6">
        <v>4136532</v>
      </c>
      <c r="E915" s="6">
        <v>107675545</v>
      </c>
    </row>
    <row r="916" spans="2:5" x14ac:dyDescent="0.3">
      <c r="B916" s="4" t="s">
        <v>70</v>
      </c>
      <c r="C916" s="6">
        <v>719319182.75169098</v>
      </c>
      <c r="D916" s="6">
        <v>4481439</v>
      </c>
      <c r="E916" s="6">
        <v>110514288</v>
      </c>
    </row>
    <row r="917" spans="2:5" x14ac:dyDescent="0.3">
      <c r="B917" s="4" t="s">
        <v>71</v>
      </c>
      <c r="C917" s="6">
        <v>736317089.78507495</v>
      </c>
      <c r="D917" s="6">
        <v>4707850</v>
      </c>
      <c r="E917" s="6">
        <v>114203421</v>
      </c>
    </row>
    <row r="918" spans="2:5" x14ac:dyDescent="0.3">
      <c r="B918" s="4" t="s">
        <v>72</v>
      </c>
      <c r="C918" s="6">
        <v>770575483.62559295</v>
      </c>
      <c r="D918" s="6">
        <v>5033854</v>
      </c>
      <c r="E918" s="6">
        <v>115669615</v>
      </c>
    </row>
    <row r="919" spans="2:5" x14ac:dyDescent="0.3">
      <c r="B919" s="4" t="s">
        <v>73</v>
      </c>
      <c r="C919" s="6">
        <v>754893140.74818003</v>
      </c>
      <c r="D919" s="6">
        <v>4978321</v>
      </c>
      <c r="E919" s="6">
        <v>114705030</v>
      </c>
    </row>
    <row r="920" spans="2:5" x14ac:dyDescent="0.3">
      <c r="B920" s="4" t="s">
        <v>74</v>
      </c>
      <c r="C920" s="6">
        <v>798831930.48425603</v>
      </c>
      <c r="D920" s="6">
        <v>5308317</v>
      </c>
      <c r="E920" s="6">
        <v>121064418</v>
      </c>
    </row>
    <row r="921" spans="2:5" x14ac:dyDescent="0.3">
      <c r="B921" s="4" t="s">
        <v>75</v>
      </c>
      <c r="C921" s="6">
        <v>782586819.21008897</v>
      </c>
      <c r="D921" s="6">
        <v>5501333</v>
      </c>
      <c r="E921" s="6">
        <v>118217552</v>
      </c>
    </row>
    <row r="922" spans="2:5" x14ac:dyDescent="0.3">
      <c r="B922" s="4" t="s">
        <v>76</v>
      </c>
      <c r="C922" s="6">
        <v>795909395.63747394</v>
      </c>
      <c r="D922" s="6">
        <v>5840371</v>
      </c>
      <c r="E922" s="6">
        <v>120708174</v>
      </c>
    </row>
    <row r="923" spans="2:5" x14ac:dyDescent="0.3">
      <c r="B923" s="4" t="s">
        <v>77</v>
      </c>
      <c r="C923" s="6">
        <v>799722358.835127</v>
      </c>
      <c r="D923" s="6">
        <v>6232633</v>
      </c>
      <c r="E923" s="6">
        <v>122404522</v>
      </c>
    </row>
    <row r="924" spans="2:5" x14ac:dyDescent="0.3">
      <c r="B924" s="4" t="s">
        <v>78</v>
      </c>
      <c r="C924" s="6">
        <v>800371430.96704996</v>
      </c>
      <c r="D924" s="6">
        <v>6654286</v>
      </c>
      <c r="E924" s="6">
        <v>123872450</v>
      </c>
    </row>
    <row r="925" spans="2:5" x14ac:dyDescent="0.3">
      <c r="B925" s="4" t="s">
        <v>79</v>
      </c>
      <c r="C925" s="6">
        <v>813775186.64964104</v>
      </c>
      <c r="D925" s="6">
        <v>7038091</v>
      </c>
      <c r="E925" s="6">
        <v>125063267</v>
      </c>
    </row>
    <row r="926" spans="2:5" x14ac:dyDescent="0.3">
      <c r="B926" s="4" t="s">
        <v>80</v>
      </c>
      <c r="C926" s="6">
        <v>862464199.72475004</v>
      </c>
      <c r="D926" s="6">
        <v>7741429</v>
      </c>
      <c r="E926" s="6">
        <v>132185806</v>
      </c>
    </row>
    <row r="927" spans="2:5" x14ac:dyDescent="0.3">
      <c r="B927" s="4" t="s">
        <v>81</v>
      </c>
      <c r="C927" s="6">
        <v>885117863.02420998</v>
      </c>
      <c r="D927" s="6">
        <v>8190244</v>
      </c>
      <c r="E927" s="6">
        <v>136925715</v>
      </c>
    </row>
    <row r="928" spans="2:5" x14ac:dyDescent="0.3">
      <c r="B928" s="4" t="s">
        <v>82</v>
      </c>
      <c r="C928" s="6">
        <v>897275812.25240004</v>
      </c>
      <c r="D928" s="6">
        <v>9296669</v>
      </c>
      <c r="E928" s="6">
        <v>141769987</v>
      </c>
    </row>
    <row r="929" spans="2:5" x14ac:dyDescent="0.3">
      <c r="B929" s="4" t="s">
        <v>83</v>
      </c>
      <c r="C929" s="6">
        <v>899852122.13229001</v>
      </c>
      <c r="D929" s="6">
        <v>9278590</v>
      </c>
      <c r="E929" s="6">
        <v>143571208</v>
      </c>
    </row>
    <row r="930" spans="2:5" x14ac:dyDescent="0.3">
      <c r="B930" s="4" t="s">
        <v>84</v>
      </c>
      <c r="C930" s="6">
        <v>893218300.00353003</v>
      </c>
      <c r="D930" s="6">
        <v>10128531</v>
      </c>
      <c r="E930" s="6">
        <v>146037016</v>
      </c>
    </row>
    <row r="931" spans="2:5" x14ac:dyDescent="0.3">
      <c r="B931" s="4" t="s">
        <v>85</v>
      </c>
      <c r="C931" s="6">
        <v>889539954.19274998</v>
      </c>
      <c r="D931" s="6">
        <v>10146617</v>
      </c>
      <c r="E931" s="6">
        <v>141855850</v>
      </c>
    </row>
    <row r="932" spans="2:5" x14ac:dyDescent="0.3">
      <c r="B932" s="4" t="s">
        <v>86</v>
      </c>
      <c r="C932" s="6">
        <v>945292890.58853006</v>
      </c>
      <c r="D932" s="6">
        <v>10978955</v>
      </c>
      <c r="E932" s="6">
        <v>148854646</v>
      </c>
    </row>
    <row r="933" spans="2:5" x14ac:dyDescent="0.3">
      <c r="B933" s="4" t="s">
        <v>87</v>
      </c>
      <c r="C933" s="6">
        <v>1022556145.7049</v>
      </c>
      <c r="D933" s="6">
        <v>11430328</v>
      </c>
      <c r="E933" s="6">
        <v>160000949</v>
      </c>
    </row>
    <row r="934" spans="2:5" x14ac:dyDescent="0.3">
      <c r="B934" s="4" t="s">
        <v>88</v>
      </c>
      <c r="C934" s="6">
        <v>1026673887.0943799</v>
      </c>
      <c r="D934" s="6">
        <v>12009511</v>
      </c>
      <c r="E934" s="6">
        <v>159528791</v>
      </c>
    </row>
    <row r="935" spans="2:5" x14ac:dyDescent="0.3">
      <c r="B935" s="4" t="s">
        <v>89</v>
      </c>
      <c r="C935" s="6">
        <v>1091008239.02843</v>
      </c>
      <c r="D935" s="6">
        <v>14313984</v>
      </c>
      <c r="E935" s="6">
        <v>161227022</v>
      </c>
    </row>
    <row r="936" spans="2:5" x14ac:dyDescent="0.3">
      <c r="B936" s="4" t="s">
        <v>90</v>
      </c>
      <c r="C936" s="6">
        <v>1014218204.6984301</v>
      </c>
      <c r="D936" s="6">
        <v>13851130</v>
      </c>
      <c r="E936" s="6">
        <v>150570918</v>
      </c>
    </row>
    <row r="937" spans="2:5" x14ac:dyDescent="0.3">
      <c r="B937" s="4" t="s">
        <v>91</v>
      </c>
      <c r="C937" s="6">
        <v>1005347767.7519901</v>
      </c>
      <c r="D937" s="6">
        <v>14275359</v>
      </c>
      <c r="E937" s="6">
        <v>148710302</v>
      </c>
    </row>
    <row r="938" spans="2:5" x14ac:dyDescent="0.3">
      <c r="B938" s="4" t="s">
        <v>92</v>
      </c>
      <c r="C938" s="6">
        <v>1029715977.37976</v>
      </c>
      <c r="D938" s="6">
        <v>14566604</v>
      </c>
      <c r="E938" s="6">
        <v>154859668</v>
      </c>
    </row>
    <row r="939" spans="2:5" x14ac:dyDescent="0.3">
      <c r="B939" s="4" t="s">
        <v>93</v>
      </c>
      <c r="C939" s="6">
        <v>1050926819.63956</v>
      </c>
      <c r="D939" s="6">
        <v>15371513</v>
      </c>
      <c r="E939" s="6">
        <v>168465801</v>
      </c>
    </row>
    <row r="940" spans="2:5" x14ac:dyDescent="0.3">
      <c r="B940" s="4" t="s">
        <v>94</v>
      </c>
      <c r="C940" s="6">
        <v>899652678.46788001</v>
      </c>
      <c r="D940" s="6">
        <v>14582324</v>
      </c>
      <c r="E940" s="6">
        <v>172011426</v>
      </c>
    </row>
    <row r="941" spans="2:5" x14ac:dyDescent="0.3">
      <c r="B941" s="4" t="s">
        <v>95</v>
      </c>
      <c r="C941" s="6">
        <v>892770349.99168992</v>
      </c>
      <c r="D941" s="6">
        <v>15248290</v>
      </c>
      <c r="E941" s="6">
        <v>174873724</v>
      </c>
    </row>
    <row r="942" spans="2:5" x14ac:dyDescent="0.3">
      <c r="B942" s="4" t="s">
        <v>96</v>
      </c>
      <c r="C942" s="6">
        <v>919530940.44970012</v>
      </c>
      <c r="D942" s="6">
        <v>15728012</v>
      </c>
      <c r="E942" s="6">
        <v>179005084</v>
      </c>
    </row>
    <row r="943" spans="2:5" x14ac:dyDescent="0.3">
      <c r="B943" s="4" t="s">
        <v>97</v>
      </c>
      <c r="C943" s="6">
        <v>911581136.58736992</v>
      </c>
      <c r="D943" s="6">
        <v>15595441</v>
      </c>
      <c r="E943" s="6">
        <v>177835848</v>
      </c>
    </row>
    <row r="944" spans="2:5" x14ac:dyDescent="0.3">
      <c r="B944" s="4" t="s">
        <v>98</v>
      </c>
      <c r="C944" s="6">
        <v>943635065.57206988</v>
      </c>
      <c r="D944" s="6">
        <v>16180780</v>
      </c>
      <c r="E944" s="6">
        <v>183374572</v>
      </c>
    </row>
    <row r="945" spans="2:5" x14ac:dyDescent="0.3">
      <c r="B945" s="4" t="s">
        <v>99</v>
      </c>
      <c r="C945" s="6">
        <v>920977676.75373006</v>
      </c>
      <c r="D945" s="6">
        <v>16508845</v>
      </c>
      <c r="E945" s="6">
        <v>176486612</v>
      </c>
    </row>
    <row r="946" spans="2:5" x14ac:dyDescent="0.3">
      <c r="B946" s="4" t="s">
        <v>100</v>
      </c>
      <c r="C946" s="6">
        <v>865875730.01591003</v>
      </c>
      <c r="D946" s="6">
        <v>15588551</v>
      </c>
      <c r="E946" s="6">
        <v>167623821</v>
      </c>
    </row>
    <row r="947" spans="2:5" x14ac:dyDescent="0.3">
      <c r="B947" s="4" t="s">
        <v>101</v>
      </c>
      <c r="C947" s="6">
        <v>799295113.251701</v>
      </c>
      <c r="D947" s="6">
        <v>18634128</v>
      </c>
      <c r="E947" s="6">
        <v>152722117</v>
      </c>
    </row>
    <row r="948" spans="2:5" x14ac:dyDescent="0.3">
      <c r="B948" s="4" t="s">
        <v>102</v>
      </c>
      <c r="C948" s="6">
        <v>827130474.29885006</v>
      </c>
      <c r="D948" s="6">
        <v>19497219</v>
      </c>
      <c r="E948" s="6">
        <v>160979233</v>
      </c>
    </row>
    <row r="949" spans="2:5" x14ac:dyDescent="0.3">
      <c r="B949" s="4" t="s">
        <v>103</v>
      </c>
      <c r="C949" s="6">
        <v>821983881.61868</v>
      </c>
      <c r="D949" s="6">
        <v>20342783</v>
      </c>
      <c r="E949" s="6">
        <v>160430857</v>
      </c>
    </row>
    <row r="950" spans="2:5" x14ac:dyDescent="0.3">
      <c r="B950" s="4" t="s">
        <v>104</v>
      </c>
      <c r="C950" s="6">
        <v>804705810.01107895</v>
      </c>
      <c r="D950" s="6">
        <v>20320134</v>
      </c>
      <c r="E950" s="6">
        <v>156887405</v>
      </c>
    </row>
    <row r="951" spans="2:5" x14ac:dyDescent="0.3">
      <c r="B951" s="4" t="s">
        <v>105</v>
      </c>
      <c r="C951" s="6">
        <v>779604151.22212601</v>
      </c>
      <c r="D951" s="6">
        <v>20519363</v>
      </c>
      <c r="E951" s="6">
        <v>158130713</v>
      </c>
    </row>
    <row r="952" spans="2:5" x14ac:dyDescent="0.3">
      <c r="B952" s="4" t="s">
        <v>106</v>
      </c>
      <c r="C952" s="6">
        <v>830814987.29112995</v>
      </c>
      <c r="D952" s="6">
        <v>21029088</v>
      </c>
      <c r="E952" s="6">
        <v>165627671</v>
      </c>
    </row>
    <row r="953" spans="2:5" x14ac:dyDescent="0.3">
      <c r="B953" s="4" t="s">
        <v>107</v>
      </c>
      <c r="C953" s="6">
        <v>793549040.84205401</v>
      </c>
      <c r="D953" s="6">
        <v>21933848</v>
      </c>
      <c r="E953" s="6">
        <v>162107032</v>
      </c>
    </row>
    <row r="954" spans="2:5" x14ac:dyDescent="0.3">
      <c r="B954" s="4" t="s">
        <v>108</v>
      </c>
      <c r="C954" s="6">
        <v>810600819.36657798</v>
      </c>
      <c r="D954" s="6">
        <v>21863168</v>
      </c>
      <c r="E954" s="6">
        <v>163424618</v>
      </c>
    </row>
    <row r="955" spans="2:5" x14ac:dyDescent="0.3">
      <c r="B955" s="4" t="s">
        <v>109</v>
      </c>
      <c r="C955" s="6">
        <v>809516748.03524494</v>
      </c>
      <c r="D955" s="6">
        <v>22989841</v>
      </c>
      <c r="E955" s="6">
        <v>162454594</v>
      </c>
    </row>
    <row r="956" spans="2:5" x14ac:dyDescent="0.3">
      <c r="B956" s="4" t="s">
        <v>110</v>
      </c>
      <c r="C956" s="6">
        <v>862191574.26918006</v>
      </c>
      <c r="D956" s="6">
        <v>23768670</v>
      </c>
      <c r="E956" s="6">
        <v>164764511</v>
      </c>
    </row>
    <row r="957" spans="2:5" x14ac:dyDescent="0.3">
      <c r="B957" s="4" t="s">
        <v>111</v>
      </c>
      <c r="C957" s="6">
        <v>846989097.48487997</v>
      </c>
      <c r="D957" s="6">
        <v>22463695</v>
      </c>
      <c r="E957" s="6">
        <v>160312325</v>
      </c>
    </row>
    <row r="958" spans="2:5" x14ac:dyDescent="0.3">
      <c r="B958" s="4" t="s">
        <v>112</v>
      </c>
      <c r="C958" s="6">
        <v>728158238.21796703</v>
      </c>
      <c r="D958" s="6">
        <v>26274281</v>
      </c>
      <c r="E958" s="6">
        <v>137463509</v>
      </c>
    </row>
    <row r="959" spans="2:5" x14ac:dyDescent="0.3">
      <c r="B959" s="4" t="s">
        <v>113</v>
      </c>
      <c r="C959" s="6">
        <v>775435942.950876</v>
      </c>
      <c r="D959" s="6">
        <v>27237089</v>
      </c>
      <c r="E959" s="6">
        <v>133493023</v>
      </c>
    </row>
    <row r="960" spans="2:5" x14ac:dyDescent="0.3">
      <c r="B960" s="4" t="s">
        <v>114</v>
      </c>
      <c r="C960" s="6">
        <v>768976325.07507706</v>
      </c>
      <c r="D960" s="6">
        <v>27430745</v>
      </c>
      <c r="E960" s="6">
        <v>119991847</v>
      </c>
    </row>
    <row r="961" spans="2:5" x14ac:dyDescent="0.3">
      <c r="B961" s="4" t="s">
        <v>115</v>
      </c>
      <c r="C961" s="6">
        <v>755784530.23507297</v>
      </c>
      <c r="D961" s="6">
        <v>27578054</v>
      </c>
      <c r="E961" s="6">
        <v>115859010</v>
      </c>
    </row>
    <row r="962" spans="2:5" x14ac:dyDescent="0.3">
      <c r="B962" s="4" t="s">
        <v>116</v>
      </c>
      <c r="C962" s="6">
        <v>459813740.94845402</v>
      </c>
      <c r="D962" s="6">
        <v>19735871</v>
      </c>
      <c r="E962" s="6">
        <v>83366275</v>
      </c>
    </row>
    <row r="963" spans="2:5" x14ac:dyDescent="0.3">
      <c r="B963" s="4" t="s">
        <v>117</v>
      </c>
      <c r="C963" s="6">
        <v>545771651.54712403</v>
      </c>
      <c r="D963" s="6">
        <v>24915277</v>
      </c>
      <c r="E963" s="6">
        <v>93926849</v>
      </c>
    </row>
    <row r="964" spans="2:5" x14ac:dyDescent="0.3">
      <c r="B964" s="4" t="s">
        <v>118</v>
      </c>
      <c r="C964" s="6">
        <v>486722184.334782</v>
      </c>
      <c r="D964" s="6">
        <v>24011171</v>
      </c>
      <c r="E964" s="6">
        <v>87902675</v>
      </c>
    </row>
    <row r="965" spans="2:5" x14ac:dyDescent="0.3">
      <c r="B965" s="4" t="s">
        <v>119</v>
      </c>
      <c r="C965" s="6">
        <v>484444041.67024696</v>
      </c>
      <c r="D965" s="6">
        <v>25527899</v>
      </c>
      <c r="E965" s="6">
        <v>77139537</v>
      </c>
    </row>
    <row r="966" spans="2:5" x14ac:dyDescent="0.3">
      <c r="B966" s="4" t="s">
        <v>120</v>
      </c>
      <c r="C966" s="6">
        <v>442972284.80769801</v>
      </c>
      <c r="D966" s="6">
        <v>23949023</v>
      </c>
      <c r="E966" s="6">
        <v>71160453</v>
      </c>
    </row>
    <row r="967" spans="2:5" x14ac:dyDescent="0.3">
      <c r="B967" s="4" t="s">
        <v>121</v>
      </c>
      <c r="C967" s="6">
        <v>451076473.08512402</v>
      </c>
      <c r="D967" s="6">
        <v>23467351</v>
      </c>
      <c r="E967" s="6">
        <v>71583930</v>
      </c>
    </row>
    <row r="968" spans="2:5" x14ac:dyDescent="0.3">
      <c r="B968" s="4" t="s">
        <v>122</v>
      </c>
      <c r="C968" s="6">
        <v>460159508.39426899</v>
      </c>
      <c r="D968" s="6">
        <v>25017574</v>
      </c>
      <c r="E968" s="6">
        <v>78304719</v>
      </c>
    </row>
    <row r="969" spans="2:5" x14ac:dyDescent="0.3">
      <c r="B969" s="4" t="s">
        <v>123</v>
      </c>
      <c r="C969" s="6">
        <v>509065234.16475999</v>
      </c>
      <c r="D969" s="6">
        <v>27252807</v>
      </c>
      <c r="E969" s="6">
        <v>81862899</v>
      </c>
    </row>
    <row r="970" spans="2:5" x14ac:dyDescent="0.3">
      <c r="B970" s="4" t="s">
        <v>124</v>
      </c>
      <c r="C970" s="6">
        <v>500361873.65751004</v>
      </c>
      <c r="D970" s="6">
        <v>28542811</v>
      </c>
      <c r="E970" s="6">
        <v>80262584</v>
      </c>
    </row>
    <row r="971" spans="2:5" x14ac:dyDescent="0.3">
      <c r="B971" s="4" t="s">
        <v>125</v>
      </c>
      <c r="C971" s="6">
        <v>529360362.80105197</v>
      </c>
      <c r="D971" s="6">
        <v>30862493</v>
      </c>
      <c r="E971" s="6">
        <v>111116264</v>
      </c>
    </row>
    <row r="972" spans="2:5" x14ac:dyDescent="0.3">
      <c r="B972" s="4" t="s">
        <v>126</v>
      </c>
      <c r="C972" s="6">
        <v>470055954.04912806</v>
      </c>
      <c r="D972" s="6">
        <v>26725152</v>
      </c>
      <c r="E972" s="6">
        <v>76088831</v>
      </c>
    </row>
    <row r="973" spans="2:5" x14ac:dyDescent="0.3">
      <c r="B973" s="4" t="s">
        <v>127</v>
      </c>
      <c r="C973" s="6">
        <v>506551839.47483599</v>
      </c>
      <c r="D973" s="6">
        <v>29076831</v>
      </c>
      <c r="E973" s="6">
        <v>81105314</v>
      </c>
    </row>
    <row r="974" spans="2:5" x14ac:dyDescent="0.3">
      <c r="B974" s="4" t="s">
        <v>128</v>
      </c>
      <c r="C974" s="6">
        <v>522043688.04861605</v>
      </c>
      <c r="D974" s="6">
        <v>29282748</v>
      </c>
      <c r="E974" s="6">
        <v>83238770</v>
      </c>
    </row>
    <row r="975" spans="2:5" x14ac:dyDescent="0.3">
      <c r="B975" s="4" t="s">
        <v>129</v>
      </c>
      <c r="C975" s="6">
        <v>516043674.82730103</v>
      </c>
      <c r="D975" s="6">
        <v>28612093</v>
      </c>
      <c r="E975" s="6">
        <v>82492856</v>
      </c>
    </row>
    <row r="976" spans="2:5" x14ac:dyDescent="0.3">
      <c r="B976" s="4" t="s">
        <v>130</v>
      </c>
      <c r="C976" s="6">
        <v>533355357.68791497</v>
      </c>
      <c r="D976" s="6">
        <v>30143309</v>
      </c>
      <c r="E976" s="6">
        <v>91994898</v>
      </c>
    </row>
    <row r="977" spans="2:5" x14ac:dyDescent="0.3">
      <c r="B977" s="4" t="s">
        <v>131</v>
      </c>
      <c r="C977" s="6">
        <v>513637468.22928202</v>
      </c>
      <c r="D977" s="6">
        <v>29297432</v>
      </c>
      <c r="E977" s="6">
        <v>90070040</v>
      </c>
    </row>
    <row r="978" spans="2:5" x14ac:dyDescent="0.3">
      <c r="B978" s="4" t="s">
        <v>132</v>
      </c>
      <c r="C978" s="6">
        <v>514114183.48257303</v>
      </c>
      <c r="D978" s="6">
        <v>29312843</v>
      </c>
      <c r="E978" s="6">
        <v>90663273</v>
      </c>
    </row>
    <row r="979" spans="2:5" x14ac:dyDescent="0.3">
      <c r="B979" s="4" t="s">
        <v>133</v>
      </c>
      <c r="C979" s="6">
        <v>500173589.60702801</v>
      </c>
      <c r="D979" s="6">
        <v>27635738</v>
      </c>
      <c r="E979" s="6">
        <v>86747306</v>
      </c>
    </row>
    <row r="980" spans="2:5" x14ac:dyDescent="0.3">
      <c r="B980" s="4" t="s">
        <v>134</v>
      </c>
      <c r="C980" s="6">
        <v>498748907.75030696</v>
      </c>
      <c r="D980" s="6">
        <v>28744641</v>
      </c>
      <c r="E980" s="6">
        <v>90244470</v>
      </c>
    </row>
    <row r="981" spans="2:5" x14ac:dyDescent="0.3">
      <c r="B981" s="4" t="s">
        <v>135</v>
      </c>
      <c r="C981" s="6">
        <v>537638451.54551399</v>
      </c>
      <c r="D981" s="6">
        <v>29616651</v>
      </c>
      <c r="E981" s="6">
        <v>89922260</v>
      </c>
    </row>
    <row r="982" spans="2:5" x14ac:dyDescent="0.3">
      <c r="B982" s="4" t="s">
        <v>136</v>
      </c>
      <c r="C982" s="6">
        <v>549882321.04786503</v>
      </c>
      <c r="D982" s="6">
        <v>29778170</v>
      </c>
      <c r="E982" s="6">
        <v>93260019</v>
      </c>
    </row>
    <row r="983" spans="2:5" x14ac:dyDescent="0.3">
      <c r="B983" s="4" t="s">
        <v>137</v>
      </c>
      <c r="C983" s="6">
        <v>568611101.62593603</v>
      </c>
      <c r="D983" s="6">
        <v>30176346</v>
      </c>
      <c r="E983" s="6">
        <v>93656486</v>
      </c>
    </row>
    <row r="984" spans="2:5" x14ac:dyDescent="0.3">
      <c r="B984" s="4" t="s">
        <v>138</v>
      </c>
      <c r="C984" s="6">
        <v>569162376.21584404</v>
      </c>
      <c r="D984" s="6">
        <v>30432402</v>
      </c>
      <c r="E984" s="6">
        <v>92362584</v>
      </c>
    </row>
    <row r="985" spans="2:5" x14ac:dyDescent="0.3">
      <c r="B985" s="4" t="s">
        <v>139</v>
      </c>
      <c r="C985" s="6">
        <v>580363635.13660598</v>
      </c>
      <c r="D985" s="6">
        <v>30947985</v>
      </c>
      <c r="E985" s="6">
        <v>94736309</v>
      </c>
    </row>
    <row r="986" spans="2:5" x14ac:dyDescent="0.3">
      <c r="B986" s="4" t="s">
        <v>140</v>
      </c>
      <c r="C986" s="6">
        <v>577237470.23456597</v>
      </c>
      <c r="D986" s="6">
        <v>30636560</v>
      </c>
      <c r="E986" s="6">
        <v>94886774</v>
      </c>
    </row>
    <row r="987" spans="2:5" x14ac:dyDescent="0.3">
      <c r="B987" s="4" t="s">
        <v>141</v>
      </c>
      <c r="C987" s="6">
        <v>646907280.33302402</v>
      </c>
      <c r="D987" s="6">
        <v>33238367</v>
      </c>
      <c r="E987" s="6">
        <v>100879248</v>
      </c>
    </row>
    <row r="988" spans="2:5" x14ac:dyDescent="0.3">
      <c r="B988" s="4" t="s">
        <v>142</v>
      </c>
      <c r="C988" s="6">
        <v>613116514.55975604</v>
      </c>
      <c r="D988" s="6">
        <v>34566606</v>
      </c>
      <c r="E988" s="6">
        <v>99593395</v>
      </c>
    </row>
    <row r="989" spans="2:5" x14ac:dyDescent="0.3">
      <c r="B989" s="4" t="s">
        <v>143</v>
      </c>
      <c r="C989" s="6">
        <v>628849148.10742199</v>
      </c>
      <c r="D989" s="6">
        <v>36940062</v>
      </c>
      <c r="E989" s="6">
        <v>100381292</v>
      </c>
    </row>
    <row r="990" spans="2:5" x14ac:dyDescent="0.3">
      <c r="B990" s="4" t="s">
        <v>144</v>
      </c>
      <c r="C990" s="6">
        <v>617781931.44333005</v>
      </c>
      <c r="D990" s="6">
        <v>38652854</v>
      </c>
      <c r="E990" s="6">
        <v>99645278</v>
      </c>
    </row>
    <row r="991" spans="2:5" x14ac:dyDescent="0.3">
      <c r="B991" s="4" t="s">
        <v>145</v>
      </c>
      <c r="C991" s="6">
        <v>584932402.29163802</v>
      </c>
      <c r="D991" s="6">
        <v>36900068</v>
      </c>
      <c r="E991" s="6">
        <v>94186303</v>
      </c>
    </row>
    <row r="992" spans="2:5" x14ac:dyDescent="0.3">
      <c r="B992" s="4" t="s">
        <v>146</v>
      </c>
      <c r="C992" s="6">
        <v>590059354.54136705</v>
      </c>
      <c r="D992" s="6">
        <v>37548102</v>
      </c>
      <c r="E992" s="6">
        <v>94404382</v>
      </c>
    </row>
    <row r="993" spans="2:5" x14ac:dyDescent="0.3">
      <c r="B993" s="4" t="s">
        <v>147</v>
      </c>
      <c r="C993" s="6">
        <v>594014873.19166994</v>
      </c>
      <c r="D993" s="6">
        <v>38042043</v>
      </c>
      <c r="E993" s="6">
        <v>96345511</v>
      </c>
    </row>
    <row r="994" spans="2:5" x14ac:dyDescent="0.3">
      <c r="B994" s="4" t="s">
        <v>148</v>
      </c>
      <c r="C994" s="6">
        <v>586964607.08129001</v>
      </c>
      <c r="D994" s="6">
        <v>37458777</v>
      </c>
      <c r="E994" s="6">
        <v>94905908</v>
      </c>
    </row>
    <row r="995" spans="2:5" x14ac:dyDescent="0.3">
      <c r="B995" s="4" t="s">
        <v>149</v>
      </c>
      <c r="C995" s="6">
        <v>598946229.09353602</v>
      </c>
      <c r="D995" s="6">
        <v>37913044</v>
      </c>
      <c r="E995" s="6">
        <v>95500999</v>
      </c>
    </row>
    <row r="996" spans="2:5" x14ac:dyDescent="0.3">
      <c r="B996" s="4" t="s">
        <v>150</v>
      </c>
      <c r="C996" s="6">
        <v>579025238.95138204</v>
      </c>
      <c r="D996" s="6">
        <v>36288894</v>
      </c>
      <c r="E996" s="6">
        <v>93341701</v>
      </c>
    </row>
    <row r="997" spans="2:5" x14ac:dyDescent="0.3">
      <c r="B997" s="4" t="s">
        <v>151</v>
      </c>
      <c r="C997" s="6">
        <v>635246250.61884403</v>
      </c>
      <c r="D997" s="6">
        <v>40248213</v>
      </c>
      <c r="E997" s="6">
        <v>96085205</v>
      </c>
    </row>
    <row r="998" spans="2:5" x14ac:dyDescent="0.3">
      <c r="B998" s="4" t="s">
        <v>152</v>
      </c>
      <c r="C998" s="6">
        <v>632789117.38788104</v>
      </c>
      <c r="D998" s="6">
        <v>40239950</v>
      </c>
      <c r="E998" s="6">
        <v>96939153</v>
      </c>
    </row>
    <row r="999" spans="2:5" x14ac:dyDescent="0.3">
      <c r="B999" s="4" t="s">
        <v>153</v>
      </c>
      <c r="C999" s="6">
        <v>679969717.32811904</v>
      </c>
      <c r="D999" s="6">
        <v>42483349</v>
      </c>
      <c r="E999" s="6">
        <v>99862427</v>
      </c>
    </row>
    <row r="1000" spans="2:5" x14ac:dyDescent="0.3">
      <c r="B1000" s="4" t="s">
        <v>154</v>
      </c>
      <c r="C1000" s="6">
        <v>668261150.03366995</v>
      </c>
      <c r="D1000" s="6">
        <v>47258282</v>
      </c>
      <c r="E1000" s="6">
        <v>96207820</v>
      </c>
    </row>
    <row r="1001" spans="2:5" x14ac:dyDescent="0.3">
      <c r="B1001" s="4" t="s">
        <v>155</v>
      </c>
      <c r="C1001" s="6">
        <v>647146952.49867105</v>
      </c>
      <c r="D1001" s="6">
        <v>44943841</v>
      </c>
      <c r="E1001" s="6">
        <v>87178845</v>
      </c>
    </row>
    <row r="1002" spans="2:5" x14ac:dyDescent="0.3">
      <c r="B1002" s="4" t="s">
        <v>156</v>
      </c>
      <c r="C1002" s="6">
        <v>653419962.81424797</v>
      </c>
      <c r="D1002" s="6">
        <v>39074475</v>
      </c>
      <c r="E1002" s="6">
        <v>87691040</v>
      </c>
    </row>
    <row r="1003" spans="2:5" x14ac:dyDescent="0.3">
      <c r="B1003" s="4" t="s">
        <v>157</v>
      </c>
      <c r="C1003" s="6">
        <v>691912510.45585299</v>
      </c>
      <c r="D1003" s="6">
        <v>39693636</v>
      </c>
      <c r="E1003" s="6">
        <v>91877843</v>
      </c>
    </row>
    <row r="1004" spans="2:5" x14ac:dyDescent="0.3">
      <c r="B1004" s="4" t="s">
        <v>158</v>
      </c>
      <c r="C1004" s="6">
        <v>683652164.20617795</v>
      </c>
      <c r="D1004" s="6">
        <v>37359239</v>
      </c>
      <c r="E1004" s="6">
        <v>89325437</v>
      </c>
    </row>
    <row r="1005" spans="2:5" x14ac:dyDescent="0.3">
      <c r="B1005" s="4" t="s">
        <v>159</v>
      </c>
      <c r="C1005" s="6">
        <v>694633906.91941094</v>
      </c>
      <c r="D1005" s="6">
        <v>38306559</v>
      </c>
      <c r="E1005" s="6">
        <v>88760224</v>
      </c>
    </row>
    <row r="1006" spans="2:5" x14ac:dyDescent="0.3">
      <c r="B1006" s="4" t="s">
        <v>160</v>
      </c>
      <c r="C1006" s="6">
        <v>709595380.13342702</v>
      </c>
      <c r="D1006" s="6">
        <v>39026224</v>
      </c>
      <c r="E1006" s="6">
        <v>91527389</v>
      </c>
    </row>
    <row r="1007" spans="2:5" x14ac:dyDescent="0.3">
      <c r="B1007" s="4" t="s">
        <v>161</v>
      </c>
      <c r="C1007" s="6">
        <v>713665667.61138403</v>
      </c>
      <c r="D1007" s="6">
        <v>39348865</v>
      </c>
      <c r="E1007" s="6">
        <v>79648265</v>
      </c>
    </row>
    <row r="1008" spans="2:5" x14ac:dyDescent="0.3">
      <c r="B1008" s="4" t="s">
        <v>162</v>
      </c>
      <c r="C1008" s="6">
        <v>752278059.76084006</v>
      </c>
      <c r="D1008" s="6">
        <v>39034171</v>
      </c>
      <c r="E1008" s="6">
        <v>93936042</v>
      </c>
    </row>
    <row r="1009" spans="2:5" x14ac:dyDescent="0.3">
      <c r="B1009" s="4" t="s">
        <v>163</v>
      </c>
      <c r="C1009" s="6">
        <v>750146998.41133904</v>
      </c>
      <c r="D1009" s="6">
        <v>42450124</v>
      </c>
      <c r="E1009" s="6">
        <v>94262169</v>
      </c>
    </row>
    <row r="1010" spans="2:5" x14ac:dyDescent="0.3">
      <c r="B1010" s="4" t="s">
        <v>164</v>
      </c>
      <c r="C1010" s="6">
        <v>816231301.530496</v>
      </c>
      <c r="D1010" s="6">
        <v>44432028</v>
      </c>
      <c r="E1010" s="6">
        <v>98461357</v>
      </c>
    </row>
    <row r="1011" spans="2:5" x14ac:dyDescent="0.3">
      <c r="B1011" s="4" t="s">
        <v>165</v>
      </c>
      <c r="C1011" s="6">
        <v>768629452.55670202</v>
      </c>
      <c r="D1011" s="6">
        <v>42354290</v>
      </c>
      <c r="E1011" s="6">
        <v>94689596</v>
      </c>
    </row>
    <row r="1012" spans="2:5" x14ac:dyDescent="0.3">
      <c r="B1012" s="4" t="s">
        <v>166</v>
      </c>
      <c r="C1012" s="6">
        <v>782252721.84378195</v>
      </c>
      <c r="D1012" s="6">
        <v>43934807</v>
      </c>
      <c r="E1012" s="6">
        <v>102851047</v>
      </c>
    </row>
    <row r="1013" spans="2:5" x14ac:dyDescent="0.3">
      <c r="B1013" s="4" t="s">
        <v>167</v>
      </c>
      <c r="C1013" s="6">
        <v>804450257.17757297</v>
      </c>
      <c r="D1013" s="6">
        <v>43130333</v>
      </c>
      <c r="E1013" s="6">
        <v>101150704</v>
      </c>
    </row>
    <row r="1014" spans="2:5" x14ac:dyDescent="0.3">
      <c r="B1014" s="4" t="s">
        <v>168</v>
      </c>
      <c r="C1014" s="6">
        <v>801412986.94334698</v>
      </c>
      <c r="D1014" s="6">
        <v>41840009</v>
      </c>
      <c r="E1014" s="6">
        <v>100463207</v>
      </c>
    </row>
    <row r="1015" spans="2:5" x14ac:dyDescent="0.3">
      <c r="B1015" s="4" t="s">
        <v>169</v>
      </c>
      <c r="C1015" s="6">
        <v>792758578.83548796</v>
      </c>
      <c r="D1015" s="6">
        <v>43177879</v>
      </c>
      <c r="E1015" s="6">
        <v>98338238</v>
      </c>
    </row>
    <row r="1016" spans="2:5" x14ac:dyDescent="0.3">
      <c r="B1016" s="4" t="s">
        <v>170</v>
      </c>
      <c r="C1016" s="6">
        <v>797973109.19560802</v>
      </c>
      <c r="D1016" s="6">
        <v>42933336</v>
      </c>
      <c r="E1016" s="6">
        <v>97790402</v>
      </c>
    </row>
    <row r="1017" spans="2:5" x14ac:dyDescent="0.3">
      <c r="B1017" s="4" t="s">
        <v>171</v>
      </c>
      <c r="C1017" s="6">
        <v>805108098.21961105</v>
      </c>
      <c r="D1017" s="6">
        <v>45120595</v>
      </c>
      <c r="E1017" s="6">
        <v>95728547</v>
      </c>
    </row>
    <row r="1018" spans="2:5" x14ac:dyDescent="0.3">
      <c r="B1018" s="4" t="s">
        <v>172</v>
      </c>
      <c r="C1018" s="6">
        <v>828904196.39497101</v>
      </c>
      <c r="D1018" s="6">
        <v>47555632</v>
      </c>
      <c r="E1018" s="6">
        <v>97885979</v>
      </c>
    </row>
    <row r="1019" spans="2:5" x14ac:dyDescent="0.3">
      <c r="B1019" s="4" t="s">
        <v>173</v>
      </c>
      <c r="C1019" s="6">
        <v>829959503.16274703</v>
      </c>
      <c r="D1019" s="6">
        <v>51694170</v>
      </c>
      <c r="E1019" s="6">
        <v>99843731</v>
      </c>
    </row>
    <row r="1020" spans="2:5" x14ac:dyDescent="0.3">
      <c r="B1020" s="4" t="s">
        <v>174</v>
      </c>
      <c r="C1020" s="6">
        <v>827610878.54877198</v>
      </c>
      <c r="D1020" s="6">
        <v>52805927</v>
      </c>
      <c r="E1020" s="6">
        <v>100001048</v>
      </c>
    </row>
    <row r="1021" spans="2:5" x14ac:dyDescent="0.3">
      <c r="B1021" s="4" t="s">
        <v>175</v>
      </c>
      <c r="C1021" s="6">
        <v>768094886.60001898</v>
      </c>
      <c r="D1021" s="6">
        <v>50741156</v>
      </c>
      <c r="E1021" s="6">
        <v>95382722</v>
      </c>
    </row>
    <row r="1022" spans="2:5" x14ac:dyDescent="0.3">
      <c r="B1022" s="4" t="s">
        <v>176</v>
      </c>
      <c r="C1022" s="6">
        <v>752429322.98726499</v>
      </c>
      <c r="D1022" s="6">
        <v>50246139</v>
      </c>
      <c r="E1022" s="6">
        <v>97307452</v>
      </c>
    </row>
    <row r="1023" spans="2:5" x14ac:dyDescent="0.3">
      <c r="B1023" s="4" t="s">
        <v>177</v>
      </c>
      <c r="C1023" s="6">
        <v>767309789.47157598</v>
      </c>
      <c r="D1023" s="6">
        <v>48932445</v>
      </c>
      <c r="E1023" s="6">
        <v>98791126</v>
      </c>
    </row>
    <row r="1024" spans="2:5" x14ac:dyDescent="0.3">
      <c r="B1024" s="4" t="s">
        <v>178</v>
      </c>
      <c r="C1024" s="6">
        <v>779165647.78703797</v>
      </c>
      <c r="D1024" s="6">
        <v>50794116</v>
      </c>
      <c r="E1024" s="6">
        <v>104955181</v>
      </c>
    </row>
    <row r="1025" spans="2:5" x14ac:dyDescent="0.3">
      <c r="B1025" s="4" t="s">
        <v>179</v>
      </c>
      <c r="C1025" s="6">
        <v>789317782.22833204</v>
      </c>
      <c r="D1025" s="6">
        <v>52756822</v>
      </c>
      <c r="E1025" s="6">
        <v>101848048</v>
      </c>
    </row>
    <row r="1026" spans="2:5" x14ac:dyDescent="0.3">
      <c r="B1026" s="4" t="s">
        <v>180</v>
      </c>
      <c r="C1026" s="6">
        <v>767068782.56938398</v>
      </c>
      <c r="D1026" s="6">
        <v>52526928</v>
      </c>
      <c r="E1026" s="6">
        <v>99149478</v>
      </c>
    </row>
    <row r="1027" spans="2:5" x14ac:dyDescent="0.3">
      <c r="B1027" s="4" t="s">
        <v>181</v>
      </c>
      <c r="C1027" s="6">
        <v>779816569.87335598</v>
      </c>
      <c r="D1027" s="6">
        <v>53240396</v>
      </c>
      <c r="E1027" s="6">
        <v>104230628</v>
      </c>
    </row>
    <row r="1028" spans="2:5" x14ac:dyDescent="0.3">
      <c r="B1028" s="4" t="s">
        <v>182</v>
      </c>
      <c r="C1028" s="6">
        <v>794705434.50583899</v>
      </c>
      <c r="D1028" s="6">
        <v>53071448</v>
      </c>
      <c r="E1028" s="6">
        <v>106196467</v>
      </c>
    </row>
    <row r="1029" spans="2:5" x14ac:dyDescent="0.3">
      <c r="B1029" s="4" t="s">
        <v>183</v>
      </c>
      <c r="C1029" s="6">
        <v>821493306.31185603</v>
      </c>
      <c r="D1029" s="6">
        <v>53532448</v>
      </c>
      <c r="E1029" s="6">
        <v>105661660</v>
      </c>
    </row>
    <row r="1030" spans="2:5" x14ac:dyDescent="0.3">
      <c r="B1030" s="4" t="s">
        <v>184</v>
      </c>
      <c r="C1030" s="6">
        <v>825390228.07593203</v>
      </c>
      <c r="D1030" s="6">
        <v>55969507</v>
      </c>
      <c r="E1030" s="6">
        <v>105293235</v>
      </c>
    </row>
    <row r="1031" spans="2:5" x14ac:dyDescent="0.3">
      <c r="B1031" s="4" t="s">
        <v>185</v>
      </c>
      <c r="C1031" s="6">
        <v>811634520.43481898</v>
      </c>
      <c r="D1031" s="6">
        <v>57777881</v>
      </c>
      <c r="E1031" s="6">
        <v>103673626</v>
      </c>
    </row>
    <row r="1032" spans="2:5" x14ac:dyDescent="0.3">
      <c r="B1032" s="4" t="s">
        <v>186</v>
      </c>
      <c r="C1032" s="6">
        <v>793244412.00673902</v>
      </c>
      <c r="D1032" s="6">
        <v>54962599</v>
      </c>
      <c r="E1032" s="6">
        <v>104398696</v>
      </c>
    </row>
    <row r="1033" spans="2:5" x14ac:dyDescent="0.3">
      <c r="B1033" s="4" t="s">
        <v>187</v>
      </c>
      <c r="C1033" s="6">
        <v>827763499.67147005</v>
      </c>
      <c r="D1033" s="6">
        <v>58061579</v>
      </c>
      <c r="E1033" s="6">
        <v>104221619</v>
      </c>
    </row>
    <row r="1034" spans="2:5" x14ac:dyDescent="0.3">
      <c r="B1034" s="4" t="s">
        <v>188</v>
      </c>
      <c r="C1034" s="6">
        <v>824380010.83624494</v>
      </c>
      <c r="D1034" s="6">
        <v>56517226</v>
      </c>
      <c r="E1034" s="6">
        <v>102129937</v>
      </c>
    </row>
    <row r="1035" spans="2:5" x14ac:dyDescent="0.3">
      <c r="B1035" s="4" t="s">
        <v>189</v>
      </c>
      <c r="C1035" s="6">
        <v>805111237.06623006</v>
      </c>
      <c r="D1035" s="6">
        <v>56336114</v>
      </c>
      <c r="E1035" s="6">
        <v>95472473</v>
      </c>
    </row>
    <row r="1036" spans="2:5" x14ac:dyDescent="0.3">
      <c r="B1036" s="4" t="s">
        <v>190</v>
      </c>
      <c r="C1036" s="6">
        <v>810524335.27095699</v>
      </c>
      <c r="D1036" s="6">
        <v>56648200</v>
      </c>
      <c r="E1036" s="6">
        <v>95576256</v>
      </c>
    </row>
    <row r="1037" spans="2:5" x14ac:dyDescent="0.3">
      <c r="B1037" s="4" t="s">
        <v>191</v>
      </c>
      <c r="C1037" s="6">
        <v>799309356.90730798</v>
      </c>
      <c r="D1037" s="6">
        <v>55794099</v>
      </c>
      <c r="E1037" s="6">
        <v>97622722</v>
      </c>
    </row>
    <row r="1038" spans="2:5" x14ac:dyDescent="0.3">
      <c r="B1038" s="4" t="s">
        <v>192</v>
      </c>
      <c r="C1038" s="6">
        <v>816545493.50654805</v>
      </c>
      <c r="D1038" s="6">
        <v>56253931</v>
      </c>
      <c r="E1038" s="6">
        <v>98531534</v>
      </c>
    </row>
    <row r="1039" spans="2:5" x14ac:dyDescent="0.3">
      <c r="B1039" s="4" t="s">
        <v>193</v>
      </c>
      <c r="C1039" s="6">
        <v>847048238.18008995</v>
      </c>
      <c r="D1039" s="6">
        <v>57186687</v>
      </c>
      <c r="E1039" s="6">
        <v>98719571</v>
      </c>
    </row>
    <row r="1040" spans="2:5" x14ac:dyDescent="0.3">
      <c r="B1040" s="4" t="s">
        <v>194</v>
      </c>
      <c r="C1040" s="6">
        <v>852663191.82600999</v>
      </c>
      <c r="D1040" s="6">
        <v>59091478</v>
      </c>
      <c r="E1040" s="6">
        <v>95993270</v>
      </c>
    </row>
    <row r="1041" spans="2:5" x14ac:dyDescent="0.3">
      <c r="B1041" s="4" t="s">
        <v>195</v>
      </c>
      <c r="C1041" s="6">
        <v>917709074.61525989</v>
      </c>
      <c r="D1041" s="6">
        <v>64524244</v>
      </c>
      <c r="E1041" s="6">
        <v>103937024</v>
      </c>
    </row>
    <row r="1042" spans="2:5" x14ac:dyDescent="0.3">
      <c r="B1042" s="4" t="s">
        <v>196</v>
      </c>
      <c r="C1042" s="6">
        <v>890114793.77801001</v>
      </c>
      <c r="D1042" s="6">
        <v>64085170</v>
      </c>
      <c r="E1042" s="6">
        <v>99786127</v>
      </c>
    </row>
    <row r="1043" spans="2:5" x14ac:dyDescent="0.3">
      <c r="B1043" s="4" t="s">
        <v>197</v>
      </c>
      <c r="C1043" s="6">
        <v>916595788.52841997</v>
      </c>
      <c r="D1043" s="6">
        <v>66476570</v>
      </c>
      <c r="E1043" s="6">
        <v>104850412</v>
      </c>
    </row>
    <row r="1044" spans="2:5" x14ac:dyDescent="0.3">
      <c r="B1044" s="4" t="s">
        <v>198</v>
      </c>
      <c r="C1044" s="6">
        <v>904103360.46454</v>
      </c>
      <c r="D1044" s="6">
        <v>65575076</v>
      </c>
      <c r="E1044" s="6">
        <v>100573065</v>
      </c>
    </row>
    <row r="1045" spans="2:5" x14ac:dyDescent="0.3">
      <c r="B1045" s="4" t="s">
        <v>199</v>
      </c>
      <c r="C1045" s="6">
        <v>931466534.72019005</v>
      </c>
      <c r="D1045" s="6">
        <v>67908135</v>
      </c>
      <c r="E1045" s="6">
        <v>113169459</v>
      </c>
    </row>
    <row r="1046" spans="2:5" x14ac:dyDescent="0.3">
      <c r="B1046" s="4" t="s">
        <v>200</v>
      </c>
      <c r="C1046" s="6">
        <v>957977779.49435997</v>
      </c>
      <c r="D1046" s="6">
        <v>67296663</v>
      </c>
      <c r="E1046" s="6">
        <v>113576532</v>
      </c>
    </row>
    <row r="1047" spans="2:5" x14ac:dyDescent="0.3">
      <c r="B1047" s="4" t="s">
        <v>201</v>
      </c>
      <c r="C1047" s="6">
        <v>974882471.55519009</v>
      </c>
      <c r="D1047" s="6">
        <v>68586545</v>
      </c>
      <c r="E1047" s="6">
        <v>111574820</v>
      </c>
    </row>
    <row r="1048" spans="2:5" x14ac:dyDescent="0.3">
      <c r="B1048" s="4" t="s">
        <v>202</v>
      </c>
      <c r="C1048" s="6">
        <v>980569383.80963993</v>
      </c>
      <c r="D1048" s="6">
        <v>70001629</v>
      </c>
      <c r="E1048" s="6">
        <v>113945596</v>
      </c>
    </row>
    <row r="1049" spans="2:5" x14ac:dyDescent="0.3">
      <c r="B1049" s="4" t="s">
        <v>203</v>
      </c>
      <c r="C1049" s="6">
        <v>971603766.65946007</v>
      </c>
      <c r="D1049" s="6">
        <v>72963931</v>
      </c>
      <c r="E1049" s="6">
        <v>115044144</v>
      </c>
    </row>
    <row r="1050" spans="2:5" x14ac:dyDescent="0.3">
      <c r="B1050" s="4" t="s">
        <v>204</v>
      </c>
      <c r="C1050" s="6">
        <v>969357337.83396006</v>
      </c>
      <c r="D1050" s="6">
        <v>73787327</v>
      </c>
      <c r="E1050" s="6">
        <v>107129905</v>
      </c>
    </row>
    <row r="1051" spans="2:5" x14ac:dyDescent="0.3">
      <c r="B1051" s="4" t="s">
        <v>205</v>
      </c>
      <c r="C1051" s="6">
        <v>936280026.40275002</v>
      </c>
      <c r="D1051" s="6">
        <v>81195845</v>
      </c>
      <c r="E1051" s="6">
        <v>105314592</v>
      </c>
    </row>
    <row r="1052" spans="2:5" x14ac:dyDescent="0.3">
      <c r="B1052" s="4" t="s">
        <v>206</v>
      </c>
      <c r="C1052" s="6">
        <v>939036948.52308011</v>
      </c>
      <c r="D1052" s="6">
        <v>88062576</v>
      </c>
      <c r="E1052" s="6">
        <v>90656442</v>
      </c>
    </row>
    <row r="1053" spans="2:5" x14ac:dyDescent="0.3">
      <c r="B1053" s="4" t="s">
        <v>207</v>
      </c>
      <c r="C1053" s="6">
        <v>936643596.2326901</v>
      </c>
      <c r="D1053" s="6">
        <v>81071169</v>
      </c>
      <c r="E1053" s="6">
        <v>88227697</v>
      </c>
    </row>
    <row r="1054" spans="2:5" x14ac:dyDescent="0.3">
      <c r="B1054" s="4" t="s">
        <v>208</v>
      </c>
      <c r="C1054" s="6">
        <v>964455424.72133994</v>
      </c>
      <c r="D1054" s="6">
        <v>87884632</v>
      </c>
      <c r="E1054" s="6">
        <v>94967726</v>
      </c>
    </row>
    <row r="1055" spans="2:5" x14ac:dyDescent="0.3">
      <c r="B1055" s="4" t="s">
        <v>209</v>
      </c>
      <c r="C1055" s="6">
        <v>958934748.65954995</v>
      </c>
      <c r="D1055" s="6">
        <v>87101741</v>
      </c>
      <c r="E1055" s="6">
        <v>90402936</v>
      </c>
    </row>
    <row r="1056" spans="2:5" x14ac:dyDescent="0.3">
      <c r="B1056" s="4" t="s">
        <v>210</v>
      </c>
      <c r="C1056" s="6">
        <v>936951675.24359012</v>
      </c>
      <c r="D1056" s="6">
        <v>81338839</v>
      </c>
      <c r="E1056" s="6">
        <v>97743632</v>
      </c>
    </row>
    <row r="1057" spans="2:5" x14ac:dyDescent="0.3">
      <c r="B1057" s="4" t="s">
        <v>211</v>
      </c>
      <c r="C1057" s="6">
        <v>924749928.4210701</v>
      </c>
      <c r="D1057" s="6">
        <v>81365358</v>
      </c>
      <c r="E1057" s="6">
        <v>117245553</v>
      </c>
    </row>
    <row r="1058" spans="2:5" x14ac:dyDescent="0.3">
      <c r="B1058" s="4" t="s">
        <v>212</v>
      </c>
      <c r="C1058" s="6">
        <v>940967759.43629003</v>
      </c>
      <c r="D1058" s="6">
        <v>85256368</v>
      </c>
      <c r="E1058" s="6">
        <v>171327814</v>
      </c>
    </row>
    <row r="1059" spans="2:5" x14ac:dyDescent="0.3">
      <c r="B1059" s="4" t="s">
        <v>213</v>
      </c>
      <c r="C1059" s="6">
        <v>951818412.72894001</v>
      </c>
      <c r="D1059" s="6">
        <v>85198325</v>
      </c>
      <c r="E1059" s="6">
        <v>239736623</v>
      </c>
    </row>
    <row r="1060" spans="2:5" x14ac:dyDescent="0.3">
      <c r="B1060" s="4" t="s">
        <v>214</v>
      </c>
      <c r="C1060" s="6">
        <v>983599078.10055995</v>
      </c>
      <c r="D1060" s="6">
        <v>96797742</v>
      </c>
      <c r="E1060" s="6">
        <v>339613547</v>
      </c>
    </row>
    <row r="1061" spans="2:5" x14ac:dyDescent="0.3">
      <c r="B1061" s="4" t="s">
        <v>215</v>
      </c>
      <c r="C1061" s="6">
        <v>986734770.47977996</v>
      </c>
      <c r="D1061" s="6">
        <v>98631331</v>
      </c>
      <c r="E1061" s="6">
        <v>433071037</v>
      </c>
    </row>
    <row r="1062" spans="2:5" x14ac:dyDescent="0.3">
      <c r="B1062" s="4" t="s">
        <v>216</v>
      </c>
      <c r="C1062" s="6">
        <v>988130655.00623989</v>
      </c>
      <c r="D1062" s="6">
        <v>108618009</v>
      </c>
      <c r="E1062" s="6">
        <v>511267185</v>
      </c>
    </row>
    <row r="1063" spans="2:5" x14ac:dyDescent="0.3">
      <c r="B1063" s="4" t="s">
        <v>217</v>
      </c>
      <c r="C1063" s="6">
        <v>952047210.2702899</v>
      </c>
      <c r="D1063" s="6">
        <v>129647463</v>
      </c>
      <c r="E1063" s="6">
        <v>608713948</v>
      </c>
    </row>
    <row r="1064" spans="2:5" x14ac:dyDescent="0.3">
      <c r="B1064" s="4" t="s">
        <v>218</v>
      </c>
      <c r="C1064" s="6">
        <v>995369825.59179997</v>
      </c>
      <c r="D1064" s="6">
        <v>123178414</v>
      </c>
      <c r="E1064" s="6">
        <v>577005640</v>
      </c>
    </row>
    <row r="1065" spans="2:5" x14ac:dyDescent="0.3">
      <c r="B1065" s="4" t="s">
        <v>219</v>
      </c>
      <c r="C1065" s="6">
        <v>1039628367.0229101</v>
      </c>
      <c r="D1065" s="6">
        <v>126468956</v>
      </c>
      <c r="E1065" s="6">
        <v>592014395</v>
      </c>
    </row>
    <row r="1066" spans="2:5" x14ac:dyDescent="0.3">
      <c r="B1066" s="4" t="s">
        <v>220</v>
      </c>
      <c r="C1066" s="6">
        <v>1130675237.69698</v>
      </c>
      <c r="D1066" s="6">
        <v>123911383</v>
      </c>
      <c r="E1066" s="6">
        <v>561693412</v>
      </c>
    </row>
    <row r="1067" spans="2:5" x14ac:dyDescent="0.3">
      <c r="B1067" s="4" t="s">
        <v>221</v>
      </c>
      <c r="C1067" s="6">
        <v>1177619883.5804999</v>
      </c>
      <c r="D1067" s="6">
        <v>116430088</v>
      </c>
      <c r="E1067" s="6">
        <v>616459482</v>
      </c>
    </row>
    <row r="1068" spans="2:5" x14ac:dyDescent="0.3">
      <c r="B1068" s="4" t="s">
        <v>222</v>
      </c>
      <c r="C1068" s="6">
        <v>1192181752.9469099</v>
      </c>
      <c r="D1068" s="6">
        <v>110938750</v>
      </c>
      <c r="E1068" s="6">
        <v>625814924</v>
      </c>
    </row>
    <row r="1069" spans="2:5" x14ac:dyDescent="0.3">
      <c r="B1069" s="4" t="s">
        <v>223</v>
      </c>
      <c r="C1069" s="6">
        <v>1186930313.5625</v>
      </c>
      <c r="D1069" s="6">
        <v>112053287</v>
      </c>
      <c r="E1069" s="6">
        <v>628278253</v>
      </c>
    </row>
    <row r="1070" spans="2:5" x14ac:dyDescent="0.3">
      <c r="B1070" s="4" t="s">
        <v>224</v>
      </c>
      <c r="C1070" s="6">
        <v>1193608839.97364</v>
      </c>
      <c r="D1070" s="6">
        <v>115184596</v>
      </c>
      <c r="E1070" s="6">
        <v>635735044</v>
      </c>
    </row>
    <row r="1071" spans="2:5" x14ac:dyDescent="0.3">
      <c r="B1071" s="4" t="s">
        <v>225</v>
      </c>
      <c r="C1071" s="6">
        <v>1204026846.07072</v>
      </c>
      <c r="D1071" s="6">
        <v>158724559</v>
      </c>
      <c r="E1071" s="6">
        <v>639542361</v>
      </c>
    </row>
    <row r="1072" spans="2:5" x14ac:dyDescent="0.3">
      <c r="B1072" s="4" t="s">
        <v>226</v>
      </c>
      <c r="C1072" s="6">
        <v>1215207611.7464299</v>
      </c>
      <c r="D1072" s="6">
        <v>115015469</v>
      </c>
      <c r="E1072" s="6">
        <v>564930596</v>
      </c>
    </row>
    <row r="1073" spans="2:5" x14ac:dyDescent="0.3">
      <c r="B1073" s="4" t="s">
        <v>227</v>
      </c>
      <c r="C1073" s="6">
        <v>1320082048.34635</v>
      </c>
      <c r="D1073" s="6">
        <v>121156966</v>
      </c>
      <c r="E1073" s="6">
        <v>596220443</v>
      </c>
    </row>
    <row r="1074" spans="2:5" x14ac:dyDescent="0.3">
      <c r="B1074" s="4" t="s">
        <v>228</v>
      </c>
      <c r="C1074" s="6">
        <v>1314644219.39501</v>
      </c>
      <c r="D1074" s="6">
        <v>119715830</v>
      </c>
      <c r="E1074" s="6">
        <v>611929653</v>
      </c>
    </row>
    <row r="1075" spans="2:5" x14ac:dyDescent="0.3">
      <c r="B1075" s="4" t="s">
        <v>229</v>
      </c>
      <c r="C1075" s="6">
        <v>1405484624.9822402</v>
      </c>
      <c r="D1075" s="6">
        <v>124500655</v>
      </c>
      <c r="E1075" s="6">
        <v>624301168</v>
      </c>
    </row>
    <row r="1076" spans="2:5" x14ac:dyDescent="0.3">
      <c r="B1076" s="4" t="s">
        <v>230</v>
      </c>
      <c r="C1076" s="6">
        <v>1427782130.0707998</v>
      </c>
      <c r="D1076" s="6">
        <v>129201242</v>
      </c>
      <c r="E1076" s="6">
        <v>630538513</v>
      </c>
    </row>
    <row r="1077" spans="2:5" x14ac:dyDescent="0.3">
      <c r="B1077" s="4" t="s">
        <v>231</v>
      </c>
      <c r="C1077" s="6">
        <v>1437171609.4535899</v>
      </c>
      <c r="D1077" s="6">
        <v>126491025</v>
      </c>
      <c r="E1077" s="6">
        <v>637698403</v>
      </c>
    </row>
    <row r="1078" spans="2:5" x14ac:dyDescent="0.3">
      <c r="B1078" s="4" t="s">
        <v>232</v>
      </c>
      <c r="C1078" s="6">
        <v>1504378898.5964098</v>
      </c>
      <c r="D1078" s="6">
        <v>146805050</v>
      </c>
      <c r="E1078" s="6">
        <v>671759732</v>
      </c>
    </row>
    <row r="1079" spans="2:5" x14ac:dyDescent="0.3">
      <c r="B1079" s="4" t="s">
        <v>233</v>
      </c>
      <c r="C1079" s="6">
        <v>1549072771.7431202</v>
      </c>
      <c r="D1079" s="6">
        <v>154307451</v>
      </c>
      <c r="E1079" s="6">
        <v>640377888</v>
      </c>
    </row>
    <row r="1080" spans="2:5" x14ac:dyDescent="0.3">
      <c r="B1080" s="4" t="s">
        <v>234</v>
      </c>
      <c r="C1080" s="6">
        <v>1648653136.6186399</v>
      </c>
      <c r="D1080" s="6">
        <v>158433322</v>
      </c>
      <c r="E1080" s="6">
        <v>664612520</v>
      </c>
    </row>
    <row r="1081" spans="2:5" x14ac:dyDescent="0.3">
      <c r="B1081" s="4" t="s">
        <v>235</v>
      </c>
      <c r="C1081" s="6">
        <v>1638894026.0889001</v>
      </c>
      <c r="D1081" s="6">
        <v>153636496</v>
      </c>
      <c r="E1081" s="6">
        <v>661907971</v>
      </c>
    </row>
    <row r="1082" spans="2:5" x14ac:dyDescent="0.3">
      <c r="B1082" s="4" t="s">
        <v>236</v>
      </c>
      <c r="C1082" s="6">
        <v>1644374324.4877</v>
      </c>
      <c r="D1082" s="6">
        <v>161301915</v>
      </c>
      <c r="E1082" s="6">
        <v>677107837</v>
      </c>
    </row>
    <row r="1083" spans="2:5" x14ac:dyDescent="0.3">
      <c r="B1083" s="4" t="s">
        <v>237</v>
      </c>
      <c r="C1083" s="6">
        <v>1678745836.3684602</v>
      </c>
      <c r="D1083" s="6">
        <v>178242725</v>
      </c>
      <c r="E1083" s="6">
        <v>689408365</v>
      </c>
    </row>
    <row r="1084" spans="2:5" x14ac:dyDescent="0.3">
      <c r="B1084" s="4" t="s">
        <v>238</v>
      </c>
      <c r="C1084" s="6">
        <v>1661352263.0214801</v>
      </c>
      <c r="D1084" s="6">
        <v>191894091</v>
      </c>
      <c r="E1084" s="6">
        <v>698960570</v>
      </c>
    </row>
    <row r="1085" spans="2:5" x14ac:dyDescent="0.3">
      <c r="B1085" s="4" t="s">
        <v>239</v>
      </c>
      <c r="C1085" s="6">
        <v>1666538009.2503099</v>
      </c>
      <c r="D1085" s="6">
        <v>183518244</v>
      </c>
      <c r="E1085" s="6">
        <v>690522079</v>
      </c>
    </row>
    <row r="1086" spans="2:5" x14ac:dyDescent="0.3">
      <c r="B1086" s="4" t="s">
        <v>240</v>
      </c>
      <c r="C1086" s="6">
        <v>1698745744.24998</v>
      </c>
      <c r="D1086" s="6">
        <v>206287271</v>
      </c>
      <c r="E1086" s="6">
        <v>702342854</v>
      </c>
    </row>
    <row r="1087" spans="2:5" x14ac:dyDescent="0.3">
      <c r="B1087" s="4" t="s">
        <v>241</v>
      </c>
      <c r="C1087" s="6">
        <v>1729561599.9675002</v>
      </c>
      <c r="D1087" s="6">
        <v>217043057</v>
      </c>
      <c r="E1087" s="6">
        <v>697701897</v>
      </c>
    </row>
    <row r="1088" spans="2:5" x14ac:dyDescent="0.3">
      <c r="B1088" s="4" t="s">
        <v>242</v>
      </c>
      <c r="C1088" s="6">
        <v>1729923980.1162801</v>
      </c>
      <c r="D1088" s="6">
        <v>227358205</v>
      </c>
      <c r="E1088" s="6">
        <v>697836791</v>
      </c>
    </row>
    <row r="1089" spans="2:5" x14ac:dyDescent="0.3">
      <c r="B1089" s="4" t="s">
        <v>243</v>
      </c>
      <c r="C1089" s="6">
        <v>1742991400.8291702</v>
      </c>
      <c r="D1089" s="6">
        <v>234886357</v>
      </c>
      <c r="E1089" s="6">
        <v>693262631</v>
      </c>
    </row>
    <row r="1090" spans="2:5" x14ac:dyDescent="0.3">
      <c r="B1090" s="4" t="s">
        <v>244</v>
      </c>
      <c r="C1090" s="6">
        <v>1824540933.2220502</v>
      </c>
      <c r="D1090" s="6">
        <v>247835840</v>
      </c>
      <c r="E1090" s="6">
        <v>676549036</v>
      </c>
    </row>
    <row r="1091" spans="2:5" x14ac:dyDescent="0.3">
      <c r="B1091" s="4" t="s">
        <v>245</v>
      </c>
      <c r="C1091" s="6">
        <v>1894828821.2586002</v>
      </c>
      <c r="D1091" s="6">
        <v>359688284</v>
      </c>
      <c r="E1091" s="6">
        <v>638260228</v>
      </c>
    </row>
    <row r="1092" spans="2:5" x14ac:dyDescent="0.3">
      <c r="B1092" s="4" t="s">
        <v>246</v>
      </c>
      <c r="C1092" s="6">
        <v>1977459644.4002199</v>
      </c>
      <c r="D1092" s="6">
        <v>428285452</v>
      </c>
      <c r="E1092" s="6">
        <v>579165401</v>
      </c>
    </row>
    <row r="1093" spans="2:5" x14ac:dyDescent="0.3">
      <c r="B1093" s="4" t="s">
        <v>247</v>
      </c>
      <c r="C1093" s="6">
        <v>2032261304.5798402</v>
      </c>
      <c r="D1093" s="6">
        <v>483341145</v>
      </c>
      <c r="E1093" s="6">
        <v>571497569</v>
      </c>
    </row>
    <row r="1094" spans="2:5" x14ac:dyDescent="0.3">
      <c r="B1094" s="4" t="s">
        <v>248</v>
      </c>
      <c r="C1094" s="6">
        <v>2251968026.6683798</v>
      </c>
      <c r="D1094" s="6">
        <v>519869544</v>
      </c>
      <c r="E1094" s="6">
        <v>572424967</v>
      </c>
    </row>
    <row r="1095" spans="2:5" x14ac:dyDescent="0.3">
      <c r="B1095" s="4" t="s">
        <v>249</v>
      </c>
      <c r="C1095" s="6">
        <v>2402280456.2534499</v>
      </c>
      <c r="D1095" s="6">
        <v>582086293</v>
      </c>
      <c r="E1095" s="6">
        <v>557842795</v>
      </c>
    </row>
    <row r="1096" spans="2:5" x14ac:dyDescent="0.3">
      <c r="B1096" s="4" t="s">
        <v>250</v>
      </c>
      <c r="C1096" s="6">
        <v>2447260032.3491702</v>
      </c>
      <c r="D1096" s="6">
        <v>557774994</v>
      </c>
      <c r="E1096" s="6">
        <v>583535177</v>
      </c>
    </row>
    <row r="1097" spans="2:5" x14ac:dyDescent="0.3">
      <c r="B1097" s="4" t="s">
        <v>251</v>
      </c>
      <c r="C1097" s="6">
        <v>2521161422.5095301</v>
      </c>
      <c r="D1097" s="6">
        <v>608994196</v>
      </c>
      <c r="E1097" s="6">
        <v>587882207</v>
      </c>
    </row>
    <row r="1098" spans="2:5" x14ac:dyDescent="0.3">
      <c r="B1098" s="4" t="s">
        <v>252</v>
      </c>
      <c r="C1098" s="6">
        <v>2498293409.8194499</v>
      </c>
      <c r="D1098" s="6">
        <v>468353814</v>
      </c>
      <c r="E1098" s="6">
        <v>722414009</v>
      </c>
    </row>
    <row r="1099" spans="2:5" x14ac:dyDescent="0.3">
      <c r="B1099" s="4" t="s">
        <v>253</v>
      </c>
      <c r="C1099" s="6">
        <v>2490409816.7637501</v>
      </c>
      <c r="D1099" s="6">
        <v>373483979</v>
      </c>
      <c r="E1099" s="6">
        <v>782608208</v>
      </c>
    </row>
    <row r="1100" spans="2:5" x14ac:dyDescent="0.3">
      <c r="B1100" s="4" t="s">
        <v>254</v>
      </c>
      <c r="C1100" s="6">
        <v>2550112379.4832301</v>
      </c>
      <c r="D1100" s="6">
        <v>388463195</v>
      </c>
      <c r="E1100" s="6">
        <v>790473582</v>
      </c>
    </row>
    <row r="1101" spans="2:5" x14ac:dyDescent="0.3">
      <c r="B1101" s="4" t="s">
        <v>255</v>
      </c>
      <c r="C1101" s="6">
        <v>2643526837.7996702</v>
      </c>
      <c r="D1101" s="6">
        <v>419934730</v>
      </c>
      <c r="E1101" s="6">
        <v>773225338</v>
      </c>
    </row>
    <row r="1102" spans="2:5" x14ac:dyDescent="0.3">
      <c r="B1102" s="4" t="s">
        <v>256</v>
      </c>
      <c r="C1102" s="6">
        <v>2749867385.04916</v>
      </c>
      <c r="D1102" s="6">
        <v>461063179</v>
      </c>
      <c r="E1102" s="6">
        <v>738807260</v>
      </c>
    </row>
    <row r="1103" spans="2:5" x14ac:dyDescent="0.3">
      <c r="B1103" s="4" t="s">
        <v>257</v>
      </c>
      <c r="C1103" s="6">
        <v>2856847190.8014202</v>
      </c>
      <c r="D1103" s="6">
        <v>491379310</v>
      </c>
      <c r="E1103" s="6">
        <v>698263732</v>
      </c>
    </row>
    <row r="1104" spans="2:5" x14ac:dyDescent="0.3">
      <c r="B1104" s="4" t="s">
        <v>258</v>
      </c>
      <c r="C1104" s="6">
        <v>2994753577.1864901</v>
      </c>
      <c r="D1104" s="6">
        <v>493909415</v>
      </c>
      <c r="E1104" s="6">
        <v>762798800</v>
      </c>
    </row>
    <row r="1105" spans="2:5" x14ac:dyDescent="0.3">
      <c r="B1105" s="4" t="s">
        <v>259</v>
      </c>
      <c r="C1105" s="6">
        <v>2944559512.8432698</v>
      </c>
      <c r="D1105" s="6">
        <v>532812563</v>
      </c>
      <c r="E1105" s="6">
        <v>751839481</v>
      </c>
    </row>
    <row r="1106" spans="2:5" x14ac:dyDescent="0.3">
      <c r="B1106" s="4" t="s">
        <v>260</v>
      </c>
      <c r="C1106" s="6">
        <v>3052715372.7208996</v>
      </c>
      <c r="D1106" s="6">
        <v>481790719</v>
      </c>
      <c r="E1106" s="6">
        <v>810050939</v>
      </c>
    </row>
    <row r="1107" spans="2:5" x14ac:dyDescent="0.3">
      <c r="B1107" s="4" t="s">
        <v>261</v>
      </c>
      <c r="C1107" s="6">
        <v>3095745337.8455801</v>
      </c>
      <c r="D1107" s="6">
        <v>485981223</v>
      </c>
      <c r="E1107" s="6">
        <v>816928141</v>
      </c>
    </row>
    <row r="1108" spans="2:5" x14ac:dyDescent="0.3">
      <c r="B1108" s="4" t="s">
        <v>262</v>
      </c>
      <c r="C1108" s="6">
        <v>3292592480.74891</v>
      </c>
      <c r="D1108" s="6">
        <v>481558886</v>
      </c>
      <c r="E1108" s="6">
        <v>823322936</v>
      </c>
    </row>
    <row r="1109" spans="2:5" x14ac:dyDescent="0.3">
      <c r="B1109" s="4" t="s">
        <v>263</v>
      </c>
      <c r="C1109" s="6">
        <v>3255222597.5358696</v>
      </c>
      <c r="D1109" s="6">
        <v>514119455</v>
      </c>
      <c r="E1109" s="6">
        <v>799813083</v>
      </c>
    </row>
    <row r="1110" spans="2:5" x14ac:dyDescent="0.3">
      <c r="B1110" s="4" t="s">
        <v>264</v>
      </c>
      <c r="C1110" s="6">
        <v>3216798590.5742197</v>
      </c>
      <c r="D1110" s="6">
        <v>523658486</v>
      </c>
      <c r="E1110" s="6">
        <v>777264935</v>
      </c>
    </row>
    <row r="1111" spans="2:5" x14ac:dyDescent="0.3">
      <c r="B1111" s="4" t="s">
        <v>265</v>
      </c>
      <c r="C1111" s="6">
        <v>3286172797.3321199</v>
      </c>
      <c r="D1111" s="6">
        <v>565325669</v>
      </c>
      <c r="E1111" s="6">
        <v>812632736</v>
      </c>
    </row>
    <row r="1112" spans="2:5" x14ac:dyDescent="0.3">
      <c r="B1112" s="4" t="s">
        <v>266</v>
      </c>
      <c r="C1112" s="6">
        <v>3304966470.8147802</v>
      </c>
      <c r="D1112" s="6">
        <v>586631413</v>
      </c>
      <c r="E1112" s="6">
        <v>810652463</v>
      </c>
    </row>
    <row r="1113" spans="2:5" x14ac:dyDescent="0.3">
      <c r="B1113" s="4" t="s">
        <v>267</v>
      </c>
      <c r="C1113" s="6">
        <v>3466273675.9994602</v>
      </c>
      <c r="D1113" s="6">
        <v>545139060</v>
      </c>
      <c r="E1113" s="6">
        <v>856732327</v>
      </c>
    </row>
    <row r="1114" spans="2:5" x14ac:dyDescent="0.3">
      <c r="B1114" s="4" t="s">
        <v>268</v>
      </c>
      <c r="C1114" s="6">
        <v>3359550418.2364798</v>
      </c>
      <c r="D1114" s="6">
        <v>539574410</v>
      </c>
      <c r="E1114" s="6">
        <v>843228008</v>
      </c>
    </row>
    <row r="1115" spans="2:5" x14ac:dyDescent="0.3">
      <c r="B1115" s="4" t="s">
        <v>269</v>
      </c>
      <c r="C1115" s="6">
        <v>3413118789.9667797</v>
      </c>
      <c r="D1115" s="6">
        <v>543319762</v>
      </c>
      <c r="E1115" s="6">
        <v>827500814</v>
      </c>
    </row>
    <row r="1116" spans="2:5" x14ac:dyDescent="0.3">
      <c r="B1116" s="4" t="s">
        <v>270</v>
      </c>
      <c r="C1116" s="6">
        <v>3612200694.4962397</v>
      </c>
      <c r="D1116" s="6">
        <v>529581014</v>
      </c>
      <c r="E1116" s="6">
        <v>911615582</v>
      </c>
    </row>
    <row r="1117" spans="2:5" x14ac:dyDescent="0.3">
      <c r="B1117" s="4" t="s">
        <v>271</v>
      </c>
      <c r="C1117" s="6">
        <v>4082442602.5348997</v>
      </c>
      <c r="D1117" s="6">
        <v>957475175</v>
      </c>
      <c r="E1117" s="6">
        <v>791861598</v>
      </c>
    </row>
    <row r="1118" spans="2:5" x14ac:dyDescent="0.3">
      <c r="B1118" s="4" t="s">
        <v>272</v>
      </c>
      <c r="C1118" s="6">
        <v>4251675487.7491302</v>
      </c>
      <c r="D1118" s="6">
        <v>1026677947</v>
      </c>
      <c r="E1118" s="6">
        <v>742596237</v>
      </c>
    </row>
    <row r="1119" spans="2:5" x14ac:dyDescent="0.3">
      <c r="B1119" s="4" t="s">
        <v>273</v>
      </c>
      <c r="C1119" s="6">
        <v>4509143886.4162102</v>
      </c>
      <c r="D1119" s="6">
        <v>1079622064</v>
      </c>
      <c r="E1119" s="6">
        <v>766876676</v>
      </c>
    </row>
    <row r="1120" spans="2:5" x14ac:dyDescent="0.3">
      <c r="B1120" s="4" t="s">
        <v>274</v>
      </c>
      <c r="C1120" s="6">
        <v>4648351195.3454199</v>
      </c>
      <c r="D1120" s="6">
        <v>1134211703</v>
      </c>
      <c r="E1120" s="6">
        <v>748111988</v>
      </c>
    </row>
    <row r="1121" spans="2:5" x14ac:dyDescent="0.3">
      <c r="B1121" s="4" t="s">
        <v>275</v>
      </c>
      <c r="C1121" s="6">
        <v>4667003696.7669601</v>
      </c>
      <c r="D1121" s="6">
        <v>1125388225</v>
      </c>
      <c r="E1121" s="6">
        <v>730170103</v>
      </c>
    </row>
    <row r="1122" spans="2:5" x14ac:dyDescent="0.3">
      <c r="B1122" s="4" t="s">
        <v>276</v>
      </c>
      <c r="C1122" s="6">
        <v>4655772366.7983503</v>
      </c>
      <c r="D1122" s="6">
        <v>1206117122</v>
      </c>
      <c r="E1122" s="6">
        <v>720683210</v>
      </c>
    </row>
    <row r="1123" spans="2:5" x14ac:dyDescent="0.3">
      <c r="B1123" s="4" t="s">
        <v>277</v>
      </c>
      <c r="C1123" s="6">
        <v>4876018045.3461304</v>
      </c>
      <c r="D1123" s="6">
        <v>1286055831</v>
      </c>
      <c r="E1123" s="6">
        <v>795222000</v>
      </c>
    </row>
    <row r="1124" spans="2:5" x14ac:dyDescent="0.3">
      <c r="B1124" s="4" t="s">
        <v>278</v>
      </c>
      <c r="C1124" s="6">
        <v>4652843913.2797699</v>
      </c>
      <c r="D1124" s="6">
        <v>1285466878</v>
      </c>
      <c r="E1124" s="6">
        <v>781044278</v>
      </c>
    </row>
    <row r="1125" spans="2:5" x14ac:dyDescent="0.3">
      <c r="B1125" s="4" t="s">
        <v>279</v>
      </c>
      <c r="C1125" s="6">
        <v>4825602786.8790598</v>
      </c>
      <c r="D1125" s="6">
        <v>1368386578</v>
      </c>
      <c r="E1125" s="6">
        <v>804180625</v>
      </c>
    </row>
    <row r="1126" spans="2:5" x14ac:dyDescent="0.3">
      <c r="B1126" s="4" t="s">
        <v>280</v>
      </c>
      <c r="C1126" s="6">
        <v>4812072830.5135803</v>
      </c>
      <c r="D1126" s="6">
        <v>1334790891</v>
      </c>
      <c r="E1126" s="6">
        <v>793142580</v>
      </c>
    </row>
    <row r="1127" spans="2:5" x14ac:dyDescent="0.3">
      <c r="B1127" s="4" t="s">
        <v>281</v>
      </c>
      <c r="C1127" s="6">
        <v>4866843176.4539804</v>
      </c>
      <c r="D1127" s="6">
        <v>1392333042</v>
      </c>
      <c r="E1127" s="6">
        <v>821373287</v>
      </c>
    </row>
    <row r="1128" spans="2:5" x14ac:dyDescent="0.3">
      <c r="B1128" s="4" t="s">
        <v>282</v>
      </c>
      <c r="C1128" s="6">
        <v>4886772824.29673</v>
      </c>
      <c r="D1128" s="6">
        <v>1434993397</v>
      </c>
      <c r="E1128" s="6">
        <v>790522868</v>
      </c>
    </row>
    <row r="1129" spans="2:5" x14ac:dyDescent="0.3">
      <c r="B1129" s="4" t="s">
        <v>283</v>
      </c>
      <c r="C1129" s="6">
        <v>5204820030.0247498</v>
      </c>
      <c r="D1129" s="6">
        <v>1486505706</v>
      </c>
      <c r="E1129" s="6">
        <v>798326845</v>
      </c>
    </row>
    <row r="1130" spans="2:5" x14ac:dyDescent="0.3">
      <c r="B1130" s="4" t="s">
        <v>284</v>
      </c>
      <c r="C1130" s="6">
        <v>5125571995.7103701</v>
      </c>
      <c r="D1130" s="6">
        <v>1457799992</v>
      </c>
      <c r="E1130" s="6">
        <v>758119048</v>
      </c>
    </row>
    <row r="1131" spans="2:5" x14ac:dyDescent="0.3">
      <c r="B1131" s="4" t="s">
        <v>285</v>
      </c>
      <c r="C1131" s="6">
        <v>6211784086.5954399</v>
      </c>
      <c r="D1131" s="6">
        <v>1550517295</v>
      </c>
      <c r="E1131" s="6">
        <v>801701066</v>
      </c>
    </row>
    <row r="1132" spans="2:5" x14ac:dyDescent="0.3">
      <c r="B1132" s="4" t="s">
        <v>286</v>
      </c>
      <c r="C1132" s="6">
        <v>6450818055.4972305</v>
      </c>
      <c r="D1132" s="6">
        <v>1662898429</v>
      </c>
      <c r="E1132" s="6">
        <v>792284738</v>
      </c>
    </row>
    <row r="1133" spans="2:5" x14ac:dyDescent="0.3">
      <c r="B1133" s="4" t="s">
        <v>287</v>
      </c>
      <c r="C1133" s="6">
        <v>6896263332.3967705</v>
      </c>
      <c r="D1133" s="6">
        <v>1696875150</v>
      </c>
      <c r="E1133" s="6">
        <v>784803313</v>
      </c>
    </row>
    <row r="1134" spans="2:5" x14ac:dyDescent="0.3">
      <c r="B1134" s="4" t="s">
        <v>288</v>
      </c>
      <c r="C1134" s="6">
        <v>7373524849.2618408</v>
      </c>
      <c r="D1134" s="6">
        <v>1519125624</v>
      </c>
      <c r="E1134" s="6">
        <v>766735386</v>
      </c>
    </row>
    <row r="1135" spans="2:5" x14ac:dyDescent="0.3">
      <c r="B1135" s="4" t="s">
        <v>289</v>
      </c>
      <c r="C1135" s="6">
        <v>7395125126.7590294</v>
      </c>
      <c r="D1135" s="6">
        <v>1559508420</v>
      </c>
      <c r="E1135" s="6">
        <v>778292032</v>
      </c>
    </row>
    <row r="1136" spans="2:5" x14ac:dyDescent="0.3">
      <c r="B1136" s="4" t="s">
        <v>290</v>
      </c>
      <c r="C1136" s="6">
        <v>7292632652.8493805</v>
      </c>
      <c r="D1136" s="6">
        <v>1513924291</v>
      </c>
      <c r="E1136" s="6">
        <v>730576231</v>
      </c>
    </row>
    <row r="1137" spans="2:5" x14ac:dyDescent="0.3">
      <c r="B1137" s="4" t="s">
        <v>291</v>
      </c>
      <c r="C1137" s="6">
        <v>6744367045.2652206</v>
      </c>
      <c r="D1137" s="6">
        <v>1383542678</v>
      </c>
      <c r="E1137" s="6">
        <v>655979263</v>
      </c>
    </row>
    <row r="1138" spans="2:5" x14ac:dyDescent="0.3">
      <c r="B1138" s="4" t="s">
        <v>292</v>
      </c>
      <c r="C1138" s="6">
        <v>6913457682.4992199</v>
      </c>
      <c r="D1138" s="6">
        <v>1475397119</v>
      </c>
      <c r="E1138" s="6">
        <v>646469448</v>
      </c>
    </row>
    <row r="1139" spans="2:5" x14ac:dyDescent="0.3">
      <c r="B1139" s="4" t="s">
        <v>293</v>
      </c>
      <c r="C1139" s="6">
        <v>5788819218.2575798</v>
      </c>
      <c r="D1139" s="6">
        <v>1327067253</v>
      </c>
      <c r="E1139" s="6">
        <v>624970502</v>
      </c>
    </row>
    <row r="1140" spans="2:5" x14ac:dyDescent="0.3">
      <c r="B1140" s="4" t="s">
        <v>294</v>
      </c>
      <c r="C1140" s="6">
        <v>6247295625.2066603</v>
      </c>
      <c r="D1140" s="6">
        <v>1385446939</v>
      </c>
      <c r="E1140" s="6">
        <v>609579663</v>
      </c>
    </row>
    <row r="1141" spans="2:5" x14ac:dyDescent="0.3">
      <c r="B1141" s="4" t="s">
        <v>295</v>
      </c>
      <c r="C1141" s="6">
        <v>6337389627.2062702</v>
      </c>
      <c r="D1141" s="6">
        <v>1369199400</v>
      </c>
      <c r="E1141" s="6">
        <v>609393224</v>
      </c>
    </row>
    <row r="1142" spans="2:5" x14ac:dyDescent="0.3">
      <c r="B1142" s="4" t="s">
        <v>296</v>
      </c>
      <c r="C1142" s="6">
        <v>6120008625.74963</v>
      </c>
      <c r="D1142" s="6">
        <v>1323011673</v>
      </c>
      <c r="E1142" s="6">
        <v>589070930</v>
      </c>
    </row>
    <row r="1143" spans="2:5" x14ac:dyDescent="0.3">
      <c r="B1143" s="4" t="s">
        <v>297</v>
      </c>
      <c r="C1143" s="6">
        <v>6474023500.62008</v>
      </c>
      <c r="D1143" s="6">
        <v>1442875157</v>
      </c>
      <c r="E1143" s="6">
        <v>601608023</v>
      </c>
    </row>
    <row r="1144" spans="2:5" x14ac:dyDescent="0.3">
      <c r="B1144" s="4" t="s">
        <v>298</v>
      </c>
      <c r="C1144" s="6">
        <v>7081725759.1322308</v>
      </c>
      <c r="D1144" s="6">
        <v>1548282764</v>
      </c>
      <c r="E1144" s="6">
        <v>614696306</v>
      </c>
    </row>
    <row r="1145" spans="2:5" x14ac:dyDescent="0.3">
      <c r="B1145" s="4" t="s">
        <v>299</v>
      </c>
      <c r="C1145" s="6">
        <v>7262590020.9186993</v>
      </c>
      <c r="D1145" s="6">
        <v>1500333900</v>
      </c>
      <c r="E1145" s="6">
        <v>629849206</v>
      </c>
    </row>
    <row r="1146" spans="2:5" x14ac:dyDescent="0.3">
      <c r="B1146" s="4" t="s">
        <v>300</v>
      </c>
      <c r="C1146" s="6">
        <v>8232814778.9090004</v>
      </c>
      <c r="D1146" s="6">
        <v>1565986769</v>
      </c>
      <c r="E1146" s="6">
        <v>644814809</v>
      </c>
    </row>
    <row r="1147" spans="2:5" x14ac:dyDescent="0.3">
      <c r="B1147" s="4" t="s">
        <v>301</v>
      </c>
      <c r="C1147" s="6">
        <v>7172230317.8030605</v>
      </c>
      <c r="D1147" s="6">
        <v>1510254588</v>
      </c>
      <c r="E1147" s="6">
        <v>640706231</v>
      </c>
    </row>
    <row r="1148" spans="2:5" x14ac:dyDescent="0.3">
      <c r="B1148" s="4" t="s">
        <v>302</v>
      </c>
      <c r="C1148" s="6">
        <v>7435202729.5587101</v>
      </c>
      <c r="D1148" s="6">
        <v>1482079845</v>
      </c>
      <c r="E1148" s="6">
        <v>670148628</v>
      </c>
    </row>
    <row r="1149" spans="2:5" x14ac:dyDescent="0.3">
      <c r="B1149" s="4" t="s">
        <v>303</v>
      </c>
      <c r="C1149" s="6">
        <v>7144519609.0399494</v>
      </c>
      <c r="D1149" s="6">
        <v>1384861314</v>
      </c>
      <c r="E1149" s="6">
        <v>669096146</v>
      </c>
    </row>
    <row r="1150" spans="2:5" x14ac:dyDescent="0.3">
      <c r="B1150" s="4" t="s">
        <v>304</v>
      </c>
      <c r="C1150" s="6">
        <v>7042122042.9723797</v>
      </c>
      <c r="D1150" s="6">
        <v>1402956414</v>
      </c>
      <c r="E1150" s="6">
        <v>658848886</v>
      </c>
    </row>
    <row r="1151" spans="2:5" x14ac:dyDescent="0.3">
      <c r="B1151" s="4" t="s">
        <v>305</v>
      </c>
      <c r="C1151" s="6">
        <v>8317662557.5538006</v>
      </c>
      <c r="D1151" s="6">
        <v>1361422302</v>
      </c>
      <c r="E1151" s="6">
        <v>656884425</v>
      </c>
    </row>
    <row r="1152" spans="2:5" x14ac:dyDescent="0.3">
      <c r="B1152" s="4" t="s">
        <v>306</v>
      </c>
      <c r="C1152" s="6">
        <v>8382612405.2318001</v>
      </c>
      <c r="D1152" s="6">
        <v>1298468856</v>
      </c>
      <c r="E1152" s="6">
        <v>686610905</v>
      </c>
    </row>
    <row r="1153" spans="2:5" x14ac:dyDescent="0.3">
      <c r="B1153" s="4" t="s">
        <v>307</v>
      </c>
      <c r="C1153" s="6">
        <v>8477311570.8887997</v>
      </c>
      <c r="D1153" s="6">
        <v>1318210717</v>
      </c>
      <c r="E1153" s="6">
        <v>701714272</v>
      </c>
    </row>
    <row r="1154" spans="2:5" x14ac:dyDescent="0.3">
      <c r="B1154" s="4" t="s">
        <v>308</v>
      </c>
      <c r="C1154" s="6">
        <v>8198189994.4676991</v>
      </c>
      <c r="D1154" s="6">
        <v>1278142091</v>
      </c>
      <c r="E1154" s="6">
        <v>714435431</v>
      </c>
    </row>
    <row r="1155" spans="2:5" x14ac:dyDescent="0.3">
      <c r="B1155" s="4" t="s">
        <v>309</v>
      </c>
      <c r="C1155" s="6">
        <v>7913804342.1736393</v>
      </c>
      <c r="D1155" s="6">
        <v>1170789993</v>
      </c>
      <c r="E1155" s="6">
        <v>699439023</v>
      </c>
    </row>
    <row r="1156" spans="2:5" x14ac:dyDescent="0.3">
      <c r="B1156" s="4" t="s">
        <v>310</v>
      </c>
      <c r="C1156" s="6">
        <v>8067286878.0911999</v>
      </c>
      <c r="D1156" s="6">
        <v>1231111316</v>
      </c>
      <c r="E1156" s="6">
        <v>719899204</v>
      </c>
    </row>
    <row r="1157" spans="2:5" x14ac:dyDescent="0.3">
      <c r="B1157" s="4" t="s">
        <v>311</v>
      </c>
      <c r="C1157" s="6">
        <v>8548672428.7845001</v>
      </c>
      <c r="D1157" s="6">
        <v>1307247283</v>
      </c>
      <c r="E1157" s="6">
        <v>706736061</v>
      </c>
    </row>
    <row r="1158" spans="2:5" x14ac:dyDescent="0.3">
      <c r="B1158" s="4" t="s">
        <v>312</v>
      </c>
      <c r="C1158" s="6">
        <v>8406587939.2476006</v>
      </c>
      <c r="D1158" s="6">
        <v>1397907995</v>
      </c>
      <c r="E1158" s="6">
        <v>751895816</v>
      </c>
    </row>
    <row r="1159" spans="2:5" x14ac:dyDescent="0.3">
      <c r="B1159" s="4" t="s">
        <v>313</v>
      </c>
      <c r="C1159" s="6">
        <v>8599970551.5925999</v>
      </c>
      <c r="D1159" s="6">
        <v>1458600625</v>
      </c>
      <c r="E1159" s="6">
        <v>816448833</v>
      </c>
    </row>
    <row r="1160" spans="2:5" x14ac:dyDescent="0.3">
      <c r="B1160" s="4" t="s">
        <v>314</v>
      </c>
      <c r="C1160" s="6">
        <v>8738849986.7924995</v>
      </c>
      <c r="D1160" s="6">
        <v>1540145961</v>
      </c>
      <c r="E1160" s="6">
        <v>808543207</v>
      </c>
    </row>
    <row r="1161" spans="2:5" x14ac:dyDescent="0.3">
      <c r="B1161" s="4" t="s">
        <v>315</v>
      </c>
      <c r="C1161" s="6">
        <v>8735124868.1921997</v>
      </c>
      <c r="D1161" s="6">
        <v>1515724745</v>
      </c>
      <c r="E1161" s="6">
        <v>868662020</v>
      </c>
    </row>
    <row r="1162" spans="2:5" x14ac:dyDescent="0.3">
      <c r="B1162" s="4" t="s">
        <v>316</v>
      </c>
      <c r="C1162" s="6">
        <v>8824998474.1117992</v>
      </c>
      <c r="D1162" s="6">
        <v>1579718863</v>
      </c>
      <c r="E1162" s="6">
        <v>814965363</v>
      </c>
    </row>
    <row r="1163" spans="2:5" x14ac:dyDescent="0.3">
      <c r="B1163" s="4" t="s">
        <v>317</v>
      </c>
      <c r="C1163" s="6">
        <v>8866913464.1741009</v>
      </c>
      <c r="D1163" s="6">
        <v>1536551874</v>
      </c>
      <c r="E1163" s="6">
        <v>829824763</v>
      </c>
    </row>
    <row r="1164" spans="2:5" x14ac:dyDescent="0.3">
      <c r="B1164" s="4" t="s">
        <v>318</v>
      </c>
      <c r="C1164" s="6">
        <v>8797844962.2630005</v>
      </c>
      <c r="D1164" s="6">
        <v>1490140500</v>
      </c>
      <c r="E1164" s="6">
        <v>818925204</v>
      </c>
    </row>
    <row r="1165" spans="2:5" x14ac:dyDescent="0.3">
      <c r="B1165" s="4" t="s">
        <v>319</v>
      </c>
      <c r="C1165" s="6">
        <v>8729546349.7415009</v>
      </c>
      <c r="D1165" s="6">
        <v>1470909143</v>
      </c>
      <c r="E1165" s="6">
        <v>789256487</v>
      </c>
    </row>
    <row r="1166" spans="2:5" x14ac:dyDescent="0.3">
      <c r="B1166" s="4" t="s">
        <v>320</v>
      </c>
      <c r="C1166" s="6">
        <v>8655174581.6847992</v>
      </c>
      <c r="D1166" s="6">
        <v>1381842657</v>
      </c>
      <c r="E1166" s="6">
        <v>767384480</v>
      </c>
    </row>
    <row r="1167" spans="2:5" x14ac:dyDescent="0.3">
      <c r="B1167" s="4" t="s">
        <v>321</v>
      </c>
      <c r="C1167" s="6">
        <v>8753147452.4078999</v>
      </c>
      <c r="D1167" s="6">
        <v>1332167761</v>
      </c>
      <c r="E1167" s="6">
        <v>768555240</v>
      </c>
    </row>
    <row r="1168" spans="2:5" x14ac:dyDescent="0.3">
      <c r="B1168" s="4" t="s">
        <v>322</v>
      </c>
      <c r="C1168" s="6">
        <v>8816275318.5955009</v>
      </c>
      <c r="D1168" s="6">
        <v>1330563185</v>
      </c>
      <c r="E1168" s="6">
        <v>774968270</v>
      </c>
    </row>
    <row r="1169" spans="1:5" x14ac:dyDescent="0.3">
      <c r="B1169" s="4" t="s">
        <v>323</v>
      </c>
      <c r="C1169" s="6">
        <v>8815843108.3988991</v>
      </c>
      <c r="D1169" s="6">
        <v>1189858765</v>
      </c>
      <c r="E1169" s="6">
        <v>764063446</v>
      </c>
    </row>
    <row r="1170" spans="1:5" x14ac:dyDescent="0.3">
      <c r="B1170" s="4" t="s">
        <v>324</v>
      </c>
      <c r="C1170" s="6">
        <v>8348221735.2063999</v>
      </c>
      <c r="D1170" s="6">
        <v>1208441685</v>
      </c>
      <c r="E1170" s="6">
        <v>770342163</v>
      </c>
    </row>
    <row r="1171" spans="1:5" x14ac:dyDescent="0.3">
      <c r="B1171" s="4" t="s">
        <v>325</v>
      </c>
      <c r="C1171" s="6">
        <v>8247784258.7514</v>
      </c>
      <c r="D1171" s="6">
        <v>1154267076</v>
      </c>
      <c r="E1171" s="6">
        <v>781794304</v>
      </c>
    </row>
    <row r="1172" spans="1:5" x14ac:dyDescent="0.3">
      <c r="B1172" s="4" t="s">
        <v>326</v>
      </c>
      <c r="C1172" s="6">
        <v>8477310544.2667007</v>
      </c>
      <c r="D1172" s="6">
        <v>1184257299</v>
      </c>
      <c r="E1172" s="6">
        <v>826030824</v>
      </c>
    </row>
    <row r="1173" spans="1:5" x14ac:dyDescent="0.3">
      <c r="B1173" s="4" t="s">
        <v>327</v>
      </c>
      <c r="C1173" s="6">
        <v>8650942176.7355003</v>
      </c>
      <c r="D1173" s="6">
        <v>1181711359</v>
      </c>
      <c r="E1173" s="6">
        <v>818467324</v>
      </c>
    </row>
    <row r="1174" spans="1:5" x14ac:dyDescent="0.3">
      <c r="B1174" s="4" t="s">
        <v>328</v>
      </c>
      <c r="C1174" s="6">
        <v>8770071749.9566994</v>
      </c>
      <c r="D1174" s="6">
        <v>1137047574</v>
      </c>
      <c r="E1174" s="6">
        <v>825401893</v>
      </c>
    </row>
    <row r="1175" spans="1:5" x14ac:dyDescent="0.3">
      <c r="B1175" s="4" t="s">
        <v>329</v>
      </c>
      <c r="C1175" s="6">
        <v>8944430739.0104008</v>
      </c>
      <c r="D1175" s="6">
        <v>1132386846</v>
      </c>
      <c r="E1175" s="6">
        <v>828937578</v>
      </c>
    </row>
    <row r="1176" spans="1:5" x14ac:dyDescent="0.3">
      <c r="A1176" t="s">
        <v>38</v>
      </c>
      <c r="C1176" s="6">
        <v>742610974.46962583</v>
      </c>
      <c r="D1176" s="6">
        <v>88428053.03510274</v>
      </c>
      <c r="E1176" s="6">
        <v>107539351.40753424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162B-5D6E-4CD1-A727-277E7627D5B8}">
  <sheetPr>
    <tabColor theme="9" tint="0.59999389629810485"/>
  </sheetPr>
  <dimension ref="A3:J66"/>
  <sheetViews>
    <sheetView topLeftCell="B16" workbookViewId="0">
      <selection activeCell="D38" sqref="D38"/>
    </sheetView>
  </sheetViews>
  <sheetFormatPr defaultRowHeight="14.4" x14ac:dyDescent="0.3"/>
  <cols>
    <col min="1" max="1" width="28" bestFit="1" customWidth="1"/>
    <col min="2" max="2" width="18.6640625" bestFit="1" customWidth="1"/>
    <col min="3" max="3" width="17.33203125" bestFit="1" customWidth="1"/>
    <col min="4" max="4" width="10.77734375" bestFit="1" customWidth="1"/>
    <col min="5" max="5" width="10.5546875" bestFit="1" customWidth="1"/>
    <col min="6" max="6" width="3.5546875" bestFit="1" customWidth="1"/>
    <col min="7" max="7" width="20.77734375" bestFit="1" customWidth="1"/>
    <col min="8" max="8" width="23.6640625" bestFit="1" customWidth="1"/>
    <col min="9" max="9" width="16.21875" bestFit="1" customWidth="1"/>
    <col min="10" max="10" width="16.77734375" bestFit="1" customWidth="1"/>
    <col min="11" max="11" width="12.21875" bestFit="1" customWidth="1"/>
    <col min="12" max="12" width="23.77734375" bestFit="1" customWidth="1"/>
    <col min="13" max="13" width="18.21875" bestFit="1" customWidth="1"/>
    <col min="14" max="14" width="21.77734375" bestFit="1" customWidth="1"/>
    <col min="15" max="15" width="18.109375" bestFit="1" customWidth="1"/>
    <col min="16" max="16" width="11.44140625" bestFit="1" customWidth="1"/>
    <col min="17" max="17" width="20.44140625" bestFit="1" customWidth="1"/>
    <col min="18" max="19" width="14" bestFit="1" customWidth="1"/>
    <col min="20" max="20" width="9.21875" bestFit="1" customWidth="1"/>
    <col min="21" max="21" width="14.5546875" bestFit="1" customWidth="1"/>
    <col min="22" max="22" width="12.44140625" bestFit="1" customWidth="1"/>
    <col min="23" max="23" width="10.5546875" bestFit="1" customWidth="1"/>
    <col min="24" max="24" width="12.44140625" bestFit="1" customWidth="1"/>
    <col min="25" max="25" width="16" bestFit="1" customWidth="1"/>
    <col min="26" max="26" width="12.21875" bestFit="1" customWidth="1"/>
    <col min="27" max="27" width="11.5546875" bestFit="1" customWidth="1"/>
    <col min="28" max="28" width="15.88671875" bestFit="1" customWidth="1"/>
    <col min="29" max="29" width="11.109375" bestFit="1" customWidth="1"/>
    <col min="30" max="30" width="16.33203125" bestFit="1" customWidth="1"/>
    <col min="31" max="31" width="5.6640625" bestFit="1" customWidth="1"/>
    <col min="32" max="32" width="11.88671875" bestFit="1" customWidth="1"/>
    <col min="33" max="33" width="5" bestFit="1" customWidth="1"/>
    <col min="34" max="34" width="11.88671875" bestFit="1" customWidth="1"/>
    <col min="35" max="35" width="6.44140625" bestFit="1" customWidth="1"/>
    <col min="36" max="36" width="13.33203125" bestFit="1" customWidth="1"/>
    <col min="37" max="37" width="7" bestFit="1" customWidth="1"/>
    <col min="38" max="38" width="15.44140625" bestFit="1" customWidth="1"/>
    <col min="39" max="39" width="17.6640625" bestFit="1" customWidth="1"/>
    <col min="40" max="40" width="20.109375" bestFit="1" customWidth="1"/>
    <col min="42" max="42" width="6.6640625" bestFit="1" customWidth="1"/>
    <col min="43" max="43" width="16.21875" bestFit="1" customWidth="1"/>
    <col min="44" max="44" width="10.77734375" bestFit="1" customWidth="1"/>
  </cols>
  <sheetData>
    <row r="3" spans="1:4" x14ac:dyDescent="0.3">
      <c r="A3" s="5" t="s">
        <v>1493</v>
      </c>
      <c r="B3" s="5" t="s">
        <v>1494</v>
      </c>
    </row>
    <row r="4" spans="1:4" x14ac:dyDescent="0.3">
      <c r="A4" s="5" t="s">
        <v>431</v>
      </c>
      <c r="B4" t="s">
        <v>5</v>
      </c>
      <c r="C4" t="s">
        <v>0</v>
      </c>
      <c r="D4" t="s">
        <v>38</v>
      </c>
    </row>
    <row r="5" spans="1:4" x14ac:dyDescent="0.3">
      <c r="A5" s="19" t="s">
        <v>39</v>
      </c>
      <c r="B5" s="6"/>
      <c r="C5" s="6">
        <v>26</v>
      </c>
      <c r="D5" s="6">
        <v>26</v>
      </c>
    </row>
    <row r="6" spans="1:4" x14ac:dyDescent="0.3">
      <c r="A6" s="20" t="s">
        <v>442</v>
      </c>
      <c r="B6" s="6"/>
      <c r="C6" s="6">
        <v>9</v>
      </c>
      <c r="D6" s="6">
        <v>9</v>
      </c>
    </row>
    <row r="7" spans="1:4" x14ac:dyDescent="0.3">
      <c r="A7" s="20" t="s">
        <v>443</v>
      </c>
      <c r="B7" s="6"/>
      <c r="C7" s="6">
        <v>6</v>
      </c>
      <c r="D7" s="6">
        <v>6</v>
      </c>
    </row>
    <row r="8" spans="1:4" x14ac:dyDescent="0.3">
      <c r="A8" s="20" t="s">
        <v>440</v>
      </c>
      <c r="B8" s="6"/>
      <c r="C8" s="6">
        <v>8</v>
      </c>
      <c r="D8" s="6">
        <v>8</v>
      </c>
    </row>
    <row r="9" spans="1:4" x14ac:dyDescent="0.3">
      <c r="A9" s="20" t="s">
        <v>441</v>
      </c>
      <c r="B9" s="6"/>
      <c r="C9" s="6">
        <v>3</v>
      </c>
      <c r="D9" s="6">
        <v>3</v>
      </c>
    </row>
    <row r="10" spans="1:4" x14ac:dyDescent="0.3">
      <c r="A10" s="19" t="s">
        <v>40</v>
      </c>
      <c r="B10" s="6"/>
      <c r="C10" s="6">
        <v>114</v>
      </c>
      <c r="D10" s="6">
        <v>114</v>
      </c>
    </row>
    <row r="11" spans="1:4" x14ac:dyDescent="0.3">
      <c r="A11" s="20" t="s">
        <v>442</v>
      </c>
      <c r="B11" s="6"/>
      <c r="C11" s="6">
        <v>10</v>
      </c>
      <c r="D11" s="6">
        <v>10</v>
      </c>
    </row>
    <row r="12" spans="1:4" x14ac:dyDescent="0.3">
      <c r="A12" s="20" t="s">
        <v>443</v>
      </c>
      <c r="B12" s="6"/>
      <c r="C12" s="6">
        <v>49</v>
      </c>
      <c r="D12" s="6">
        <v>49</v>
      </c>
    </row>
    <row r="13" spans="1:4" x14ac:dyDescent="0.3">
      <c r="A13" s="20" t="s">
        <v>440</v>
      </c>
      <c r="B13" s="6"/>
      <c r="C13" s="6">
        <v>19</v>
      </c>
      <c r="D13" s="6">
        <v>19</v>
      </c>
    </row>
    <row r="14" spans="1:4" x14ac:dyDescent="0.3">
      <c r="A14" s="20" t="s">
        <v>441</v>
      </c>
      <c r="B14" s="6"/>
      <c r="C14" s="6">
        <v>36</v>
      </c>
      <c r="D14" s="6">
        <v>36</v>
      </c>
    </row>
    <row r="15" spans="1:4" x14ac:dyDescent="0.3">
      <c r="A15" s="19" t="s">
        <v>41</v>
      </c>
      <c r="B15" s="6">
        <v>95</v>
      </c>
      <c r="C15" s="6">
        <v>239</v>
      </c>
      <c r="D15" s="6">
        <v>334</v>
      </c>
    </row>
    <row r="16" spans="1:4" x14ac:dyDescent="0.3">
      <c r="A16" s="20" t="s">
        <v>442</v>
      </c>
      <c r="B16" s="6">
        <v>13</v>
      </c>
      <c r="C16" s="6">
        <v>30</v>
      </c>
      <c r="D16" s="6">
        <v>43</v>
      </c>
    </row>
    <row r="17" spans="1:10" x14ac:dyDescent="0.3">
      <c r="A17" s="20" t="s">
        <v>443</v>
      </c>
      <c r="B17" s="6">
        <v>61</v>
      </c>
      <c r="C17" s="6">
        <v>76</v>
      </c>
      <c r="D17" s="6">
        <v>137</v>
      </c>
    </row>
    <row r="18" spans="1:10" x14ac:dyDescent="0.3">
      <c r="A18" s="20" t="s">
        <v>440</v>
      </c>
      <c r="B18" s="6">
        <v>12</v>
      </c>
      <c r="C18" s="6">
        <v>26</v>
      </c>
      <c r="D18" s="6">
        <v>38</v>
      </c>
    </row>
    <row r="19" spans="1:10" x14ac:dyDescent="0.3">
      <c r="A19" s="20" t="s">
        <v>441</v>
      </c>
      <c r="B19" s="6">
        <v>9</v>
      </c>
      <c r="C19" s="6">
        <v>107</v>
      </c>
      <c r="D19" s="6">
        <v>116</v>
      </c>
    </row>
    <row r="20" spans="1:10" x14ac:dyDescent="0.3">
      <c r="A20" s="19" t="s">
        <v>42</v>
      </c>
      <c r="B20" s="6">
        <v>177</v>
      </c>
      <c r="C20" s="6">
        <v>321</v>
      </c>
      <c r="D20" s="6">
        <v>498</v>
      </c>
    </row>
    <row r="21" spans="1:10" x14ac:dyDescent="0.3">
      <c r="A21" s="20" t="s">
        <v>442</v>
      </c>
      <c r="B21" s="6">
        <v>87</v>
      </c>
      <c r="C21" s="6">
        <v>66</v>
      </c>
      <c r="D21" s="6">
        <v>153</v>
      </c>
    </row>
    <row r="22" spans="1:10" x14ac:dyDescent="0.3">
      <c r="A22" s="20" t="s">
        <v>443</v>
      </c>
      <c r="B22" s="6">
        <v>40</v>
      </c>
      <c r="C22" s="6">
        <v>79</v>
      </c>
      <c r="D22" s="6">
        <v>119</v>
      </c>
      <c r="H22" t="s">
        <v>5</v>
      </c>
      <c r="I22" t="s">
        <v>0</v>
      </c>
      <c r="J22" t="s">
        <v>1495</v>
      </c>
    </row>
    <row r="23" spans="1:10" x14ac:dyDescent="0.3">
      <c r="A23" s="20" t="s">
        <v>440</v>
      </c>
      <c r="B23" s="6">
        <v>50</v>
      </c>
      <c r="C23" s="6">
        <v>167</v>
      </c>
      <c r="D23" s="6">
        <v>217</v>
      </c>
      <c r="G23" t="s">
        <v>38</v>
      </c>
      <c r="H23">
        <v>272</v>
      </c>
      <c r="I23">
        <v>700</v>
      </c>
      <c r="J23">
        <v>972</v>
      </c>
    </row>
    <row r="24" spans="1:10" x14ac:dyDescent="0.3">
      <c r="A24" s="20" t="s">
        <v>441</v>
      </c>
      <c r="B24" s="6"/>
      <c r="C24" s="6">
        <v>9</v>
      </c>
      <c r="D24" s="6">
        <v>9</v>
      </c>
    </row>
    <row r="25" spans="1:10" x14ac:dyDescent="0.3">
      <c r="A25" s="19" t="s">
        <v>38</v>
      </c>
      <c r="B25" s="6">
        <v>272</v>
      </c>
      <c r="C25" s="6">
        <v>700</v>
      </c>
      <c r="D25" s="6">
        <v>972</v>
      </c>
    </row>
    <row r="26" spans="1:10" x14ac:dyDescent="0.3">
      <c r="A26" s="19"/>
      <c r="B26" s="6"/>
      <c r="C26" s="6"/>
      <c r="D26" s="6"/>
    </row>
    <row r="27" spans="1:10" x14ac:dyDescent="0.3">
      <c r="A27" s="19"/>
      <c r="B27" s="6"/>
      <c r="C27" s="6"/>
      <c r="D27" s="6"/>
    </row>
    <row r="28" spans="1:10" x14ac:dyDescent="0.3">
      <c r="A28" s="5" t="s">
        <v>1491</v>
      </c>
      <c r="B28" t="s">
        <v>1186</v>
      </c>
    </row>
    <row r="30" spans="1:10" x14ac:dyDescent="0.3">
      <c r="A30" s="5" t="s">
        <v>431</v>
      </c>
      <c r="B30" t="s">
        <v>1493</v>
      </c>
    </row>
    <row r="31" spans="1:10" x14ac:dyDescent="0.3">
      <c r="A31" s="19" t="s">
        <v>1227</v>
      </c>
      <c r="B31" s="6">
        <v>4</v>
      </c>
    </row>
    <row r="32" spans="1:10" x14ac:dyDescent="0.3">
      <c r="A32" s="19" t="s">
        <v>1322</v>
      </c>
      <c r="B32" s="6">
        <v>8</v>
      </c>
    </row>
    <row r="33" spans="1:5" x14ac:dyDescent="0.3">
      <c r="A33" s="19" t="s">
        <v>1303</v>
      </c>
      <c r="B33" s="6">
        <v>10</v>
      </c>
      <c r="D33" t="s">
        <v>1496</v>
      </c>
      <c r="E33">
        <f>(260-86)/272</f>
        <v>0.63970588235294112</v>
      </c>
    </row>
    <row r="34" spans="1:5" x14ac:dyDescent="0.3">
      <c r="A34" s="19" t="s">
        <v>1188</v>
      </c>
      <c r="B34" s="6">
        <v>11</v>
      </c>
      <c r="D34" t="s">
        <v>1497</v>
      </c>
      <c r="E34">
        <f>(473-184)/972</f>
        <v>0.29732510288065844</v>
      </c>
    </row>
    <row r="35" spans="1:5" x14ac:dyDescent="0.3">
      <c r="A35" s="19" t="s">
        <v>922</v>
      </c>
      <c r="B35" s="6">
        <v>18</v>
      </c>
    </row>
    <row r="36" spans="1:5" x14ac:dyDescent="0.3">
      <c r="A36" s="19" t="s">
        <v>1224</v>
      </c>
      <c r="B36" s="6">
        <v>23</v>
      </c>
    </row>
    <row r="37" spans="1:5" x14ac:dyDescent="0.3">
      <c r="A37" s="19" t="s">
        <v>1285</v>
      </c>
      <c r="B37" s="6">
        <v>23</v>
      </c>
    </row>
    <row r="38" spans="1:5" x14ac:dyDescent="0.3">
      <c r="A38" s="19" t="s">
        <v>1294</v>
      </c>
      <c r="B38" s="6">
        <v>38</v>
      </c>
    </row>
    <row r="39" spans="1:5" x14ac:dyDescent="0.3">
      <c r="A39" s="19" t="s">
        <v>1219</v>
      </c>
      <c r="B39" s="6">
        <v>39</v>
      </c>
    </row>
    <row r="40" spans="1:5" x14ac:dyDescent="0.3">
      <c r="A40" s="19" t="s">
        <v>488</v>
      </c>
      <c r="B40" s="6">
        <v>86</v>
      </c>
    </row>
    <row r="41" spans="1:5" x14ac:dyDescent="0.3">
      <c r="A41" s="19" t="s">
        <v>38</v>
      </c>
      <c r="B41" s="6">
        <v>260</v>
      </c>
    </row>
    <row r="52" spans="1:2" x14ac:dyDescent="0.3">
      <c r="A52" s="5" t="s">
        <v>1491</v>
      </c>
      <c r="B52" t="s">
        <v>452</v>
      </c>
    </row>
    <row r="54" spans="1:2" x14ac:dyDescent="0.3">
      <c r="A54" s="5" t="s">
        <v>431</v>
      </c>
      <c r="B54" t="s">
        <v>1493</v>
      </c>
    </row>
    <row r="55" spans="1:2" x14ac:dyDescent="0.3">
      <c r="A55" s="19" t="s">
        <v>538</v>
      </c>
      <c r="B55" s="6">
        <v>17</v>
      </c>
    </row>
    <row r="56" spans="1:2" x14ac:dyDescent="0.3">
      <c r="A56" s="19" t="s">
        <v>878</v>
      </c>
      <c r="B56" s="6">
        <v>17</v>
      </c>
    </row>
    <row r="57" spans="1:2" x14ac:dyDescent="0.3">
      <c r="A57" s="19" t="s">
        <v>625</v>
      </c>
      <c r="B57" s="6">
        <v>18</v>
      </c>
    </row>
    <row r="58" spans="1:2" x14ac:dyDescent="0.3">
      <c r="A58" s="19" t="s">
        <v>503</v>
      </c>
      <c r="B58" s="6">
        <v>20</v>
      </c>
    </row>
    <row r="59" spans="1:2" x14ac:dyDescent="0.3">
      <c r="A59" s="19" t="s">
        <v>686</v>
      </c>
      <c r="B59" s="6">
        <v>22</v>
      </c>
    </row>
    <row r="60" spans="1:2" x14ac:dyDescent="0.3">
      <c r="A60" s="19" t="s">
        <v>949</v>
      </c>
      <c r="B60" s="6">
        <v>24</v>
      </c>
    </row>
    <row r="61" spans="1:2" x14ac:dyDescent="0.3">
      <c r="A61" s="19" t="s">
        <v>629</v>
      </c>
      <c r="B61" s="6">
        <v>24</v>
      </c>
    </row>
    <row r="62" spans="1:2" x14ac:dyDescent="0.3">
      <c r="A62" s="19" t="s">
        <v>644</v>
      </c>
      <c r="B62" s="6">
        <v>34</v>
      </c>
    </row>
    <row r="63" spans="1:2" x14ac:dyDescent="0.3">
      <c r="A63" s="19" t="s">
        <v>485</v>
      </c>
      <c r="B63" s="6">
        <v>40</v>
      </c>
    </row>
    <row r="64" spans="1:2" x14ac:dyDescent="0.3">
      <c r="A64" s="19" t="s">
        <v>536</v>
      </c>
      <c r="B64" s="6">
        <v>73</v>
      </c>
    </row>
    <row r="65" spans="1:2" x14ac:dyDescent="0.3">
      <c r="A65" s="19" t="s">
        <v>488</v>
      </c>
      <c r="B65" s="6">
        <v>184</v>
      </c>
    </row>
    <row r="66" spans="1:2" x14ac:dyDescent="0.3">
      <c r="A66" s="19" t="s">
        <v>38</v>
      </c>
      <c r="B66" s="6">
        <v>473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5BF6-EC53-4C41-803E-61500E6472D5}">
  <sheetPr>
    <tabColor theme="9" tint="0.59999389629810485"/>
  </sheetPr>
  <dimension ref="A2:I88"/>
  <sheetViews>
    <sheetView topLeftCell="A37" workbookViewId="0">
      <selection activeCell="C63" sqref="C63"/>
    </sheetView>
  </sheetViews>
  <sheetFormatPr defaultRowHeight="14.4" x14ac:dyDescent="0.3"/>
  <cols>
    <col min="1" max="1" width="12.5546875" bestFit="1" customWidth="1"/>
    <col min="2" max="2" width="13.6640625" bestFit="1" customWidth="1"/>
    <col min="3" max="3" width="23" bestFit="1" customWidth="1"/>
    <col min="4" max="4" width="10.77734375" bestFit="1" customWidth="1"/>
    <col min="6" max="6" width="12.5546875" bestFit="1" customWidth="1"/>
    <col min="7" max="7" width="15.5546875" bestFit="1" customWidth="1"/>
    <col min="8" max="8" width="7" bestFit="1" customWidth="1"/>
    <col min="9" max="9" width="10.77734375" bestFit="1" customWidth="1"/>
  </cols>
  <sheetData>
    <row r="2" spans="1:9" x14ac:dyDescent="0.3">
      <c r="A2" s="5" t="s">
        <v>1500</v>
      </c>
      <c r="B2" t="s">
        <v>1186</v>
      </c>
      <c r="F2" s="5" t="s">
        <v>1500</v>
      </c>
      <c r="G2" t="s">
        <v>1498</v>
      </c>
    </row>
    <row r="4" spans="1:9" x14ac:dyDescent="0.3">
      <c r="A4" s="5" t="s">
        <v>1506</v>
      </c>
      <c r="B4" s="5" t="s">
        <v>1494</v>
      </c>
      <c r="F4" s="5" t="s">
        <v>1506</v>
      </c>
      <c r="G4" s="5" t="s">
        <v>1494</v>
      </c>
    </row>
    <row r="5" spans="1:9" x14ac:dyDescent="0.3">
      <c r="A5" s="5" t="s">
        <v>431</v>
      </c>
      <c r="B5" t="s">
        <v>1501</v>
      </c>
      <c r="C5" t="s">
        <v>1502</v>
      </c>
      <c r="D5" t="s">
        <v>38</v>
      </c>
      <c r="F5" s="5" t="s">
        <v>431</v>
      </c>
      <c r="G5" t="s">
        <v>1501</v>
      </c>
      <c r="H5" t="s">
        <v>1502</v>
      </c>
      <c r="I5" t="s">
        <v>38</v>
      </c>
    </row>
    <row r="6" spans="1:9" x14ac:dyDescent="0.3">
      <c r="A6" s="19" t="s">
        <v>435</v>
      </c>
      <c r="B6" s="6">
        <v>273</v>
      </c>
      <c r="C6" s="6">
        <v>806</v>
      </c>
      <c r="D6" s="6">
        <v>1079</v>
      </c>
      <c r="F6" s="19" t="s">
        <v>435</v>
      </c>
      <c r="G6" s="6"/>
      <c r="H6" s="6"/>
      <c r="I6" s="6"/>
    </row>
    <row r="7" spans="1:9" x14ac:dyDescent="0.3">
      <c r="A7" s="20" t="s">
        <v>119</v>
      </c>
      <c r="B7" s="6">
        <v>51</v>
      </c>
      <c r="C7" s="6">
        <v>160</v>
      </c>
      <c r="D7" s="6">
        <v>211</v>
      </c>
      <c r="F7" s="20" t="s">
        <v>119</v>
      </c>
      <c r="G7" s="6">
        <v>287</v>
      </c>
      <c r="H7" s="6">
        <v>1480</v>
      </c>
      <c r="I7" s="6">
        <v>1767</v>
      </c>
    </row>
    <row r="8" spans="1:9" x14ac:dyDescent="0.3">
      <c r="A8" s="20" t="s">
        <v>126</v>
      </c>
      <c r="B8" s="6">
        <v>121</v>
      </c>
      <c r="C8" s="6">
        <v>321</v>
      </c>
      <c r="D8" s="6">
        <v>442</v>
      </c>
      <c r="F8" s="20" t="s">
        <v>126</v>
      </c>
      <c r="G8" s="6">
        <v>205</v>
      </c>
      <c r="H8" s="6">
        <v>3246</v>
      </c>
      <c r="I8" s="6">
        <v>3451</v>
      </c>
    </row>
    <row r="9" spans="1:9" x14ac:dyDescent="0.3">
      <c r="A9" s="20" t="s">
        <v>133</v>
      </c>
      <c r="B9" s="6">
        <v>101</v>
      </c>
      <c r="C9" s="6">
        <v>325</v>
      </c>
      <c r="D9" s="6">
        <v>426</v>
      </c>
      <c r="F9" s="20" t="s">
        <v>133</v>
      </c>
      <c r="G9" s="6">
        <v>170</v>
      </c>
      <c r="H9" s="6">
        <v>3050</v>
      </c>
      <c r="I9" s="6">
        <v>3220</v>
      </c>
    </row>
    <row r="10" spans="1:9" x14ac:dyDescent="0.3">
      <c r="A10" s="19" t="s">
        <v>436</v>
      </c>
      <c r="B10" s="6">
        <v>708</v>
      </c>
      <c r="C10" s="6">
        <v>2436</v>
      </c>
      <c r="D10" s="6">
        <v>3144</v>
      </c>
      <c r="F10" s="19" t="s">
        <v>436</v>
      </c>
      <c r="G10" s="6"/>
      <c r="H10" s="6"/>
      <c r="I10" s="6"/>
    </row>
    <row r="11" spans="1:9" x14ac:dyDescent="0.3">
      <c r="A11" s="20" t="s">
        <v>140</v>
      </c>
      <c r="B11" s="6">
        <v>155</v>
      </c>
      <c r="C11" s="6">
        <v>469</v>
      </c>
      <c r="D11" s="6">
        <v>624</v>
      </c>
      <c r="F11" s="20" t="s">
        <v>140</v>
      </c>
      <c r="G11" s="6">
        <v>236</v>
      </c>
      <c r="H11" s="6">
        <v>3689</v>
      </c>
      <c r="I11" s="6">
        <v>3925</v>
      </c>
    </row>
    <row r="12" spans="1:9" x14ac:dyDescent="0.3">
      <c r="A12" s="20" t="s">
        <v>147</v>
      </c>
      <c r="B12" s="6">
        <v>176</v>
      </c>
      <c r="C12" s="6">
        <v>569</v>
      </c>
      <c r="D12" s="6">
        <v>745</v>
      </c>
      <c r="F12" s="20" t="s">
        <v>147</v>
      </c>
      <c r="G12" s="6">
        <v>229</v>
      </c>
      <c r="H12" s="6">
        <v>3066</v>
      </c>
      <c r="I12" s="6">
        <v>3295</v>
      </c>
    </row>
    <row r="13" spans="1:9" x14ac:dyDescent="0.3">
      <c r="A13" s="20" t="s">
        <v>154</v>
      </c>
      <c r="B13" s="6">
        <v>174</v>
      </c>
      <c r="C13" s="6">
        <v>598</v>
      </c>
      <c r="D13" s="6">
        <v>772</v>
      </c>
      <c r="F13" s="20" t="s">
        <v>154</v>
      </c>
      <c r="G13" s="6">
        <v>242</v>
      </c>
      <c r="H13" s="6">
        <v>3111</v>
      </c>
      <c r="I13" s="6">
        <v>3353</v>
      </c>
    </row>
    <row r="14" spans="1:9" x14ac:dyDescent="0.3">
      <c r="A14" s="20" t="s">
        <v>161</v>
      </c>
      <c r="B14" s="6">
        <v>203</v>
      </c>
      <c r="C14" s="6">
        <v>800</v>
      </c>
      <c r="D14" s="6">
        <v>1003</v>
      </c>
      <c r="F14" s="20" t="s">
        <v>161</v>
      </c>
      <c r="G14" s="6">
        <v>280</v>
      </c>
      <c r="H14" s="6">
        <v>2775</v>
      </c>
      <c r="I14" s="6">
        <v>3055</v>
      </c>
    </row>
    <row r="15" spans="1:9" x14ac:dyDescent="0.3">
      <c r="A15" s="19" t="s">
        <v>437</v>
      </c>
      <c r="B15" s="6">
        <v>763</v>
      </c>
      <c r="C15" s="6">
        <v>3534</v>
      </c>
      <c r="D15" s="6">
        <v>4297</v>
      </c>
      <c r="F15" s="19" t="s">
        <v>437</v>
      </c>
      <c r="G15" s="6"/>
      <c r="H15" s="6"/>
      <c r="I15" s="6"/>
    </row>
    <row r="16" spans="1:9" x14ac:dyDescent="0.3">
      <c r="A16" s="20" t="s">
        <v>168</v>
      </c>
      <c r="B16" s="6">
        <v>203</v>
      </c>
      <c r="C16" s="6">
        <v>764</v>
      </c>
      <c r="D16" s="6">
        <v>967</v>
      </c>
      <c r="F16" s="20" t="s">
        <v>168</v>
      </c>
      <c r="G16" s="6">
        <v>262</v>
      </c>
      <c r="H16" s="6">
        <v>2674</v>
      </c>
      <c r="I16" s="6">
        <v>2936</v>
      </c>
    </row>
    <row r="17" spans="1:9" x14ac:dyDescent="0.3">
      <c r="A17" s="20" t="s">
        <v>175</v>
      </c>
      <c r="B17" s="6">
        <v>171</v>
      </c>
      <c r="C17" s="6">
        <v>689</v>
      </c>
      <c r="D17" s="6">
        <v>860</v>
      </c>
      <c r="F17" s="20" t="s">
        <v>175</v>
      </c>
      <c r="G17" s="6">
        <v>207</v>
      </c>
      <c r="H17" s="6">
        <v>2324</v>
      </c>
      <c r="I17" s="6">
        <v>2531</v>
      </c>
    </row>
    <row r="18" spans="1:9" x14ac:dyDescent="0.3">
      <c r="A18" s="20" t="s">
        <v>182</v>
      </c>
      <c r="B18" s="6">
        <v>178</v>
      </c>
      <c r="C18" s="6">
        <v>1121</v>
      </c>
      <c r="D18" s="6">
        <v>1299</v>
      </c>
      <c r="F18" s="20" t="s">
        <v>182</v>
      </c>
      <c r="G18" s="6">
        <v>167</v>
      </c>
      <c r="H18" s="6">
        <v>2216</v>
      </c>
      <c r="I18" s="6">
        <v>2383</v>
      </c>
    </row>
    <row r="19" spans="1:9" x14ac:dyDescent="0.3">
      <c r="A19" s="20" t="s">
        <v>189</v>
      </c>
      <c r="B19" s="6">
        <v>211</v>
      </c>
      <c r="C19" s="6">
        <v>960</v>
      </c>
      <c r="D19" s="6">
        <v>1171</v>
      </c>
      <c r="F19" s="20" t="s">
        <v>189</v>
      </c>
      <c r="G19" s="6">
        <v>171</v>
      </c>
      <c r="H19" s="6">
        <v>1687</v>
      </c>
      <c r="I19" s="6">
        <v>1858</v>
      </c>
    </row>
    <row r="20" spans="1:9" x14ac:dyDescent="0.3">
      <c r="A20" s="19" t="s">
        <v>438</v>
      </c>
      <c r="B20" s="6">
        <v>1710</v>
      </c>
      <c r="C20" s="6">
        <v>7451</v>
      </c>
      <c r="D20" s="6">
        <v>9161</v>
      </c>
      <c r="F20" s="19" t="s">
        <v>438</v>
      </c>
      <c r="G20" s="6"/>
      <c r="H20" s="6"/>
      <c r="I20" s="6"/>
    </row>
    <row r="21" spans="1:9" x14ac:dyDescent="0.3">
      <c r="A21" s="20" t="s">
        <v>196</v>
      </c>
      <c r="B21" s="6">
        <v>199</v>
      </c>
      <c r="C21" s="6">
        <v>1005</v>
      </c>
      <c r="D21" s="6">
        <v>1204</v>
      </c>
      <c r="F21" s="20" t="s">
        <v>196</v>
      </c>
      <c r="G21" s="6">
        <v>181</v>
      </c>
      <c r="H21" s="6">
        <v>1677</v>
      </c>
      <c r="I21" s="6">
        <v>1858</v>
      </c>
    </row>
    <row r="22" spans="1:9" x14ac:dyDescent="0.3">
      <c r="A22" s="20" t="s">
        <v>203</v>
      </c>
      <c r="B22" s="6">
        <v>220</v>
      </c>
      <c r="C22" s="6">
        <v>1179</v>
      </c>
      <c r="D22" s="6">
        <v>1399</v>
      </c>
      <c r="F22" s="20" t="s">
        <v>203</v>
      </c>
      <c r="G22" s="6">
        <v>264</v>
      </c>
      <c r="H22" s="6">
        <v>1901</v>
      </c>
      <c r="I22" s="6">
        <v>2165</v>
      </c>
    </row>
    <row r="23" spans="1:9" x14ac:dyDescent="0.3">
      <c r="A23" s="20" t="s">
        <v>210</v>
      </c>
      <c r="B23" s="6">
        <v>392</v>
      </c>
      <c r="C23" s="6">
        <v>1858</v>
      </c>
      <c r="D23" s="6">
        <v>2250</v>
      </c>
      <c r="F23" s="20" t="s">
        <v>210</v>
      </c>
      <c r="G23" s="6">
        <v>2152</v>
      </c>
      <c r="H23" s="6">
        <v>9726</v>
      </c>
      <c r="I23" s="6">
        <v>11878</v>
      </c>
    </row>
    <row r="24" spans="1:9" x14ac:dyDescent="0.3">
      <c r="A24" s="20" t="s">
        <v>217</v>
      </c>
      <c r="B24" s="6">
        <v>513</v>
      </c>
      <c r="C24" s="6">
        <v>1858</v>
      </c>
      <c r="D24" s="6">
        <v>2371</v>
      </c>
      <c r="F24" s="20" t="s">
        <v>217</v>
      </c>
      <c r="G24" s="6">
        <v>2024</v>
      </c>
      <c r="H24" s="6">
        <v>12250</v>
      </c>
      <c r="I24" s="6">
        <v>14274</v>
      </c>
    </row>
    <row r="25" spans="1:9" x14ac:dyDescent="0.3">
      <c r="A25" s="20" t="s">
        <v>224</v>
      </c>
      <c r="B25" s="6">
        <v>386</v>
      </c>
      <c r="C25" s="6">
        <v>1551</v>
      </c>
      <c r="D25" s="6">
        <v>1937</v>
      </c>
      <c r="F25" s="20" t="s">
        <v>224</v>
      </c>
      <c r="G25" s="6">
        <v>1731</v>
      </c>
      <c r="H25" s="6">
        <v>9061</v>
      </c>
      <c r="I25" s="6">
        <v>10792</v>
      </c>
    </row>
    <row r="26" spans="1:9" x14ac:dyDescent="0.3">
      <c r="A26" s="19" t="s">
        <v>439</v>
      </c>
      <c r="B26" s="6">
        <v>2643</v>
      </c>
      <c r="C26" s="6">
        <v>7531</v>
      </c>
      <c r="D26" s="6">
        <v>10174</v>
      </c>
      <c r="F26" s="19" t="s">
        <v>439</v>
      </c>
      <c r="G26" s="6"/>
      <c r="H26" s="6"/>
      <c r="I26" s="6"/>
    </row>
    <row r="27" spans="1:9" x14ac:dyDescent="0.3">
      <c r="A27" s="20" t="s">
        <v>231</v>
      </c>
      <c r="B27" s="6">
        <v>506</v>
      </c>
      <c r="C27" s="6">
        <v>1910</v>
      </c>
      <c r="D27" s="6">
        <v>2416</v>
      </c>
      <c r="F27" s="20" t="s">
        <v>231</v>
      </c>
      <c r="G27" s="6">
        <v>1307</v>
      </c>
      <c r="H27" s="6">
        <v>6129</v>
      </c>
      <c r="I27" s="6">
        <v>7436</v>
      </c>
    </row>
    <row r="28" spans="1:9" x14ac:dyDescent="0.3">
      <c r="A28" s="20" t="s">
        <v>238</v>
      </c>
      <c r="B28" s="6">
        <v>641</v>
      </c>
      <c r="C28" s="6">
        <v>2006</v>
      </c>
      <c r="D28" s="6">
        <v>2647</v>
      </c>
      <c r="F28" s="20" t="s">
        <v>238</v>
      </c>
      <c r="G28" s="6">
        <v>987</v>
      </c>
      <c r="H28" s="6">
        <v>6022</v>
      </c>
      <c r="I28" s="6">
        <v>7009</v>
      </c>
    </row>
    <row r="29" spans="1:9" x14ac:dyDescent="0.3">
      <c r="A29" s="20" t="s">
        <v>245</v>
      </c>
      <c r="B29" s="6">
        <v>836</v>
      </c>
      <c r="C29" s="6">
        <v>2136</v>
      </c>
      <c r="D29" s="6">
        <v>2972</v>
      </c>
      <c r="F29" s="20" t="s">
        <v>245</v>
      </c>
      <c r="G29" s="6">
        <v>1070</v>
      </c>
      <c r="H29" s="6">
        <v>5784</v>
      </c>
      <c r="I29" s="6">
        <v>6854</v>
      </c>
    </row>
    <row r="30" spans="1:9" x14ac:dyDescent="0.3">
      <c r="A30" s="20" t="s">
        <v>252</v>
      </c>
      <c r="B30" s="6">
        <v>660</v>
      </c>
      <c r="C30" s="6">
        <v>1479</v>
      </c>
      <c r="D30" s="6">
        <v>2139</v>
      </c>
      <c r="F30" s="20" t="s">
        <v>252</v>
      </c>
      <c r="G30" s="6">
        <v>1080</v>
      </c>
      <c r="H30" s="6">
        <v>5297</v>
      </c>
      <c r="I30" s="6">
        <v>6377</v>
      </c>
    </row>
    <row r="31" spans="1:9" x14ac:dyDescent="0.3">
      <c r="A31" s="19" t="s">
        <v>432</v>
      </c>
      <c r="B31" s="6">
        <v>5806</v>
      </c>
      <c r="C31" s="6">
        <v>11817</v>
      </c>
      <c r="D31" s="6">
        <v>17623</v>
      </c>
      <c r="F31" s="19" t="s">
        <v>432</v>
      </c>
      <c r="G31" s="6"/>
      <c r="H31" s="6"/>
      <c r="I31" s="6"/>
    </row>
    <row r="32" spans="1:9" x14ac:dyDescent="0.3">
      <c r="A32" s="20" t="s">
        <v>259</v>
      </c>
      <c r="B32" s="6">
        <v>836</v>
      </c>
      <c r="C32" s="6">
        <v>1580</v>
      </c>
      <c r="D32" s="6">
        <v>2416</v>
      </c>
      <c r="F32" s="20" t="s">
        <v>259</v>
      </c>
      <c r="G32" s="6">
        <v>443</v>
      </c>
      <c r="H32" s="6">
        <v>3746</v>
      </c>
      <c r="I32" s="6">
        <v>4189</v>
      </c>
    </row>
    <row r="33" spans="1:9" x14ac:dyDescent="0.3">
      <c r="A33" s="20" t="s">
        <v>266</v>
      </c>
      <c r="B33" s="6">
        <v>1063</v>
      </c>
      <c r="C33" s="6">
        <v>1779</v>
      </c>
      <c r="D33" s="6">
        <v>2842</v>
      </c>
      <c r="F33" s="20" t="s">
        <v>266</v>
      </c>
      <c r="G33" s="6">
        <v>869</v>
      </c>
      <c r="H33" s="6">
        <v>4278</v>
      </c>
      <c r="I33" s="6">
        <v>5147</v>
      </c>
    </row>
    <row r="34" spans="1:9" x14ac:dyDescent="0.3">
      <c r="A34" s="20" t="s">
        <v>273</v>
      </c>
      <c r="B34" s="6">
        <v>1104</v>
      </c>
      <c r="C34" s="6">
        <v>2330</v>
      </c>
      <c r="D34" s="6">
        <v>3434</v>
      </c>
      <c r="F34" s="20" t="s">
        <v>273</v>
      </c>
      <c r="G34" s="6">
        <v>876</v>
      </c>
      <c r="H34" s="6">
        <v>3665</v>
      </c>
      <c r="I34" s="6">
        <v>4541</v>
      </c>
    </row>
    <row r="35" spans="1:9" x14ac:dyDescent="0.3">
      <c r="A35" s="20" t="s">
        <v>280</v>
      </c>
      <c r="B35" s="6">
        <v>1397</v>
      </c>
      <c r="C35" s="6">
        <v>3141</v>
      </c>
      <c r="D35" s="6">
        <v>4538</v>
      </c>
      <c r="F35" s="20" t="s">
        <v>280</v>
      </c>
      <c r="G35" s="6">
        <v>803</v>
      </c>
      <c r="H35" s="6">
        <v>3419</v>
      </c>
      <c r="I35" s="6">
        <v>4222</v>
      </c>
    </row>
    <row r="36" spans="1:9" x14ac:dyDescent="0.3">
      <c r="A36" s="20" t="s">
        <v>287</v>
      </c>
      <c r="B36" s="6">
        <v>1406</v>
      </c>
      <c r="C36" s="6">
        <v>2987</v>
      </c>
      <c r="D36" s="6">
        <v>4393</v>
      </c>
      <c r="F36" s="20" t="s">
        <v>287</v>
      </c>
      <c r="G36" s="6">
        <v>625</v>
      </c>
      <c r="H36" s="6">
        <v>3888</v>
      </c>
      <c r="I36" s="6">
        <v>4513</v>
      </c>
    </row>
    <row r="37" spans="1:9" x14ac:dyDescent="0.3">
      <c r="A37" s="19" t="s">
        <v>433</v>
      </c>
      <c r="B37" s="6">
        <v>4689</v>
      </c>
      <c r="C37" s="6">
        <v>10012</v>
      </c>
      <c r="D37" s="6">
        <v>14701</v>
      </c>
      <c r="F37" s="19" t="s">
        <v>433</v>
      </c>
      <c r="G37" s="6"/>
      <c r="H37" s="6"/>
      <c r="I37" s="6"/>
    </row>
    <row r="38" spans="1:9" x14ac:dyDescent="0.3">
      <c r="A38" s="20" t="s">
        <v>294</v>
      </c>
      <c r="B38" s="6">
        <v>1589</v>
      </c>
      <c r="C38" s="6">
        <v>3446</v>
      </c>
      <c r="D38" s="6">
        <v>5035</v>
      </c>
      <c r="F38" s="20" t="s">
        <v>294</v>
      </c>
      <c r="G38" s="6">
        <v>652</v>
      </c>
      <c r="H38" s="6">
        <v>3750</v>
      </c>
      <c r="I38" s="6">
        <v>4402</v>
      </c>
    </row>
    <row r="39" spans="1:9" x14ac:dyDescent="0.3">
      <c r="A39" s="20" t="s">
        <v>301</v>
      </c>
      <c r="B39" s="6">
        <v>1269</v>
      </c>
      <c r="C39" s="6">
        <v>2764</v>
      </c>
      <c r="D39" s="6">
        <v>4033</v>
      </c>
      <c r="F39" s="20" t="s">
        <v>301</v>
      </c>
      <c r="G39" s="6">
        <v>629</v>
      </c>
      <c r="H39" s="6">
        <v>3655</v>
      </c>
      <c r="I39" s="6">
        <v>4284</v>
      </c>
    </row>
    <row r="40" spans="1:9" x14ac:dyDescent="0.3">
      <c r="A40" s="20" t="s">
        <v>308</v>
      </c>
      <c r="B40" s="6">
        <v>1035</v>
      </c>
      <c r="C40" s="6">
        <v>2252</v>
      </c>
      <c r="D40" s="6">
        <v>3287</v>
      </c>
      <c r="F40" s="20" t="s">
        <v>308</v>
      </c>
      <c r="G40" s="6">
        <v>578</v>
      </c>
      <c r="H40" s="6">
        <v>3374</v>
      </c>
      <c r="I40" s="6">
        <v>3952</v>
      </c>
    </row>
    <row r="41" spans="1:9" x14ac:dyDescent="0.3">
      <c r="A41" s="20" t="s">
        <v>315</v>
      </c>
      <c r="B41" s="6">
        <v>796</v>
      </c>
      <c r="C41" s="6">
        <v>1550</v>
      </c>
      <c r="D41" s="6">
        <v>2346</v>
      </c>
      <c r="F41" s="20" t="s">
        <v>315</v>
      </c>
      <c r="G41" s="6">
        <v>597</v>
      </c>
      <c r="H41" s="6">
        <v>2753</v>
      </c>
      <c r="I41" s="6">
        <v>3350</v>
      </c>
    </row>
    <row r="42" spans="1:9" x14ac:dyDescent="0.3">
      <c r="A42" s="19" t="s">
        <v>434</v>
      </c>
      <c r="B42" s="6">
        <v>1382</v>
      </c>
      <c r="C42" s="6">
        <v>2303</v>
      </c>
      <c r="D42" s="6">
        <v>3685</v>
      </c>
      <c r="F42" s="19" t="s">
        <v>434</v>
      </c>
      <c r="G42" s="6"/>
      <c r="H42" s="6"/>
      <c r="I42" s="6"/>
    </row>
    <row r="43" spans="1:9" x14ac:dyDescent="0.3">
      <c r="A43" s="20" t="s">
        <v>322</v>
      </c>
      <c r="B43" s="6">
        <v>802</v>
      </c>
      <c r="C43" s="6">
        <v>1489</v>
      </c>
      <c r="D43" s="6">
        <v>2291</v>
      </c>
      <c r="F43" s="20" t="s">
        <v>322</v>
      </c>
      <c r="G43" s="6">
        <v>729</v>
      </c>
      <c r="H43" s="6">
        <v>2355</v>
      </c>
      <c r="I43" s="6">
        <v>3084</v>
      </c>
    </row>
    <row r="44" spans="1:9" x14ac:dyDescent="0.3">
      <c r="A44" s="20" t="s">
        <v>329</v>
      </c>
      <c r="B44" s="6">
        <v>580</v>
      </c>
      <c r="C44" s="6">
        <v>814</v>
      </c>
      <c r="D44" s="6">
        <v>1394</v>
      </c>
      <c r="F44" s="20" t="s">
        <v>329</v>
      </c>
      <c r="G44" s="6">
        <v>396</v>
      </c>
      <c r="H44" s="6">
        <v>1350</v>
      </c>
      <c r="I44" s="6">
        <v>1746</v>
      </c>
    </row>
    <row r="45" spans="1:9" x14ac:dyDescent="0.3">
      <c r="A45" s="19" t="s">
        <v>38</v>
      </c>
      <c r="B45" s="6">
        <v>17974</v>
      </c>
      <c r="C45" s="6">
        <v>45890</v>
      </c>
      <c r="D45" s="6">
        <v>63864</v>
      </c>
      <c r="F45" s="19" t="s">
        <v>38</v>
      </c>
      <c r="G45" s="6">
        <v>20449</v>
      </c>
      <c r="H45" s="6">
        <v>123398</v>
      </c>
      <c r="I45" s="6">
        <v>143847</v>
      </c>
    </row>
    <row r="48" spans="1:9" x14ac:dyDescent="0.3">
      <c r="A48" s="5" t="s">
        <v>431</v>
      </c>
      <c r="B48" t="s">
        <v>1508</v>
      </c>
    </row>
    <row r="49" spans="1:8" x14ac:dyDescent="0.3">
      <c r="A49" s="19" t="s">
        <v>435</v>
      </c>
      <c r="B49" s="6">
        <v>735</v>
      </c>
    </row>
    <row r="50" spans="1:8" x14ac:dyDescent="0.3">
      <c r="A50" s="20" t="s">
        <v>119</v>
      </c>
      <c r="B50" s="6">
        <v>71</v>
      </c>
      <c r="G50" t="s">
        <v>1509</v>
      </c>
      <c r="H50" t="s">
        <v>1499</v>
      </c>
    </row>
    <row r="51" spans="1:8" x14ac:dyDescent="0.3">
      <c r="A51" s="20" t="s">
        <v>126</v>
      </c>
      <c r="B51" s="6">
        <v>424</v>
      </c>
      <c r="F51" t="s">
        <v>1186</v>
      </c>
      <c r="G51">
        <v>814</v>
      </c>
      <c r="H51">
        <v>580</v>
      </c>
    </row>
    <row r="52" spans="1:8" x14ac:dyDescent="0.3">
      <c r="A52" s="20" t="s">
        <v>133</v>
      </c>
      <c r="B52" s="6">
        <v>240</v>
      </c>
      <c r="F52" t="s">
        <v>1498</v>
      </c>
      <c r="G52">
        <v>1350</v>
      </c>
      <c r="H52">
        <v>396</v>
      </c>
    </row>
    <row r="53" spans="1:8" x14ac:dyDescent="0.3">
      <c r="A53" s="19" t="s">
        <v>436</v>
      </c>
      <c r="B53" s="6">
        <v>670</v>
      </c>
      <c r="F53" t="s">
        <v>1510</v>
      </c>
      <c r="G53">
        <f>G51/G52</f>
        <v>0.60296296296296292</v>
      </c>
      <c r="H53">
        <f>H51/H52</f>
        <v>1.4646464646464648</v>
      </c>
    </row>
    <row r="54" spans="1:8" x14ac:dyDescent="0.3">
      <c r="A54" s="20" t="s">
        <v>140</v>
      </c>
      <c r="B54" s="6">
        <v>157</v>
      </c>
    </row>
    <row r="55" spans="1:8" x14ac:dyDescent="0.3">
      <c r="A55" s="20" t="s">
        <v>147</v>
      </c>
      <c r="B55" s="6">
        <v>237</v>
      </c>
      <c r="G55">
        <f>G52/G51-1</f>
        <v>0.65847665847665837</v>
      </c>
    </row>
    <row r="56" spans="1:8" x14ac:dyDescent="0.3">
      <c r="A56" s="20" t="s">
        <v>154</v>
      </c>
      <c r="B56" s="6">
        <v>110</v>
      </c>
    </row>
    <row r="57" spans="1:8" x14ac:dyDescent="0.3">
      <c r="A57" s="20" t="s">
        <v>161</v>
      </c>
      <c r="B57" s="6">
        <v>166</v>
      </c>
    </row>
    <row r="58" spans="1:8" x14ac:dyDescent="0.3">
      <c r="A58" s="19" t="s">
        <v>437</v>
      </c>
      <c r="B58" s="6">
        <v>701</v>
      </c>
    </row>
    <row r="59" spans="1:8" x14ac:dyDescent="0.3">
      <c r="A59" s="20" t="s">
        <v>168</v>
      </c>
      <c r="B59" s="6">
        <v>272</v>
      </c>
    </row>
    <row r="60" spans="1:8" x14ac:dyDescent="0.3">
      <c r="A60" s="20" t="s">
        <v>175</v>
      </c>
      <c r="B60" s="6">
        <v>165</v>
      </c>
    </row>
    <row r="61" spans="1:8" x14ac:dyDescent="0.3">
      <c r="A61" s="20" t="s">
        <v>182</v>
      </c>
      <c r="B61" s="6">
        <v>166</v>
      </c>
    </row>
    <row r="62" spans="1:8" x14ac:dyDescent="0.3">
      <c r="A62" s="20" t="s">
        <v>189</v>
      </c>
      <c r="B62" s="6">
        <v>98</v>
      </c>
    </row>
    <row r="63" spans="1:8" x14ac:dyDescent="0.3">
      <c r="A63" s="19" t="s">
        <v>438</v>
      </c>
      <c r="B63" s="6">
        <v>513</v>
      </c>
    </row>
    <row r="64" spans="1:8" x14ac:dyDescent="0.3">
      <c r="A64" s="20" t="s">
        <v>196</v>
      </c>
      <c r="B64" s="6">
        <v>75</v>
      </c>
    </row>
    <row r="65" spans="1:2" x14ac:dyDescent="0.3">
      <c r="A65" s="20" t="s">
        <v>203</v>
      </c>
      <c r="B65" s="6">
        <v>61</v>
      </c>
    </row>
    <row r="66" spans="1:2" x14ac:dyDescent="0.3">
      <c r="A66" s="20" t="s">
        <v>210</v>
      </c>
      <c r="B66" s="6">
        <v>114</v>
      </c>
    </row>
    <row r="67" spans="1:2" x14ac:dyDescent="0.3">
      <c r="A67" s="20" t="s">
        <v>217</v>
      </c>
      <c r="B67" s="6">
        <v>142</v>
      </c>
    </row>
    <row r="68" spans="1:2" x14ac:dyDescent="0.3">
      <c r="A68" s="20" t="s">
        <v>224</v>
      </c>
      <c r="B68" s="6">
        <v>121</v>
      </c>
    </row>
    <row r="69" spans="1:2" x14ac:dyDescent="0.3">
      <c r="A69" s="19" t="s">
        <v>439</v>
      </c>
      <c r="B69" s="6">
        <v>887</v>
      </c>
    </row>
    <row r="70" spans="1:2" x14ac:dyDescent="0.3">
      <c r="A70" s="20" t="s">
        <v>231</v>
      </c>
      <c r="B70" s="6">
        <v>150</v>
      </c>
    </row>
    <row r="71" spans="1:2" x14ac:dyDescent="0.3">
      <c r="A71" s="20" t="s">
        <v>238</v>
      </c>
      <c r="B71" s="6">
        <v>157</v>
      </c>
    </row>
    <row r="72" spans="1:2" x14ac:dyDescent="0.3">
      <c r="A72" s="20" t="s">
        <v>245</v>
      </c>
      <c r="B72" s="6">
        <v>188</v>
      </c>
    </row>
    <row r="73" spans="1:2" x14ac:dyDescent="0.3">
      <c r="A73" s="20" t="s">
        <v>252</v>
      </c>
      <c r="B73" s="6">
        <v>392</v>
      </c>
    </row>
    <row r="74" spans="1:2" x14ac:dyDescent="0.3">
      <c r="A74" s="19" t="s">
        <v>432</v>
      </c>
      <c r="B74" s="6">
        <v>958</v>
      </c>
    </row>
    <row r="75" spans="1:2" x14ac:dyDescent="0.3">
      <c r="A75" s="20" t="s">
        <v>259</v>
      </c>
      <c r="B75" s="6">
        <v>199</v>
      </c>
    </row>
    <row r="76" spans="1:2" x14ac:dyDescent="0.3">
      <c r="A76" s="20" t="s">
        <v>266</v>
      </c>
      <c r="B76" s="6">
        <v>147</v>
      </c>
    </row>
    <row r="77" spans="1:2" x14ac:dyDescent="0.3">
      <c r="A77" s="20" t="s">
        <v>273</v>
      </c>
      <c r="B77" s="6">
        <v>163</v>
      </c>
    </row>
    <row r="78" spans="1:2" x14ac:dyDescent="0.3">
      <c r="A78" s="20" t="s">
        <v>280</v>
      </c>
      <c r="B78" s="6">
        <v>108</v>
      </c>
    </row>
    <row r="79" spans="1:2" x14ac:dyDescent="0.3">
      <c r="A79" s="20" t="s">
        <v>287</v>
      </c>
      <c r="B79" s="6">
        <v>341</v>
      </c>
    </row>
    <row r="80" spans="1:2" x14ac:dyDescent="0.3">
      <c r="A80" s="19" t="s">
        <v>433</v>
      </c>
      <c r="B80" s="6">
        <v>953</v>
      </c>
    </row>
    <row r="81" spans="1:2" x14ac:dyDescent="0.3">
      <c r="A81" s="20" t="s">
        <v>294</v>
      </c>
      <c r="B81" s="6">
        <v>198</v>
      </c>
    </row>
    <row r="82" spans="1:2" x14ac:dyDescent="0.3">
      <c r="A82" s="20" t="s">
        <v>301</v>
      </c>
      <c r="B82" s="6">
        <v>334</v>
      </c>
    </row>
    <row r="83" spans="1:2" x14ac:dyDescent="0.3">
      <c r="A83" s="20" t="s">
        <v>308</v>
      </c>
      <c r="B83" s="6">
        <v>275</v>
      </c>
    </row>
    <row r="84" spans="1:2" x14ac:dyDescent="0.3">
      <c r="A84" s="20" t="s">
        <v>315</v>
      </c>
      <c r="B84" s="6">
        <v>146</v>
      </c>
    </row>
    <row r="85" spans="1:2" x14ac:dyDescent="0.3">
      <c r="A85" s="19" t="s">
        <v>434</v>
      </c>
      <c r="B85" s="6">
        <v>314</v>
      </c>
    </row>
    <row r="86" spans="1:2" x14ac:dyDescent="0.3">
      <c r="A86" s="20" t="s">
        <v>322</v>
      </c>
      <c r="B86" s="6">
        <v>179</v>
      </c>
    </row>
    <row r="87" spans="1:2" x14ac:dyDescent="0.3">
      <c r="A87" s="20" t="s">
        <v>329</v>
      </c>
      <c r="B87" s="6">
        <v>135</v>
      </c>
    </row>
    <row r="88" spans="1:2" x14ac:dyDescent="0.3">
      <c r="A88" s="19" t="s">
        <v>38</v>
      </c>
      <c r="B88" s="6">
        <v>5731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02DF-20C4-4F22-96D9-E2E23492C602}">
  <dimension ref="A1:P125"/>
  <sheetViews>
    <sheetView topLeftCell="D13" workbookViewId="0">
      <selection activeCell="J14" sqref="J14"/>
    </sheetView>
  </sheetViews>
  <sheetFormatPr defaultRowHeight="14.4" x14ac:dyDescent="0.3"/>
  <cols>
    <col min="1" max="2" width="25" customWidth="1"/>
    <col min="4" max="4" width="10" customWidth="1"/>
    <col min="5" max="5" width="9.5546875" customWidth="1"/>
    <col min="7" max="7" width="12.5546875" bestFit="1" customWidth="1"/>
    <col min="12" max="13" width="19" customWidth="1"/>
    <col min="14" max="14" width="17.88671875" customWidth="1"/>
    <col min="15" max="15" width="18.109375" customWidth="1"/>
  </cols>
  <sheetData>
    <row r="1" spans="1:16" ht="15" thickBot="1" x14ac:dyDescent="0.35">
      <c r="A1" s="33" t="s">
        <v>1492</v>
      </c>
      <c r="B1" s="33" t="s">
        <v>1503</v>
      </c>
      <c r="C1" s="33" t="s">
        <v>410</v>
      </c>
      <c r="D1" s="33" t="s">
        <v>1500</v>
      </c>
      <c r="E1" s="33" t="s">
        <v>1505</v>
      </c>
      <c r="L1" s="25" t="s">
        <v>1492</v>
      </c>
      <c r="M1" s="25" t="s">
        <v>1503</v>
      </c>
      <c r="N1" s="26" t="s">
        <v>1507</v>
      </c>
      <c r="O1" s="26" t="s">
        <v>1504</v>
      </c>
      <c r="P1" s="28"/>
    </row>
    <row r="2" spans="1:16" ht="15" thickBot="1" x14ac:dyDescent="0.35">
      <c r="A2" s="34" t="s">
        <v>425</v>
      </c>
      <c r="B2" s="35">
        <v>43906</v>
      </c>
      <c r="C2" s="36">
        <v>287</v>
      </c>
      <c r="D2" s="37" t="s">
        <v>1498</v>
      </c>
      <c r="E2" s="33" t="s">
        <v>1501</v>
      </c>
      <c r="L2" s="21" t="s">
        <v>425</v>
      </c>
      <c r="M2" s="32">
        <v>43906</v>
      </c>
      <c r="N2" s="27">
        <v>1.9534829752892E+22</v>
      </c>
      <c r="O2" s="7">
        <v>71</v>
      </c>
      <c r="P2" s="8"/>
    </row>
    <row r="3" spans="1:16" ht="15" thickBot="1" x14ac:dyDescent="0.35">
      <c r="A3" s="34" t="s">
        <v>426</v>
      </c>
      <c r="B3" s="35">
        <v>43913</v>
      </c>
      <c r="C3" s="36">
        <v>205</v>
      </c>
      <c r="D3" s="37" t="s">
        <v>1498</v>
      </c>
      <c r="E3" s="33" t="s">
        <v>1501</v>
      </c>
      <c r="L3" s="21" t="s">
        <v>426</v>
      </c>
      <c r="M3" s="32">
        <v>43913</v>
      </c>
      <c r="N3" s="27">
        <v>1.36669062916534E+23</v>
      </c>
      <c r="O3" s="7">
        <v>424</v>
      </c>
      <c r="P3" s="8"/>
    </row>
    <row r="4" spans="1:16" ht="15" thickBot="1" x14ac:dyDescent="0.35">
      <c r="A4" s="34" t="s">
        <v>427</v>
      </c>
      <c r="B4" s="35">
        <v>43920</v>
      </c>
      <c r="C4" s="36">
        <v>170</v>
      </c>
      <c r="D4" s="37" t="s">
        <v>1498</v>
      </c>
      <c r="E4" s="33" t="s">
        <v>1501</v>
      </c>
      <c r="L4" s="21" t="s">
        <v>427</v>
      </c>
      <c r="M4" s="32">
        <v>43920</v>
      </c>
      <c r="N4" s="27">
        <v>9.4648272424537606E+22</v>
      </c>
      <c r="O4" s="7">
        <v>240</v>
      </c>
      <c r="P4" s="8"/>
    </row>
    <row r="5" spans="1:16" ht="15" thickBot="1" x14ac:dyDescent="0.35">
      <c r="A5" s="38">
        <v>43986</v>
      </c>
      <c r="B5" s="38">
        <v>43927</v>
      </c>
      <c r="C5" s="36">
        <v>236</v>
      </c>
      <c r="D5" s="37" t="s">
        <v>1498</v>
      </c>
      <c r="E5" s="33" t="s">
        <v>1501</v>
      </c>
      <c r="L5" s="23">
        <v>43986</v>
      </c>
      <c r="M5" s="23">
        <v>43927</v>
      </c>
      <c r="N5" s="27">
        <v>1.32438294117791E+23</v>
      </c>
      <c r="O5" s="7">
        <v>157</v>
      </c>
      <c r="P5" s="8"/>
    </row>
    <row r="6" spans="1:16" ht="15" thickBot="1" x14ac:dyDescent="0.35">
      <c r="A6" s="34" t="s">
        <v>428</v>
      </c>
      <c r="B6" s="35">
        <v>43934</v>
      </c>
      <c r="C6" s="36">
        <v>229</v>
      </c>
      <c r="D6" s="37" t="s">
        <v>1498</v>
      </c>
      <c r="E6" s="33" t="s">
        <v>1501</v>
      </c>
      <c r="L6" s="21" t="s">
        <v>428</v>
      </c>
      <c r="M6" s="32">
        <v>43934</v>
      </c>
      <c r="N6" s="27">
        <v>6.3378785102105303E+22</v>
      </c>
      <c r="O6" s="7">
        <v>237</v>
      </c>
      <c r="P6" s="8"/>
    </row>
    <row r="7" spans="1:16" ht="15" thickBot="1" x14ac:dyDescent="0.35">
      <c r="A7" s="34" t="s">
        <v>429</v>
      </c>
      <c r="B7" s="35">
        <v>43941</v>
      </c>
      <c r="C7" s="36">
        <v>242</v>
      </c>
      <c r="D7" s="37" t="s">
        <v>1498</v>
      </c>
      <c r="E7" s="33" t="s">
        <v>1501</v>
      </c>
      <c r="L7" s="21" t="s">
        <v>429</v>
      </c>
      <c r="M7" s="32">
        <v>43941</v>
      </c>
      <c r="N7" s="27">
        <v>1.03019274418535E+23</v>
      </c>
      <c r="O7" s="7">
        <v>110</v>
      </c>
      <c r="P7" s="8"/>
    </row>
    <row r="8" spans="1:16" ht="15" thickBot="1" x14ac:dyDescent="0.35">
      <c r="A8" s="34" t="s">
        <v>430</v>
      </c>
      <c r="B8" s="35">
        <v>43948</v>
      </c>
      <c r="C8" s="36">
        <v>280</v>
      </c>
      <c r="D8" s="37" t="s">
        <v>1498</v>
      </c>
      <c r="E8" s="33" t="s">
        <v>1501</v>
      </c>
      <c r="L8" s="21" t="s">
        <v>430</v>
      </c>
      <c r="M8" s="32">
        <v>43948</v>
      </c>
      <c r="N8" s="27">
        <v>1.0349773822253999E+23</v>
      </c>
      <c r="O8" s="7">
        <v>166</v>
      </c>
      <c r="P8" s="8"/>
    </row>
    <row r="9" spans="1:16" ht="15" thickBot="1" x14ac:dyDescent="0.35">
      <c r="A9" s="38">
        <v>43926</v>
      </c>
      <c r="B9" s="38">
        <v>43955</v>
      </c>
      <c r="C9" s="36">
        <v>262</v>
      </c>
      <c r="D9" s="37" t="s">
        <v>1498</v>
      </c>
      <c r="E9" s="33" t="s">
        <v>1501</v>
      </c>
      <c r="L9" s="23">
        <v>43926</v>
      </c>
      <c r="M9" s="23">
        <v>43955</v>
      </c>
      <c r="N9" s="27">
        <v>1.4974776489165801E+23</v>
      </c>
      <c r="O9" s="7">
        <v>272</v>
      </c>
      <c r="P9" s="8"/>
    </row>
    <row r="10" spans="1:16" ht="15" thickBot="1" x14ac:dyDescent="0.35">
      <c r="A10" s="38">
        <v>44140</v>
      </c>
      <c r="B10" s="38">
        <v>43962</v>
      </c>
      <c r="C10" s="36">
        <v>207</v>
      </c>
      <c r="D10" s="37" t="s">
        <v>1498</v>
      </c>
      <c r="E10" s="33" t="s">
        <v>1501</v>
      </c>
      <c r="L10" s="23">
        <v>44140</v>
      </c>
      <c r="M10" s="23">
        <v>43962</v>
      </c>
      <c r="N10" s="27">
        <v>1.4533487769313501E+23</v>
      </c>
      <c r="O10" s="7">
        <v>165</v>
      </c>
      <c r="P10" s="8"/>
    </row>
    <row r="11" spans="1:16" ht="15" thickBot="1" x14ac:dyDescent="0.35">
      <c r="A11" s="34" t="s">
        <v>417</v>
      </c>
      <c r="B11" s="35">
        <v>43969</v>
      </c>
      <c r="C11" s="36">
        <v>167</v>
      </c>
      <c r="D11" s="37" t="s">
        <v>1498</v>
      </c>
      <c r="E11" s="33" t="s">
        <v>1501</v>
      </c>
      <c r="L11" s="21" t="s">
        <v>417</v>
      </c>
      <c r="M11" s="32">
        <v>43969</v>
      </c>
      <c r="N11" s="27">
        <v>1.1123411063395299E+23</v>
      </c>
      <c r="O11" s="7">
        <v>166</v>
      </c>
      <c r="P11" s="8"/>
    </row>
    <row r="12" spans="1:16" ht="15" thickBot="1" x14ac:dyDescent="0.35">
      <c r="A12" s="34" t="s">
        <v>418</v>
      </c>
      <c r="B12" s="35">
        <v>43976</v>
      </c>
      <c r="C12" s="36">
        <v>171</v>
      </c>
      <c r="D12" s="37" t="s">
        <v>1498</v>
      </c>
      <c r="E12" s="33" t="s">
        <v>1501</v>
      </c>
      <c r="L12" s="21" t="s">
        <v>418</v>
      </c>
      <c r="M12" s="32">
        <v>43976</v>
      </c>
      <c r="N12" s="27">
        <v>1.9332424411511401E+24</v>
      </c>
      <c r="O12" s="7">
        <v>98</v>
      </c>
      <c r="P12" s="8"/>
    </row>
    <row r="13" spans="1:16" ht="15" thickBot="1" x14ac:dyDescent="0.35">
      <c r="A13" s="38">
        <v>43836</v>
      </c>
      <c r="B13" s="38">
        <v>43983</v>
      </c>
      <c r="C13" s="36">
        <v>181</v>
      </c>
      <c r="D13" s="37" t="s">
        <v>1498</v>
      </c>
      <c r="E13" s="33" t="s">
        <v>1501</v>
      </c>
      <c r="L13" s="23">
        <v>43836</v>
      </c>
      <c r="M13" s="23">
        <v>43983</v>
      </c>
      <c r="N13" s="27">
        <v>8.1402127843509697E+22</v>
      </c>
      <c r="O13" s="7">
        <v>75</v>
      </c>
      <c r="P13" s="8"/>
    </row>
    <row r="14" spans="1:16" ht="15" thickBot="1" x14ac:dyDescent="0.35">
      <c r="A14" s="38">
        <v>44049</v>
      </c>
      <c r="B14" s="38">
        <v>43990</v>
      </c>
      <c r="C14" s="36">
        <v>264</v>
      </c>
      <c r="D14" s="37" t="s">
        <v>1498</v>
      </c>
      <c r="E14" s="33" t="s">
        <v>1501</v>
      </c>
      <c r="L14" s="23">
        <v>44049</v>
      </c>
      <c r="M14" s="23">
        <v>43990</v>
      </c>
      <c r="N14" s="27">
        <v>4.5618251487836199E+22</v>
      </c>
      <c r="O14" s="7">
        <v>61</v>
      </c>
      <c r="P14" s="8"/>
    </row>
    <row r="15" spans="1:16" ht="15" thickBot="1" x14ac:dyDescent="0.35">
      <c r="A15" s="34" t="s">
        <v>419</v>
      </c>
      <c r="B15" s="35">
        <v>43997</v>
      </c>
      <c r="C15" s="36">
        <v>2152</v>
      </c>
      <c r="D15" s="37" t="s">
        <v>1498</v>
      </c>
      <c r="E15" s="33" t="s">
        <v>1501</v>
      </c>
      <c r="L15" s="21" t="s">
        <v>419</v>
      </c>
      <c r="M15" s="32">
        <v>43997</v>
      </c>
      <c r="N15" s="27">
        <v>1.6868070344339501E+23</v>
      </c>
      <c r="O15" s="7">
        <v>114</v>
      </c>
      <c r="P15" s="8"/>
    </row>
    <row r="16" spans="1:16" ht="15" thickBot="1" x14ac:dyDescent="0.35">
      <c r="A16" s="34" t="s">
        <v>420</v>
      </c>
      <c r="B16" s="35">
        <v>44004</v>
      </c>
      <c r="C16" s="36">
        <v>2024</v>
      </c>
      <c r="D16" s="37" t="s">
        <v>1498</v>
      </c>
      <c r="E16" s="33" t="s">
        <v>1501</v>
      </c>
      <c r="L16" s="21" t="s">
        <v>420</v>
      </c>
      <c r="M16" s="32">
        <v>44004</v>
      </c>
      <c r="N16" s="27">
        <v>1.4431840596267299E+23</v>
      </c>
      <c r="O16" s="7">
        <v>142</v>
      </c>
      <c r="P16" s="8"/>
    </row>
    <row r="17" spans="1:16" ht="15" thickBot="1" x14ac:dyDescent="0.35">
      <c r="A17" s="34" t="s">
        <v>421</v>
      </c>
      <c r="B17" s="35">
        <v>44011</v>
      </c>
      <c r="C17" s="36">
        <v>1731</v>
      </c>
      <c r="D17" s="37" t="s">
        <v>1498</v>
      </c>
      <c r="E17" s="33" t="s">
        <v>1501</v>
      </c>
      <c r="L17" s="21" t="s">
        <v>421</v>
      </c>
      <c r="M17" s="32">
        <v>44011</v>
      </c>
      <c r="N17" s="27">
        <v>1.56966147854997E+25</v>
      </c>
      <c r="O17" s="7">
        <v>121</v>
      </c>
      <c r="P17" s="8"/>
    </row>
    <row r="18" spans="1:16" ht="15" thickBot="1" x14ac:dyDescent="0.35">
      <c r="A18" s="38">
        <v>43989</v>
      </c>
      <c r="B18" s="38">
        <v>44018</v>
      </c>
      <c r="C18" s="36">
        <v>1307</v>
      </c>
      <c r="D18" s="37" t="s">
        <v>1498</v>
      </c>
      <c r="E18" s="33" t="s">
        <v>1501</v>
      </c>
      <c r="L18" s="23">
        <v>43989</v>
      </c>
      <c r="M18" s="23">
        <v>44018</v>
      </c>
      <c r="N18" s="27">
        <v>9.44616961905626E+24</v>
      </c>
      <c r="O18" s="7">
        <v>150</v>
      </c>
      <c r="P18" s="8"/>
    </row>
    <row r="19" spans="1:16" ht="15" thickBot="1" x14ac:dyDescent="0.35">
      <c r="A19" s="34" t="s">
        <v>422</v>
      </c>
      <c r="B19" s="35">
        <v>44025</v>
      </c>
      <c r="C19" s="36">
        <v>987</v>
      </c>
      <c r="D19" s="37" t="s">
        <v>1498</v>
      </c>
      <c r="E19" s="33" t="s">
        <v>1501</v>
      </c>
      <c r="L19" s="21" t="s">
        <v>422</v>
      </c>
      <c r="M19" s="32">
        <v>44025</v>
      </c>
      <c r="N19" s="27">
        <v>6.79631531135123E+24</v>
      </c>
      <c r="O19" s="7">
        <v>157</v>
      </c>
      <c r="P19" s="8"/>
    </row>
    <row r="20" spans="1:16" ht="15" thickBot="1" x14ac:dyDescent="0.35">
      <c r="A20" s="34" t="s">
        <v>423</v>
      </c>
      <c r="B20" s="35">
        <v>44032</v>
      </c>
      <c r="C20" s="36">
        <v>1070</v>
      </c>
      <c r="D20" s="37" t="s">
        <v>1498</v>
      </c>
      <c r="E20" s="33" t="s">
        <v>1501</v>
      </c>
      <c r="L20" s="21" t="s">
        <v>423</v>
      </c>
      <c r="M20" s="32">
        <v>44032</v>
      </c>
      <c r="N20" s="27">
        <v>7.6780595451783898E+25</v>
      </c>
      <c r="O20" s="7">
        <v>188</v>
      </c>
      <c r="P20" s="8"/>
    </row>
    <row r="21" spans="1:16" ht="15" thickBot="1" x14ac:dyDescent="0.35">
      <c r="A21" s="34" t="s">
        <v>424</v>
      </c>
      <c r="B21" s="35">
        <v>44039</v>
      </c>
      <c r="C21" s="36">
        <v>1080</v>
      </c>
      <c r="D21" s="37" t="s">
        <v>1498</v>
      </c>
      <c r="E21" s="33" t="s">
        <v>1501</v>
      </c>
      <c r="L21" s="21" t="s">
        <v>424</v>
      </c>
      <c r="M21" s="32">
        <v>44039</v>
      </c>
      <c r="N21" s="27">
        <v>2.6173567684960201E+25</v>
      </c>
      <c r="O21" s="7">
        <v>392</v>
      </c>
      <c r="P21" s="8"/>
    </row>
    <row r="22" spans="1:16" ht="15" thickBot="1" x14ac:dyDescent="0.35">
      <c r="A22" s="38">
        <v>43898</v>
      </c>
      <c r="B22" s="38">
        <v>44046</v>
      </c>
      <c r="C22" s="36">
        <v>443</v>
      </c>
      <c r="D22" s="37" t="s">
        <v>1498</v>
      </c>
      <c r="E22" s="33" t="s">
        <v>1501</v>
      </c>
      <c r="L22" s="23">
        <v>43898</v>
      </c>
      <c r="M22" s="23">
        <v>44046</v>
      </c>
      <c r="N22" s="27">
        <v>1.19046874847061E+25</v>
      </c>
      <c r="O22" s="7">
        <v>199</v>
      </c>
      <c r="P22" s="8"/>
    </row>
    <row r="23" spans="1:16" ht="15" thickBot="1" x14ac:dyDescent="0.35">
      <c r="A23" s="38">
        <v>44112</v>
      </c>
      <c r="B23" s="38">
        <v>44053</v>
      </c>
      <c r="C23" s="36">
        <v>869</v>
      </c>
      <c r="D23" s="37" t="s">
        <v>1498</v>
      </c>
      <c r="E23" s="33" t="s">
        <v>1501</v>
      </c>
      <c r="L23" s="23">
        <v>44112</v>
      </c>
      <c r="M23" s="23">
        <v>44053</v>
      </c>
      <c r="N23" s="27">
        <v>4.7919800728035603E+25</v>
      </c>
      <c r="O23" s="7">
        <v>147</v>
      </c>
      <c r="P23" s="8"/>
    </row>
    <row r="24" spans="1:16" ht="15" thickBot="1" x14ac:dyDescent="0.35">
      <c r="A24" s="34" t="s">
        <v>411</v>
      </c>
      <c r="B24" s="35">
        <v>44060</v>
      </c>
      <c r="C24" s="36">
        <v>876</v>
      </c>
      <c r="D24" s="37" t="s">
        <v>1498</v>
      </c>
      <c r="E24" s="33" t="s">
        <v>1501</v>
      </c>
      <c r="L24" s="21" t="s">
        <v>411</v>
      </c>
      <c r="M24" s="32">
        <v>44060</v>
      </c>
      <c r="N24" s="27">
        <v>1.0336576685478199E+25</v>
      </c>
      <c r="O24" s="7">
        <v>163</v>
      </c>
      <c r="P24" s="8"/>
    </row>
    <row r="25" spans="1:16" ht="15" thickBot="1" x14ac:dyDescent="0.35">
      <c r="A25" s="34" t="s">
        <v>412</v>
      </c>
      <c r="B25" s="35">
        <v>44067</v>
      </c>
      <c r="C25" s="36">
        <v>803</v>
      </c>
      <c r="D25" s="37" t="s">
        <v>1498</v>
      </c>
      <c r="E25" s="33" t="s">
        <v>1501</v>
      </c>
      <c r="L25" s="21" t="s">
        <v>412</v>
      </c>
      <c r="M25" s="32">
        <v>44067</v>
      </c>
      <c r="N25" s="27">
        <v>6.8635457504606096E+25</v>
      </c>
      <c r="O25" s="7">
        <v>108</v>
      </c>
      <c r="P25" s="8"/>
    </row>
    <row r="26" spans="1:16" ht="15" thickBot="1" x14ac:dyDescent="0.35">
      <c r="A26" s="34" t="s">
        <v>413</v>
      </c>
      <c r="B26" s="35">
        <v>44074</v>
      </c>
      <c r="C26" s="36">
        <v>625</v>
      </c>
      <c r="D26" s="37" t="s">
        <v>1498</v>
      </c>
      <c r="E26" s="33" t="s">
        <v>1501</v>
      </c>
      <c r="L26" s="42" t="s">
        <v>413</v>
      </c>
      <c r="M26" s="43">
        <v>44074</v>
      </c>
      <c r="N26" s="29">
        <v>1.13810577334123E+26</v>
      </c>
      <c r="O26" s="9">
        <v>341</v>
      </c>
      <c r="P26" s="10"/>
    </row>
    <row r="27" spans="1:16" ht="15" thickBot="1" x14ac:dyDescent="0.35">
      <c r="A27" s="38">
        <v>44021</v>
      </c>
      <c r="B27" s="38">
        <v>44081</v>
      </c>
      <c r="C27" s="36">
        <v>652</v>
      </c>
      <c r="D27" s="37" t="s">
        <v>1498</v>
      </c>
      <c r="E27" s="33" t="s">
        <v>1501</v>
      </c>
      <c r="L27" s="24">
        <v>44021</v>
      </c>
      <c r="M27" s="24">
        <v>44081</v>
      </c>
      <c r="N27" s="30">
        <v>2.2523776630403299E+24</v>
      </c>
      <c r="O27" s="11">
        <v>198</v>
      </c>
      <c r="P27" s="13"/>
    </row>
    <row r="28" spans="1:16" ht="15" thickBot="1" x14ac:dyDescent="0.35">
      <c r="A28" s="34" t="s">
        <v>414</v>
      </c>
      <c r="B28" s="35">
        <v>44088</v>
      </c>
      <c r="C28" s="36">
        <v>629</v>
      </c>
      <c r="D28" s="37" t="s">
        <v>1498</v>
      </c>
      <c r="E28" s="33" t="s">
        <v>1501</v>
      </c>
      <c r="L28" s="22" t="s">
        <v>414</v>
      </c>
      <c r="M28" s="31">
        <v>44088</v>
      </c>
      <c r="N28" s="30">
        <v>5.4076766287638302E+25</v>
      </c>
      <c r="O28" s="11">
        <v>334</v>
      </c>
      <c r="P28" s="13"/>
    </row>
    <row r="29" spans="1:16" ht="15" thickBot="1" x14ac:dyDescent="0.35">
      <c r="A29" s="34" t="s">
        <v>415</v>
      </c>
      <c r="B29" s="35">
        <v>44095</v>
      </c>
      <c r="C29" s="36">
        <v>578</v>
      </c>
      <c r="D29" s="37" t="s">
        <v>1498</v>
      </c>
      <c r="E29" s="33" t="s">
        <v>1501</v>
      </c>
      <c r="L29" s="22" t="s">
        <v>415</v>
      </c>
      <c r="M29" s="31">
        <v>44095</v>
      </c>
      <c r="N29" s="30">
        <v>2.48152570743339E+24</v>
      </c>
      <c r="O29" s="11">
        <v>275</v>
      </c>
      <c r="P29" s="13"/>
    </row>
    <row r="30" spans="1:16" ht="15" thickBot="1" x14ac:dyDescent="0.35">
      <c r="A30" s="34" t="s">
        <v>416</v>
      </c>
      <c r="B30" s="35">
        <v>44102</v>
      </c>
      <c r="C30" s="36">
        <v>597</v>
      </c>
      <c r="D30" s="37" t="s">
        <v>1498</v>
      </c>
      <c r="E30" s="33" t="s">
        <v>1501</v>
      </c>
      <c r="L30" s="22" t="s">
        <v>416</v>
      </c>
      <c r="M30" s="31">
        <v>44102</v>
      </c>
      <c r="N30" s="30">
        <v>3.92437587160472E+25</v>
      </c>
      <c r="O30" s="11">
        <v>146</v>
      </c>
      <c r="P30" s="13"/>
    </row>
    <row r="31" spans="1:16" ht="15" thickBot="1" x14ac:dyDescent="0.35">
      <c r="A31" s="38">
        <v>43961</v>
      </c>
      <c r="B31" s="38">
        <v>44109</v>
      </c>
      <c r="C31" s="36">
        <v>729</v>
      </c>
      <c r="D31" s="37" t="s">
        <v>1498</v>
      </c>
      <c r="E31" s="33" t="s">
        <v>1501</v>
      </c>
      <c r="L31" s="24">
        <v>43961</v>
      </c>
      <c r="M31" s="24">
        <v>44109</v>
      </c>
      <c r="N31" s="30">
        <v>4.9559281291413803E+24</v>
      </c>
      <c r="O31" s="11">
        <v>179</v>
      </c>
      <c r="P31" s="13"/>
    </row>
    <row r="32" spans="1:16" ht="15" thickBot="1" x14ac:dyDescent="0.35">
      <c r="A32" s="38">
        <v>44175</v>
      </c>
      <c r="B32" s="38">
        <v>44116</v>
      </c>
      <c r="C32" s="36">
        <v>396</v>
      </c>
      <c r="D32" s="37" t="s">
        <v>1498</v>
      </c>
      <c r="E32" s="33" t="s">
        <v>1501</v>
      </c>
      <c r="L32" s="24">
        <v>44175</v>
      </c>
      <c r="M32" s="24">
        <v>44116</v>
      </c>
      <c r="N32" s="30">
        <v>1.07491904665263E+25</v>
      </c>
      <c r="O32" s="11">
        <v>135</v>
      </c>
      <c r="P32" s="17"/>
    </row>
    <row r="33" spans="1:9" ht="15" thickBot="1" x14ac:dyDescent="0.35">
      <c r="A33" s="34" t="s">
        <v>425</v>
      </c>
      <c r="B33" s="35">
        <v>43906</v>
      </c>
      <c r="C33" s="36">
        <v>51</v>
      </c>
      <c r="D33" s="37" t="s">
        <v>1186</v>
      </c>
      <c r="E33" s="33" t="s">
        <v>1501</v>
      </c>
      <c r="G33" s="12"/>
      <c r="H33" s="11"/>
      <c r="I33" s="13"/>
    </row>
    <row r="34" spans="1:9" ht="15" thickBot="1" x14ac:dyDescent="0.35">
      <c r="A34" s="34" t="s">
        <v>426</v>
      </c>
      <c r="B34" s="35">
        <v>43913</v>
      </c>
      <c r="C34" s="36">
        <v>121</v>
      </c>
      <c r="D34" s="37" t="s">
        <v>1186</v>
      </c>
      <c r="E34" s="33" t="s">
        <v>1501</v>
      </c>
      <c r="G34" s="12"/>
      <c r="H34" s="11"/>
      <c r="I34" s="13"/>
    </row>
    <row r="35" spans="1:9" ht="15" thickBot="1" x14ac:dyDescent="0.35">
      <c r="A35" s="34" t="s">
        <v>427</v>
      </c>
      <c r="B35" s="35">
        <v>43920</v>
      </c>
      <c r="C35" s="36">
        <v>101</v>
      </c>
      <c r="D35" s="37" t="s">
        <v>1186</v>
      </c>
      <c r="E35" s="33" t="s">
        <v>1501</v>
      </c>
      <c r="G35" s="12"/>
      <c r="H35" s="11"/>
      <c r="I35" s="13"/>
    </row>
    <row r="36" spans="1:9" ht="15" thickBot="1" x14ac:dyDescent="0.35">
      <c r="A36" s="38">
        <v>43986</v>
      </c>
      <c r="B36" s="38">
        <v>43927</v>
      </c>
      <c r="C36" s="36">
        <v>155</v>
      </c>
      <c r="D36" s="37" t="s">
        <v>1186</v>
      </c>
      <c r="E36" s="33" t="s">
        <v>1501</v>
      </c>
      <c r="G36" s="14"/>
      <c r="H36" s="11"/>
      <c r="I36" s="13"/>
    </row>
    <row r="37" spans="1:9" ht="15" thickBot="1" x14ac:dyDescent="0.35">
      <c r="A37" s="34" t="s">
        <v>428</v>
      </c>
      <c r="B37" s="35">
        <v>43934</v>
      </c>
      <c r="C37" s="36">
        <v>176</v>
      </c>
      <c r="D37" s="37" t="s">
        <v>1186</v>
      </c>
      <c r="E37" s="33" t="s">
        <v>1501</v>
      </c>
      <c r="G37" s="12"/>
      <c r="H37" s="11"/>
      <c r="I37" s="13"/>
    </row>
    <row r="38" spans="1:9" ht="15" thickBot="1" x14ac:dyDescent="0.35">
      <c r="A38" s="34" t="s">
        <v>429</v>
      </c>
      <c r="B38" s="35">
        <v>43941</v>
      </c>
      <c r="C38" s="36">
        <v>174</v>
      </c>
      <c r="D38" s="37" t="s">
        <v>1186</v>
      </c>
      <c r="E38" s="33" t="s">
        <v>1501</v>
      </c>
      <c r="G38" s="12"/>
      <c r="H38" s="11"/>
      <c r="I38" s="13"/>
    </row>
    <row r="39" spans="1:9" ht="15" thickBot="1" x14ac:dyDescent="0.35">
      <c r="A39" s="34" t="s">
        <v>430</v>
      </c>
      <c r="B39" s="35">
        <v>43948</v>
      </c>
      <c r="C39" s="36">
        <v>203</v>
      </c>
      <c r="D39" s="37" t="s">
        <v>1186</v>
      </c>
      <c r="E39" s="33" t="s">
        <v>1501</v>
      </c>
      <c r="G39" s="12"/>
      <c r="H39" s="11"/>
      <c r="I39" s="13"/>
    </row>
    <row r="40" spans="1:9" ht="15" thickBot="1" x14ac:dyDescent="0.35">
      <c r="A40" s="38">
        <v>43926</v>
      </c>
      <c r="B40" s="38">
        <v>43955</v>
      </c>
      <c r="C40" s="36">
        <v>203</v>
      </c>
      <c r="D40" s="37" t="s">
        <v>1186</v>
      </c>
      <c r="E40" s="33" t="s">
        <v>1501</v>
      </c>
      <c r="G40" s="14"/>
      <c r="H40" s="11"/>
      <c r="I40" s="13"/>
    </row>
    <row r="41" spans="1:9" ht="15" thickBot="1" x14ac:dyDescent="0.35">
      <c r="A41" s="38">
        <v>44140</v>
      </c>
      <c r="B41" s="38">
        <v>43962</v>
      </c>
      <c r="C41" s="36">
        <v>171</v>
      </c>
      <c r="D41" s="37" t="s">
        <v>1186</v>
      </c>
      <c r="E41" s="33" t="s">
        <v>1501</v>
      </c>
      <c r="G41" s="14"/>
      <c r="H41" s="11"/>
      <c r="I41" s="13"/>
    </row>
    <row r="42" spans="1:9" ht="15" thickBot="1" x14ac:dyDescent="0.35">
      <c r="A42" s="34" t="s">
        <v>417</v>
      </c>
      <c r="B42" s="35">
        <v>43969</v>
      </c>
      <c r="C42" s="36">
        <v>178</v>
      </c>
      <c r="D42" s="37" t="s">
        <v>1186</v>
      </c>
      <c r="E42" s="33" t="s">
        <v>1501</v>
      </c>
      <c r="G42" s="12"/>
      <c r="H42" s="11"/>
      <c r="I42" s="13"/>
    </row>
    <row r="43" spans="1:9" ht="15" thickBot="1" x14ac:dyDescent="0.35">
      <c r="A43" s="34" t="s">
        <v>418</v>
      </c>
      <c r="B43" s="35">
        <v>43976</v>
      </c>
      <c r="C43" s="36">
        <v>211</v>
      </c>
      <c r="D43" s="37" t="s">
        <v>1186</v>
      </c>
      <c r="E43" s="33" t="s">
        <v>1501</v>
      </c>
      <c r="G43" s="12"/>
      <c r="H43" s="11"/>
      <c r="I43" s="13"/>
    </row>
    <row r="44" spans="1:9" ht="15" thickBot="1" x14ac:dyDescent="0.35">
      <c r="A44" s="38">
        <v>43836</v>
      </c>
      <c r="B44" s="38">
        <v>43983</v>
      </c>
      <c r="C44" s="36">
        <v>199</v>
      </c>
      <c r="D44" s="37" t="s">
        <v>1186</v>
      </c>
      <c r="E44" s="33" t="s">
        <v>1501</v>
      </c>
      <c r="G44" s="14"/>
      <c r="H44" s="11"/>
      <c r="I44" s="13"/>
    </row>
    <row r="45" spans="1:9" ht="15" thickBot="1" x14ac:dyDescent="0.35">
      <c r="A45" s="38">
        <v>44049</v>
      </c>
      <c r="B45" s="38">
        <v>43990</v>
      </c>
      <c r="C45" s="36">
        <v>220</v>
      </c>
      <c r="D45" s="37" t="s">
        <v>1186</v>
      </c>
      <c r="E45" s="33" t="s">
        <v>1501</v>
      </c>
      <c r="G45" s="14"/>
      <c r="H45" s="11"/>
      <c r="I45" s="13"/>
    </row>
    <row r="46" spans="1:9" ht="15" thickBot="1" x14ac:dyDescent="0.35">
      <c r="A46" s="34" t="s">
        <v>419</v>
      </c>
      <c r="B46" s="35">
        <v>43997</v>
      </c>
      <c r="C46" s="36">
        <v>392</v>
      </c>
      <c r="D46" s="37" t="s">
        <v>1186</v>
      </c>
      <c r="E46" s="33" t="s">
        <v>1501</v>
      </c>
      <c r="G46" s="12"/>
      <c r="H46" s="11"/>
      <c r="I46" s="13"/>
    </row>
    <row r="47" spans="1:9" ht="15" thickBot="1" x14ac:dyDescent="0.35">
      <c r="A47" s="34" t="s">
        <v>420</v>
      </c>
      <c r="B47" s="35">
        <v>44004</v>
      </c>
      <c r="C47" s="36">
        <v>513</v>
      </c>
      <c r="D47" s="37" t="s">
        <v>1186</v>
      </c>
      <c r="E47" s="33" t="s">
        <v>1501</v>
      </c>
      <c r="G47" s="12"/>
      <c r="H47" s="11"/>
      <c r="I47" s="13"/>
    </row>
    <row r="48" spans="1:9" ht="15" thickBot="1" x14ac:dyDescent="0.35">
      <c r="A48" s="34" t="s">
        <v>421</v>
      </c>
      <c r="B48" s="35">
        <v>44011</v>
      </c>
      <c r="C48" s="36">
        <v>386</v>
      </c>
      <c r="D48" s="37" t="s">
        <v>1186</v>
      </c>
      <c r="E48" s="33" t="s">
        <v>1501</v>
      </c>
      <c r="G48" s="12"/>
      <c r="H48" s="11"/>
      <c r="I48" s="13"/>
    </row>
    <row r="49" spans="1:13" ht="15" thickBot="1" x14ac:dyDescent="0.35">
      <c r="A49" s="38">
        <v>43989</v>
      </c>
      <c r="B49" s="38">
        <v>44018</v>
      </c>
      <c r="C49" s="36">
        <v>506</v>
      </c>
      <c r="D49" s="37" t="s">
        <v>1186</v>
      </c>
      <c r="E49" s="33" t="s">
        <v>1501</v>
      </c>
      <c r="G49" s="14"/>
      <c r="H49" s="11"/>
      <c r="I49" s="13"/>
    </row>
    <row r="50" spans="1:13" ht="15" thickBot="1" x14ac:dyDescent="0.35">
      <c r="A50" s="34" t="s">
        <v>422</v>
      </c>
      <c r="B50" s="35">
        <v>44025</v>
      </c>
      <c r="C50" s="36">
        <v>641</v>
      </c>
      <c r="D50" s="37" t="s">
        <v>1186</v>
      </c>
      <c r="E50" s="33" t="s">
        <v>1501</v>
      </c>
      <c r="G50" s="12"/>
      <c r="H50" s="11"/>
      <c r="I50" s="13"/>
    </row>
    <row r="51" spans="1:13" ht="15" thickBot="1" x14ac:dyDescent="0.35">
      <c r="A51" s="34" t="s">
        <v>423</v>
      </c>
      <c r="B51" s="35">
        <v>44032</v>
      </c>
      <c r="C51" s="36">
        <v>836</v>
      </c>
      <c r="D51" s="37" t="s">
        <v>1186</v>
      </c>
      <c r="E51" s="33" t="s">
        <v>1501</v>
      </c>
      <c r="G51" s="12"/>
      <c r="H51" s="11"/>
      <c r="I51" s="13"/>
    </row>
    <row r="52" spans="1:13" ht="15" thickBot="1" x14ac:dyDescent="0.35">
      <c r="A52" s="34" t="s">
        <v>424</v>
      </c>
      <c r="B52" s="35">
        <v>44039</v>
      </c>
      <c r="C52" s="36">
        <v>660</v>
      </c>
      <c r="D52" s="37" t="s">
        <v>1186</v>
      </c>
      <c r="E52" s="33" t="s">
        <v>1501</v>
      </c>
      <c r="G52" s="12"/>
      <c r="H52" s="11"/>
      <c r="I52" s="13"/>
    </row>
    <row r="53" spans="1:13" ht="15" thickBot="1" x14ac:dyDescent="0.35">
      <c r="A53" s="38">
        <v>43898</v>
      </c>
      <c r="B53" s="38">
        <v>44046</v>
      </c>
      <c r="C53" s="36">
        <v>836</v>
      </c>
      <c r="D53" s="37" t="s">
        <v>1186</v>
      </c>
      <c r="E53" s="33" t="s">
        <v>1501</v>
      </c>
      <c r="G53" s="14"/>
      <c r="H53" s="11"/>
      <c r="I53" s="13"/>
    </row>
    <row r="54" spans="1:13" ht="15" thickBot="1" x14ac:dyDescent="0.35">
      <c r="A54" s="38">
        <v>44112</v>
      </c>
      <c r="B54" s="38">
        <v>44053</v>
      </c>
      <c r="C54" s="36">
        <v>1063</v>
      </c>
      <c r="D54" s="37" t="s">
        <v>1186</v>
      </c>
      <c r="E54" s="33" t="s">
        <v>1501</v>
      </c>
      <c r="G54" s="14"/>
      <c r="H54" s="11"/>
      <c r="I54" s="13"/>
    </row>
    <row r="55" spans="1:13" ht="15" thickBot="1" x14ac:dyDescent="0.35">
      <c r="A55" s="34" t="s">
        <v>411</v>
      </c>
      <c r="B55" s="35">
        <v>44060</v>
      </c>
      <c r="C55" s="36">
        <v>1104</v>
      </c>
      <c r="D55" s="37" t="s">
        <v>1186</v>
      </c>
      <c r="E55" s="33" t="s">
        <v>1501</v>
      </c>
      <c r="G55" s="12"/>
      <c r="H55" s="11"/>
      <c r="I55" s="13"/>
    </row>
    <row r="56" spans="1:13" ht="15" thickBot="1" x14ac:dyDescent="0.35">
      <c r="A56" s="34" t="s">
        <v>412</v>
      </c>
      <c r="B56" s="35">
        <v>44067</v>
      </c>
      <c r="C56" s="36">
        <v>1397</v>
      </c>
      <c r="D56" s="37" t="s">
        <v>1186</v>
      </c>
      <c r="E56" s="33" t="s">
        <v>1501</v>
      </c>
      <c r="G56" s="12"/>
      <c r="H56" s="11"/>
      <c r="I56" s="13"/>
    </row>
    <row r="57" spans="1:13" ht="15" thickBot="1" x14ac:dyDescent="0.35">
      <c r="A57" s="34" t="s">
        <v>413</v>
      </c>
      <c r="B57" s="35">
        <v>44074</v>
      </c>
      <c r="C57" s="36">
        <v>1406</v>
      </c>
      <c r="D57" s="37" t="s">
        <v>1186</v>
      </c>
      <c r="E57" s="33" t="s">
        <v>1501</v>
      </c>
      <c r="G57" s="15"/>
      <c r="H57" s="16"/>
      <c r="I57" s="17"/>
    </row>
    <row r="58" spans="1:13" ht="15" thickBot="1" x14ac:dyDescent="0.35">
      <c r="A58" s="14">
        <v>44021</v>
      </c>
      <c r="B58" s="35">
        <v>44081</v>
      </c>
      <c r="C58" s="36">
        <v>1589</v>
      </c>
      <c r="D58" s="37" t="s">
        <v>1186</v>
      </c>
      <c r="E58" s="33" t="s">
        <v>1501</v>
      </c>
      <c r="G58" s="14"/>
      <c r="H58" s="11"/>
      <c r="I58" s="39"/>
      <c r="K58" s="4"/>
      <c r="L58" s="40"/>
      <c r="M58" s="40"/>
    </row>
    <row r="59" spans="1:13" ht="15" thickBot="1" x14ac:dyDescent="0.35">
      <c r="A59" s="34" t="s">
        <v>414</v>
      </c>
      <c r="B59" s="35">
        <v>44088</v>
      </c>
      <c r="C59" s="36">
        <v>1269</v>
      </c>
      <c r="D59" s="37" t="s">
        <v>1186</v>
      </c>
      <c r="E59" s="33" t="s">
        <v>1501</v>
      </c>
      <c r="G59" s="12"/>
      <c r="H59" s="11"/>
      <c r="I59" s="39"/>
      <c r="K59" s="4"/>
      <c r="L59" s="41"/>
      <c r="M59" s="41"/>
    </row>
    <row r="60" spans="1:13" ht="15" thickBot="1" x14ac:dyDescent="0.35">
      <c r="A60" s="34" t="s">
        <v>415</v>
      </c>
      <c r="B60" s="35">
        <v>44095</v>
      </c>
      <c r="C60" s="36">
        <v>1035</v>
      </c>
      <c r="D60" s="37" t="s">
        <v>1186</v>
      </c>
      <c r="E60" s="33" t="s">
        <v>1501</v>
      </c>
      <c r="G60" s="12"/>
      <c r="H60" s="11"/>
      <c r="I60" s="39"/>
      <c r="K60" s="4"/>
      <c r="L60" s="41"/>
      <c r="M60" s="41"/>
    </row>
    <row r="61" spans="1:13" ht="15" thickBot="1" x14ac:dyDescent="0.35">
      <c r="A61" s="34" t="s">
        <v>416</v>
      </c>
      <c r="B61" s="35">
        <v>44102</v>
      </c>
      <c r="C61" s="36">
        <v>796</v>
      </c>
      <c r="D61" s="37" t="s">
        <v>1186</v>
      </c>
      <c r="E61" s="33" t="s">
        <v>1501</v>
      </c>
      <c r="G61" s="12"/>
      <c r="H61" s="11"/>
      <c r="I61" s="39"/>
      <c r="K61" s="4"/>
      <c r="L61" s="41"/>
      <c r="M61" s="41"/>
    </row>
    <row r="62" spans="1:13" ht="15" thickBot="1" x14ac:dyDescent="0.35">
      <c r="A62" s="14">
        <v>43961</v>
      </c>
      <c r="B62" s="35">
        <v>44109</v>
      </c>
      <c r="C62" s="36">
        <v>802</v>
      </c>
      <c r="D62" s="37" t="s">
        <v>1186</v>
      </c>
      <c r="E62" s="33" t="s">
        <v>1501</v>
      </c>
      <c r="G62" s="14"/>
      <c r="H62" s="11"/>
      <c r="I62" s="39"/>
      <c r="K62" s="4"/>
      <c r="L62" s="40"/>
      <c r="M62" s="40"/>
    </row>
    <row r="63" spans="1:13" ht="15" thickBot="1" x14ac:dyDescent="0.35">
      <c r="A63" s="18">
        <v>44175</v>
      </c>
      <c r="B63" s="35">
        <v>44116</v>
      </c>
      <c r="C63" s="36">
        <v>580</v>
      </c>
      <c r="D63" s="37" t="s">
        <v>1186</v>
      </c>
      <c r="E63" s="33" t="s">
        <v>1501</v>
      </c>
      <c r="G63" s="18"/>
      <c r="H63" s="16"/>
      <c r="I63" s="39"/>
      <c r="K63" s="4"/>
      <c r="L63" s="40"/>
      <c r="M63" s="40"/>
    </row>
    <row r="64" spans="1:13" ht="15" thickBot="1" x14ac:dyDescent="0.35">
      <c r="A64" s="34" t="s">
        <v>425</v>
      </c>
      <c r="B64" s="35">
        <v>43906</v>
      </c>
      <c r="C64" s="36">
        <v>160</v>
      </c>
      <c r="D64" s="37" t="s">
        <v>1186</v>
      </c>
      <c r="E64" s="33" t="s">
        <v>1502</v>
      </c>
      <c r="I64" s="13"/>
    </row>
    <row r="65" spans="1:9" ht="15" thickBot="1" x14ac:dyDescent="0.35">
      <c r="A65" s="34" t="s">
        <v>426</v>
      </c>
      <c r="B65" s="35">
        <v>43913</v>
      </c>
      <c r="C65" s="36">
        <v>321</v>
      </c>
      <c r="D65" s="37" t="s">
        <v>1186</v>
      </c>
      <c r="E65" s="33" t="s">
        <v>1502</v>
      </c>
      <c r="I65" s="13"/>
    </row>
    <row r="66" spans="1:9" ht="15" thickBot="1" x14ac:dyDescent="0.35">
      <c r="A66" s="34" t="s">
        <v>427</v>
      </c>
      <c r="B66" s="35">
        <v>43920</v>
      </c>
      <c r="C66" s="36">
        <v>325</v>
      </c>
      <c r="D66" s="37" t="s">
        <v>1186</v>
      </c>
      <c r="E66" s="33" t="s">
        <v>1502</v>
      </c>
      <c r="I66" s="13"/>
    </row>
    <row r="67" spans="1:9" ht="15" thickBot="1" x14ac:dyDescent="0.35">
      <c r="A67" s="38">
        <v>43986</v>
      </c>
      <c r="B67" s="38">
        <v>43927</v>
      </c>
      <c r="C67" s="36">
        <v>469</v>
      </c>
      <c r="D67" s="37" t="s">
        <v>1186</v>
      </c>
      <c r="E67" s="33" t="s">
        <v>1502</v>
      </c>
      <c r="I67" s="13"/>
    </row>
    <row r="68" spans="1:9" x14ac:dyDescent="0.3">
      <c r="A68" s="34" t="s">
        <v>428</v>
      </c>
      <c r="B68" s="35">
        <v>43934</v>
      </c>
      <c r="C68" s="36">
        <v>569</v>
      </c>
      <c r="D68" s="37" t="s">
        <v>1186</v>
      </c>
      <c r="E68" s="33" t="s">
        <v>1502</v>
      </c>
      <c r="I68" s="13"/>
    </row>
    <row r="69" spans="1:9" ht="15" thickBot="1" x14ac:dyDescent="0.35">
      <c r="A69" s="34" t="s">
        <v>429</v>
      </c>
      <c r="B69" s="35">
        <v>43941</v>
      </c>
      <c r="C69" s="36">
        <v>598</v>
      </c>
      <c r="D69" s="37" t="s">
        <v>1186</v>
      </c>
      <c r="E69" s="33" t="s">
        <v>1502</v>
      </c>
      <c r="I69" s="17"/>
    </row>
    <row r="70" spans="1:9" x14ac:dyDescent="0.3">
      <c r="A70" s="34" t="s">
        <v>430</v>
      </c>
      <c r="B70" s="35">
        <v>43948</v>
      </c>
      <c r="C70" s="36">
        <v>800</v>
      </c>
      <c r="D70" s="37" t="s">
        <v>1186</v>
      </c>
      <c r="E70" s="33" t="s">
        <v>1502</v>
      </c>
    </row>
    <row r="71" spans="1:9" x14ac:dyDescent="0.3">
      <c r="A71" s="38">
        <v>43926</v>
      </c>
      <c r="B71" s="38">
        <v>43955</v>
      </c>
      <c r="C71" s="36">
        <v>764</v>
      </c>
      <c r="D71" s="37" t="s">
        <v>1186</v>
      </c>
      <c r="E71" s="33" t="s">
        <v>1502</v>
      </c>
    </row>
    <row r="72" spans="1:9" x14ac:dyDescent="0.3">
      <c r="A72" s="38">
        <v>44140</v>
      </c>
      <c r="B72" s="38">
        <v>43962</v>
      </c>
      <c r="C72" s="36">
        <v>689</v>
      </c>
      <c r="D72" s="37" t="s">
        <v>1186</v>
      </c>
      <c r="E72" s="33" t="s">
        <v>1502</v>
      </c>
    </row>
    <row r="73" spans="1:9" x14ac:dyDescent="0.3">
      <c r="A73" s="34" t="s">
        <v>417</v>
      </c>
      <c r="B73" s="35">
        <v>43969</v>
      </c>
      <c r="C73" s="36">
        <v>1121</v>
      </c>
      <c r="D73" s="37" t="s">
        <v>1186</v>
      </c>
      <c r="E73" s="33" t="s">
        <v>1502</v>
      </c>
    </row>
    <row r="74" spans="1:9" x14ac:dyDescent="0.3">
      <c r="A74" s="34" t="s">
        <v>418</v>
      </c>
      <c r="B74" s="35">
        <v>43976</v>
      </c>
      <c r="C74" s="36">
        <v>960</v>
      </c>
      <c r="D74" s="37" t="s">
        <v>1186</v>
      </c>
      <c r="E74" s="33" t="s">
        <v>1502</v>
      </c>
    </row>
    <row r="75" spans="1:9" x14ac:dyDescent="0.3">
      <c r="A75" s="38">
        <v>43836</v>
      </c>
      <c r="B75" s="38">
        <v>43983</v>
      </c>
      <c r="C75" s="36">
        <v>1005</v>
      </c>
      <c r="D75" s="37" t="s">
        <v>1186</v>
      </c>
      <c r="E75" s="33" t="s">
        <v>1502</v>
      </c>
    </row>
    <row r="76" spans="1:9" x14ac:dyDescent="0.3">
      <c r="A76" s="38">
        <v>44049</v>
      </c>
      <c r="B76" s="38">
        <v>43990</v>
      </c>
      <c r="C76" s="36">
        <v>1179</v>
      </c>
      <c r="D76" s="37" t="s">
        <v>1186</v>
      </c>
      <c r="E76" s="33" t="s">
        <v>1502</v>
      </c>
    </row>
    <row r="77" spans="1:9" x14ac:dyDescent="0.3">
      <c r="A77" s="34" t="s">
        <v>419</v>
      </c>
      <c r="B77" s="35">
        <v>43997</v>
      </c>
      <c r="C77" s="36">
        <v>1858</v>
      </c>
      <c r="D77" s="37" t="s">
        <v>1186</v>
      </c>
      <c r="E77" s="33" t="s">
        <v>1502</v>
      </c>
    </row>
    <row r="78" spans="1:9" x14ac:dyDescent="0.3">
      <c r="A78" s="34" t="s">
        <v>420</v>
      </c>
      <c r="B78" s="35">
        <v>44004</v>
      </c>
      <c r="C78" s="36">
        <v>1858</v>
      </c>
      <c r="D78" s="37" t="s">
        <v>1186</v>
      </c>
      <c r="E78" s="33" t="s">
        <v>1502</v>
      </c>
    </row>
    <row r="79" spans="1:9" x14ac:dyDescent="0.3">
      <c r="A79" s="34" t="s">
        <v>421</v>
      </c>
      <c r="B79" s="35">
        <v>44011</v>
      </c>
      <c r="C79" s="36">
        <v>1551</v>
      </c>
      <c r="D79" s="37" t="s">
        <v>1186</v>
      </c>
      <c r="E79" s="33" t="s">
        <v>1502</v>
      </c>
    </row>
    <row r="80" spans="1:9" x14ac:dyDescent="0.3">
      <c r="A80" s="38">
        <v>43989</v>
      </c>
      <c r="B80" s="38">
        <v>44018</v>
      </c>
      <c r="C80" s="36">
        <v>1910</v>
      </c>
      <c r="D80" s="37" t="s">
        <v>1186</v>
      </c>
      <c r="E80" s="33" t="s">
        <v>1502</v>
      </c>
    </row>
    <row r="81" spans="1:5" x14ac:dyDescent="0.3">
      <c r="A81" s="34" t="s">
        <v>422</v>
      </c>
      <c r="B81" s="35">
        <v>44025</v>
      </c>
      <c r="C81" s="36">
        <v>2006</v>
      </c>
      <c r="D81" s="37" t="s">
        <v>1186</v>
      </c>
      <c r="E81" s="33" t="s">
        <v>1502</v>
      </c>
    </row>
    <row r="82" spans="1:5" x14ac:dyDescent="0.3">
      <c r="A82" s="34" t="s">
        <v>423</v>
      </c>
      <c r="B82" s="35">
        <v>44032</v>
      </c>
      <c r="C82" s="36">
        <v>2136</v>
      </c>
      <c r="D82" s="37" t="s">
        <v>1186</v>
      </c>
      <c r="E82" s="33" t="s">
        <v>1502</v>
      </c>
    </row>
    <row r="83" spans="1:5" x14ac:dyDescent="0.3">
      <c r="A83" s="34" t="s">
        <v>424</v>
      </c>
      <c r="B83" s="35">
        <v>44039</v>
      </c>
      <c r="C83" s="36">
        <v>1479</v>
      </c>
      <c r="D83" s="37" t="s">
        <v>1186</v>
      </c>
      <c r="E83" s="33" t="s">
        <v>1502</v>
      </c>
    </row>
    <row r="84" spans="1:5" x14ac:dyDescent="0.3">
      <c r="A84" s="38">
        <v>43898</v>
      </c>
      <c r="B84" s="38">
        <v>44046</v>
      </c>
      <c r="C84" s="36">
        <v>1580</v>
      </c>
      <c r="D84" s="37" t="s">
        <v>1186</v>
      </c>
      <c r="E84" s="33" t="s">
        <v>1502</v>
      </c>
    </row>
    <row r="85" spans="1:5" x14ac:dyDescent="0.3">
      <c r="A85" s="38">
        <v>44112</v>
      </c>
      <c r="B85" s="38">
        <v>44053</v>
      </c>
      <c r="C85" s="36">
        <v>1779</v>
      </c>
      <c r="D85" s="37" t="s">
        <v>1186</v>
      </c>
      <c r="E85" s="33" t="s">
        <v>1502</v>
      </c>
    </row>
    <row r="86" spans="1:5" x14ac:dyDescent="0.3">
      <c r="A86" s="34" t="s">
        <v>411</v>
      </c>
      <c r="B86" s="35">
        <v>44060</v>
      </c>
      <c r="C86" s="36">
        <v>2330</v>
      </c>
      <c r="D86" s="37" t="s">
        <v>1186</v>
      </c>
      <c r="E86" s="33" t="s">
        <v>1502</v>
      </c>
    </row>
    <row r="87" spans="1:5" x14ac:dyDescent="0.3">
      <c r="A87" s="34" t="s">
        <v>412</v>
      </c>
      <c r="B87" s="35">
        <v>44067</v>
      </c>
      <c r="C87" s="36">
        <v>3141</v>
      </c>
      <c r="D87" s="37" t="s">
        <v>1186</v>
      </c>
      <c r="E87" s="33" t="s">
        <v>1502</v>
      </c>
    </row>
    <row r="88" spans="1:5" x14ac:dyDescent="0.3">
      <c r="A88" s="34" t="s">
        <v>413</v>
      </c>
      <c r="B88" s="35">
        <v>44074</v>
      </c>
      <c r="C88" s="36">
        <v>2987</v>
      </c>
      <c r="D88" s="37" t="s">
        <v>1186</v>
      </c>
      <c r="E88" s="33" t="s">
        <v>1502</v>
      </c>
    </row>
    <row r="89" spans="1:5" x14ac:dyDescent="0.3">
      <c r="A89" s="38">
        <v>44021</v>
      </c>
      <c r="B89" s="38">
        <v>44081</v>
      </c>
      <c r="C89" s="36">
        <v>3446</v>
      </c>
      <c r="D89" s="37" t="s">
        <v>1186</v>
      </c>
      <c r="E89" s="33" t="s">
        <v>1502</v>
      </c>
    </row>
    <row r="90" spans="1:5" x14ac:dyDescent="0.3">
      <c r="A90" s="34" t="s">
        <v>414</v>
      </c>
      <c r="B90" s="35">
        <v>44088</v>
      </c>
      <c r="C90" s="36">
        <v>2764</v>
      </c>
      <c r="D90" s="37" t="s">
        <v>1186</v>
      </c>
      <c r="E90" s="33" t="s">
        <v>1502</v>
      </c>
    </row>
    <row r="91" spans="1:5" x14ac:dyDescent="0.3">
      <c r="A91" s="34" t="s">
        <v>415</v>
      </c>
      <c r="B91" s="35">
        <v>44095</v>
      </c>
      <c r="C91" s="36">
        <v>2252</v>
      </c>
      <c r="D91" s="37" t="s">
        <v>1186</v>
      </c>
      <c r="E91" s="33" t="s">
        <v>1502</v>
      </c>
    </row>
    <row r="92" spans="1:5" x14ac:dyDescent="0.3">
      <c r="A92" s="34" t="s">
        <v>416</v>
      </c>
      <c r="B92" s="35">
        <v>44102</v>
      </c>
      <c r="C92" s="36">
        <v>1550</v>
      </c>
      <c r="D92" s="37" t="s">
        <v>1186</v>
      </c>
      <c r="E92" s="33" t="s">
        <v>1502</v>
      </c>
    </row>
    <row r="93" spans="1:5" x14ac:dyDescent="0.3">
      <c r="A93" s="38">
        <v>43961</v>
      </c>
      <c r="B93" s="38">
        <v>44109</v>
      </c>
      <c r="C93" s="36">
        <v>1489</v>
      </c>
      <c r="D93" s="37" t="s">
        <v>1186</v>
      </c>
      <c r="E93" s="33" t="s">
        <v>1502</v>
      </c>
    </row>
    <row r="94" spans="1:5" x14ac:dyDescent="0.3">
      <c r="A94" s="38">
        <v>44175</v>
      </c>
      <c r="B94" s="38">
        <v>44116</v>
      </c>
      <c r="C94" s="36">
        <v>814</v>
      </c>
      <c r="D94" s="37" t="s">
        <v>1186</v>
      </c>
      <c r="E94" s="33" t="s">
        <v>1502</v>
      </c>
    </row>
    <row r="95" spans="1:5" x14ac:dyDescent="0.3">
      <c r="A95" s="34" t="s">
        <v>425</v>
      </c>
      <c r="B95" s="35">
        <v>43906</v>
      </c>
      <c r="C95" s="36">
        <v>1480</v>
      </c>
      <c r="D95" s="37" t="s">
        <v>1498</v>
      </c>
      <c r="E95" s="33" t="s">
        <v>1502</v>
      </c>
    </row>
    <row r="96" spans="1:5" x14ac:dyDescent="0.3">
      <c r="A96" s="34" t="s">
        <v>426</v>
      </c>
      <c r="B96" s="35">
        <v>43913</v>
      </c>
      <c r="C96" s="36">
        <v>3246</v>
      </c>
      <c r="D96" s="37" t="s">
        <v>1498</v>
      </c>
      <c r="E96" s="33" t="s">
        <v>1502</v>
      </c>
    </row>
    <row r="97" spans="1:5" x14ac:dyDescent="0.3">
      <c r="A97" s="34" t="s">
        <v>427</v>
      </c>
      <c r="B97" s="35">
        <v>43920</v>
      </c>
      <c r="C97" s="36">
        <v>3050</v>
      </c>
      <c r="D97" s="37" t="s">
        <v>1498</v>
      </c>
      <c r="E97" s="33" t="s">
        <v>1502</v>
      </c>
    </row>
    <row r="98" spans="1:5" x14ac:dyDescent="0.3">
      <c r="A98" s="38">
        <v>43986</v>
      </c>
      <c r="B98" s="38">
        <v>43927</v>
      </c>
      <c r="C98" s="36">
        <v>3689</v>
      </c>
      <c r="D98" s="37" t="s">
        <v>1498</v>
      </c>
      <c r="E98" s="33" t="s">
        <v>1502</v>
      </c>
    </row>
    <row r="99" spans="1:5" x14ac:dyDescent="0.3">
      <c r="A99" s="34" t="s">
        <v>428</v>
      </c>
      <c r="B99" s="35">
        <v>43934</v>
      </c>
      <c r="C99" s="36">
        <v>3066</v>
      </c>
      <c r="D99" s="37" t="s">
        <v>1498</v>
      </c>
      <c r="E99" s="33" t="s">
        <v>1502</v>
      </c>
    </row>
    <row r="100" spans="1:5" x14ac:dyDescent="0.3">
      <c r="A100" s="34" t="s">
        <v>429</v>
      </c>
      <c r="B100" s="35">
        <v>43941</v>
      </c>
      <c r="C100" s="36">
        <v>3111</v>
      </c>
      <c r="D100" s="37" t="s">
        <v>1498</v>
      </c>
      <c r="E100" s="33" t="s">
        <v>1502</v>
      </c>
    </row>
    <row r="101" spans="1:5" x14ac:dyDescent="0.3">
      <c r="A101" s="34" t="s">
        <v>430</v>
      </c>
      <c r="B101" s="35">
        <v>43948</v>
      </c>
      <c r="C101" s="36">
        <v>2775</v>
      </c>
      <c r="D101" s="37" t="s">
        <v>1498</v>
      </c>
      <c r="E101" s="33" t="s">
        <v>1502</v>
      </c>
    </row>
    <row r="102" spans="1:5" x14ac:dyDescent="0.3">
      <c r="A102" s="38">
        <v>43926</v>
      </c>
      <c r="B102" s="38">
        <v>43955</v>
      </c>
      <c r="C102" s="36">
        <v>2674</v>
      </c>
      <c r="D102" s="37" t="s">
        <v>1498</v>
      </c>
      <c r="E102" s="33" t="s">
        <v>1502</v>
      </c>
    </row>
    <row r="103" spans="1:5" x14ac:dyDescent="0.3">
      <c r="A103" s="38">
        <v>44140</v>
      </c>
      <c r="B103" s="38">
        <v>43962</v>
      </c>
      <c r="C103" s="36">
        <v>2324</v>
      </c>
      <c r="D103" s="37" t="s">
        <v>1498</v>
      </c>
      <c r="E103" s="33" t="s">
        <v>1502</v>
      </c>
    </row>
    <row r="104" spans="1:5" x14ac:dyDescent="0.3">
      <c r="A104" s="34" t="s">
        <v>417</v>
      </c>
      <c r="B104" s="35">
        <v>43969</v>
      </c>
      <c r="C104" s="36">
        <v>2216</v>
      </c>
      <c r="D104" s="37" t="s">
        <v>1498</v>
      </c>
      <c r="E104" s="33" t="s">
        <v>1502</v>
      </c>
    </row>
    <row r="105" spans="1:5" x14ac:dyDescent="0.3">
      <c r="A105" s="34" t="s">
        <v>418</v>
      </c>
      <c r="B105" s="35">
        <v>43976</v>
      </c>
      <c r="C105" s="36">
        <v>1687</v>
      </c>
      <c r="D105" s="37" t="s">
        <v>1498</v>
      </c>
      <c r="E105" s="33" t="s">
        <v>1502</v>
      </c>
    </row>
    <row r="106" spans="1:5" x14ac:dyDescent="0.3">
      <c r="A106" s="38">
        <v>43836</v>
      </c>
      <c r="B106" s="38">
        <v>43983</v>
      </c>
      <c r="C106" s="36">
        <v>1677</v>
      </c>
      <c r="D106" s="37" t="s">
        <v>1498</v>
      </c>
      <c r="E106" s="33" t="s">
        <v>1502</v>
      </c>
    </row>
    <row r="107" spans="1:5" x14ac:dyDescent="0.3">
      <c r="A107" s="38">
        <v>44049</v>
      </c>
      <c r="B107" s="38">
        <v>43990</v>
      </c>
      <c r="C107" s="36">
        <v>1901</v>
      </c>
      <c r="D107" s="37" t="s">
        <v>1498</v>
      </c>
      <c r="E107" s="33" t="s">
        <v>1502</v>
      </c>
    </row>
    <row r="108" spans="1:5" x14ac:dyDescent="0.3">
      <c r="A108" s="34" t="s">
        <v>419</v>
      </c>
      <c r="B108" s="35">
        <v>43997</v>
      </c>
      <c r="C108" s="36">
        <v>9726</v>
      </c>
      <c r="D108" s="37" t="s">
        <v>1498</v>
      </c>
      <c r="E108" s="33" t="s">
        <v>1502</v>
      </c>
    </row>
    <row r="109" spans="1:5" x14ac:dyDescent="0.3">
      <c r="A109" s="34" t="s">
        <v>420</v>
      </c>
      <c r="B109" s="35">
        <v>44004</v>
      </c>
      <c r="C109" s="36">
        <v>12250</v>
      </c>
      <c r="D109" s="37" t="s">
        <v>1498</v>
      </c>
      <c r="E109" s="33" t="s">
        <v>1502</v>
      </c>
    </row>
    <row r="110" spans="1:5" x14ac:dyDescent="0.3">
      <c r="A110" s="34" t="s">
        <v>421</v>
      </c>
      <c r="B110" s="35">
        <v>44011</v>
      </c>
      <c r="C110" s="36">
        <v>9061</v>
      </c>
      <c r="D110" s="37" t="s">
        <v>1498</v>
      </c>
      <c r="E110" s="33" t="s">
        <v>1502</v>
      </c>
    </row>
    <row r="111" spans="1:5" x14ac:dyDescent="0.3">
      <c r="A111" s="38">
        <v>43989</v>
      </c>
      <c r="B111" s="38">
        <v>44018</v>
      </c>
      <c r="C111" s="36">
        <v>6129</v>
      </c>
      <c r="D111" s="37" t="s">
        <v>1498</v>
      </c>
      <c r="E111" s="33" t="s">
        <v>1502</v>
      </c>
    </row>
    <row r="112" spans="1:5" x14ac:dyDescent="0.3">
      <c r="A112" s="34" t="s">
        <v>422</v>
      </c>
      <c r="B112" s="35">
        <v>44025</v>
      </c>
      <c r="C112" s="36">
        <v>6022</v>
      </c>
      <c r="D112" s="37" t="s">
        <v>1498</v>
      </c>
      <c r="E112" s="33" t="s">
        <v>1502</v>
      </c>
    </row>
    <row r="113" spans="1:5" x14ac:dyDescent="0.3">
      <c r="A113" s="34" t="s">
        <v>423</v>
      </c>
      <c r="B113" s="35">
        <v>44032</v>
      </c>
      <c r="C113" s="36">
        <v>5784</v>
      </c>
      <c r="D113" s="37" t="s">
        <v>1498</v>
      </c>
      <c r="E113" s="33" t="s">
        <v>1502</v>
      </c>
    </row>
    <row r="114" spans="1:5" x14ac:dyDescent="0.3">
      <c r="A114" s="34" t="s">
        <v>424</v>
      </c>
      <c r="B114" s="35">
        <v>44039</v>
      </c>
      <c r="C114" s="36">
        <v>5297</v>
      </c>
      <c r="D114" s="37" t="s">
        <v>1498</v>
      </c>
      <c r="E114" s="33" t="s">
        <v>1502</v>
      </c>
    </row>
    <row r="115" spans="1:5" x14ac:dyDescent="0.3">
      <c r="A115" s="38">
        <v>43898</v>
      </c>
      <c r="B115" s="38">
        <v>44046</v>
      </c>
      <c r="C115" s="36">
        <v>3746</v>
      </c>
      <c r="D115" s="37" t="s">
        <v>1498</v>
      </c>
      <c r="E115" s="33" t="s">
        <v>1502</v>
      </c>
    </row>
    <row r="116" spans="1:5" x14ac:dyDescent="0.3">
      <c r="A116" s="38">
        <v>44112</v>
      </c>
      <c r="B116" s="38">
        <v>44053</v>
      </c>
      <c r="C116" s="36">
        <v>4278</v>
      </c>
      <c r="D116" s="37" t="s">
        <v>1498</v>
      </c>
      <c r="E116" s="33" t="s">
        <v>1502</v>
      </c>
    </row>
    <row r="117" spans="1:5" x14ac:dyDescent="0.3">
      <c r="A117" s="34" t="s">
        <v>411</v>
      </c>
      <c r="B117" s="35">
        <v>44060</v>
      </c>
      <c r="C117" s="36">
        <v>3665</v>
      </c>
      <c r="D117" s="37" t="s">
        <v>1498</v>
      </c>
      <c r="E117" s="33" t="s">
        <v>1502</v>
      </c>
    </row>
    <row r="118" spans="1:5" x14ac:dyDescent="0.3">
      <c r="A118" s="34" t="s">
        <v>412</v>
      </c>
      <c r="B118" s="35">
        <v>44067</v>
      </c>
      <c r="C118" s="36">
        <v>3419</v>
      </c>
      <c r="D118" s="37" t="s">
        <v>1498</v>
      </c>
      <c r="E118" s="33" t="s">
        <v>1502</v>
      </c>
    </row>
    <row r="119" spans="1:5" x14ac:dyDescent="0.3">
      <c r="A119" s="34" t="s">
        <v>413</v>
      </c>
      <c r="B119" s="35">
        <v>44074</v>
      </c>
      <c r="C119" s="36">
        <v>3888</v>
      </c>
      <c r="D119" s="37" t="s">
        <v>1498</v>
      </c>
      <c r="E119" s="33" t="s">
        <v>1502</v>
      </c>
    </row>
    <row r="120" spans="1:5" x14ac:dyDescent="0.3">
      <c r="A120" s="38">
        <v>44021</v>
      </c>
      <c r="B120" s="38">
        <v>44081</v>
      </c>
      <c r="C120" s="36">
        <v>3750</v>
      </c>
      <c r="D120" s="37" t="s">
        <v>1498</v>
      </c>
      <c r="E120" s="33" t="s">
        <v>1502</v>
      </c>
    </row>
    <row r="121" spans="1:5" x14ac:dyDescent="0.3">
      <c r="A121" s="34" t="s">
        <v>414</v>
      </c>
      <c r="B121" s="35">
        <v>44088</v>
      </c>
      <c r="C121" s="36">
        <v>3655</v>
      </c>
      <c r="D121" s="37" t="s">
        <v>1498</v>
      </c>
      <c r="E121" s="33" t="s">
        <v>1502</v>
      </c>
    </row>
    <row r="122" spans="1:5" x14ac:dyDescent="0.3">
      <c r="A122" s="34" t="s">
        <v>415</v>
      </c>
      <c r="B122" s="35">
        <v>44095</v>
      </c>
      <c r="C122" s="36">
        <v>3374</v>
      </c>
      <c r="D122" s="37" t="s">
        <v>1498</v>
      </c>
      <c r="E122" s="33" t="s">
        <v>1502</v>
      </c>
    </row>
    <row r="123" spans="1:5" x14ac:dyDescent="0.3">
      <c r="A123" s="34" t="s">
        <v>416</v>
      </c>
      <c r="B123" s="35">
        <v>44102</v>
      </c>
      <c r="C123" s="36">
        <v>2753</v>
      </c>
      <c r="D123" s="37" t="s">
        <v>1498</v>
      </c>
      <c r="E123" s="33" t="s">
        <v>1502</v>
      </c>
    </row>
    <row r="124" spans="1:5" x14ac:dyDescent="0.3">
      <c r="A124" s="38">
        <v>43961</v>
      </c>
      <c r="B124" s="38">
        <v>44109</v>
      </c>
      <c r="C124" s="36">
        <v>2355</v>
      </c>
      <c r="D124" s="37" t="s">
        <v>1498</v>
      </c>
      <c r="E124" s="33" t="s">
        <v>1502</v>
      </c>
    </row>
    <row r="125" spans="1:5" x14ac:dyDescent="0.3">
      <c r="A125" s="38">
        <v>44175</v>
      </c>
      <c r="B125" s="38">
        <v>44116</v>
      </c>
      <c r="C125" s="36">
        <v>1350</v>
      </c>
      <c r="D125" s="37" t="s">
        <v>1498</v>
      </c>
      <c r="E125" s="33" t="s">
        <v>1502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7225-C504-431F-829F-EA58B09528A5}">
  <dimension ref="A1:Q1169"/>
  <sheetViews>
    <sheetView workbookViewId="0">
      <selection activeCell="F2" sqref="F2"/>
    </sheetView>
  </sheetViews>
  <sheetFormatPr defaultRowHeight="14.4" x14ac:dyDescent="0.3"/>
  <cols>
    <col min="1" max="1" width="10.5546875" bestFit="1" customWidth="1"/>
    <col min="2" max="2" width="11.44140625" customWidth="1"/>
    <col min="3" max="3" width="11.109375" customWidth="1"/>
    <col min="4" max="5" width="9" customWidth="1"/>
    <col min="7" max="7" width="14.33203125" customWidth="1"/>
    <col min="8" max="8" width="14" customWidth="1"/>
    <col min="9" max="10" width="11.88671875" customWidth="1"/>
    <col min="11" max="11" width="11.6640625" customWidth="1"/>
  </cols>
  <sheetData>
    <row r="1" spans="1:17" x14ac:dyDescent="0.3">
      <c r="A1" t="s">
        <v>27</v>
      </c>
      <c r="B1" t="s">
        <v>410</v>
      </c>
      <c r="C1" t="s">
        <v>37</v>
      </c>
      <c r="D1" t="s">
        <v>36</v>
      </c>
      <c r="E1" t="s">
        <v>35</v>
      </c>
      <c r="F1" t="s">
        <v>34</v>
      </c>
      <c r="G1" t="s">
        <v>33</v>
      </c>
      <c r="H1" t="s">
        <v>32</v>
      </c>
      <c r="I1" t="s">
        <v>31</v>
      </c>
      <c r="J1" t="s">
        <v>30</v>
      </c>
      <c r="K1" t="s">
        <v>29</v>
      </c>
      <c r="L1" t="s">
        <v>28</v>
      </c>
      <c r="M1" t="s">
        <v>26</v>
      </c>
      <c r="N1" t="s">
        <v>25</v>
      </c>
      <c r="O1" t="s">
        <v>24</v>
      </c>
      <c r="P1" t="s">
        <v>10</v>
      </c>
      <c r="Q1" t="s">
        <v>7</v>
      </c>
    </row>
    <row r="2" spans="1:17" x14ac:dyDescent="0.3">
      <c r="A2" s="4">
        <v>44116</v>
      </c>
      <c r="B2" s="6">
        <v>1</v>
      </c>
      <c r="C2">
        <v>10905755163.010401</v>
      </c>
      <c r="D2">
        <v>29561922.259349301</v>
      </c>
      <c r="E2">
        <v>143782.723745</v>
      </c>
      <c r="F2">
        <v>8469019.9239373691</v>
      </c>
      <c r="G2">
        <v>859296291.37731695</v>
      </c>
      <c r="H2">
        <v>828937578</v>
      </c>
      <c r="I2">
        <v>2226232.2492278698</v>
      </c>
      <c r="J2">
        <v>4193.8260330000003</v>
      </c>
      <c r="K2">
        <v>816429.653009</v>
      </c>
      <c r="L2">
        <v>278583575.34978497</v>
      </c>
      <c r="M2">
        <v>1132386846</v>
      </c>
      <c r="N2">
        <v>3031419.7456832998</v>
      </c>
      <c r="O2">
        <v>15436.955808999999</v>
      </c>
      <c r="P2">
        <v>304956.79083200003</v>
      </c>
      <c r="Q2">
        <v>7263110.900045</v>
      </c>
    </row>
    <row r="3" spans="1:17" x14ac:dyDescent="0.3">
      <c r="A3" s="4">
        <v>44115</v>
      </c>
      <c r="B3" s="6">
        <v>1</v>
      </c>
      <c r="C3">
        <v>10732521216.956699</v>
      </c>
      <c r="D3">
        <v>29419010.349672999</v>
      </c>
      <c r="E3">
        <v>142642.91386099899</v>
      </c>
      <c r="F3">
        <v>8338525.6913855802</v>
      </c>
      <c r="G3">
        <v>847453339.57467306</v>
      </c>
      <c r="H3">
        <v>825401893</v>
      </c>
      <c r="I3">
        <v>2230454.2317462</v>
      </c>
      <c r="J3">
        <v>3407.1610350000001</v>
      </c>
      <c r="K3">
        <v>802717.92370399996</v>
      </c>
      <c r="L3">
        <v>271050787.48888302</v>
      </c>
      <c r="M3">
        <v>1137047574</v>
      </c>
      <c r="N3">
        <v>3072603.2913581501</v>
      </c>
      <c r="O3">
        <v>16269.252777</v>
      </c>
      <c r="P3">
        <v>286170.82995799999</v>
      </c>
      <c r="Q3">
        <v>10204315.357488001</v>
      </c>
    </row>
    <row r="4" spans="1:17" x14ac:dyDescent="0.3">
      <c r="A4" s="4">
        <v>44114</v>
      </c>
      <c r="B4" s="6">
        <v>1</v>
      </c>
      <c r="C4">
        <v>10651120859.7355</v>
      </c>
      <c r="D4">
        <v>29591701.5834748</v>
      </c>
      <c r="E4">
        <v>141683.019586999</v>
      </c>
      <c r="F4">
        <v>8228842.7252420001</v>
      </c>
      <c r="G4">
        <v>848632854.44000494</v>
      </c>
      <c r="H4">
        <v>818467324</v>
      </c>
      <c r="I4">
        <v>2242253.3669387898</v>
      </c>
      <c r="J4">
        <v>2838.9445380000002</v>
      </c>
      <c r="K4">
        <v>787701.96727000002</v>
      </c>
      <c r="L4">
        <v>271523957.85884398</v>
      </c>
      <c r="M4">
        <v>1181711359</v>
      </c>
      <c r="N4">
        <v>3237387.9760013102</v>
      </c>
      <c r="O4">
        <v>16348.918887</v>
      </c>
      <c r="P4">
        <v>281651.608863</v>
      </c>
      <c r="Q4">
        <v>9083363.8871550001</v>
      </c>
    </row>
    <row r="5" spans="1:17" x14ac:dyDescent="0.3">
      <c r="A5" s="4">
        <v>44113</v>
      </c>
      <c r="B5" s="6">
        <v>1</v>
      </c>
      <c r="C5">
        <v>10487598667.266701</v>
      </c>
      <c r="D5">
        <v>30292390.4251986</v>
      </c>
      <c r="E5">
        <v>140647.909789</v>
      </c>
      <c r="F5">
        <v>8268605.0132314796</v>
      </c>
      <c r="G5">
        <v>843510254.28742301</v>
      </c>
      <c r="H5">
        <v>826030824</v>
      </c>
      <c r="I5">
        <v>2352492.8772819098</v>
      </c>
      <c r="J5">
        <v>2613.8456460000002</v>
      </c>
      <c r="K5">
        <v>793002.71767399996</v>
      </c>
      <c r="L5">
        <v>270174599.78947002</v>
      </c>
      <c r="M5">
        <v>1184257299</v>
      </c>
      <c r="N5">
        <v>3372703.2694443599</v>
      </c>
      <c r="O5">
        <v>17040.686564</v>
      </c>
      <c r="P5">
        <v>288755.452865</v>
      </c>
      <c r="Q5">
        <v>11890984.113828</v>
      </c>
    </row>
    <row r="6" spans="1:17" x14ac:dyDescent="0.3">
      <c r="A6" s="4">
        <v>44112</v>
      </c>
      <c r="B6" s="6">
        <v>1</v>
      </c>
      <c r="C6">
        <v>10183845638.7514</v>
      </c>
      <c r="D6">
        <v>30266700.243209101</v>
      </c>
      <c r="E6">
        <v>139863.43913699899</v>
      </c>
      <c r="F6">
        <v>8174279.7354055401</v>
      </c>
      <c r="G6">
        <v>828948985.33280897</v>
      </c>
      <c r="H6">
        <v>781794304</v>
      </c>
      <c r="I6">
        <v>2290838.0578427599</v>
      </c>
      <c r="J6">
        <v>2661.5153359999999</v>
      </c>
      <c r="K6">
        <v>756481.62158499996</v>
      </c>
      <c r="L6">
        <v>264675128.549234</v>
      </c>
      <c r="M6">
        <v>1154267076</v>
      </c>
      <c r="N6">
        <v>3382269.3937351601</v>
      </c>
      <c r="O6">
        <v>16788.956104000001</v>
      </c>
      <c r="P6">
        <v>311092.10206800001</v>
      </c>
      <c r="Q6">
        <v>14308206.233198</v>
      </c>
    </row>
    <row r="7" spans="1:17" x14ac:dyDescent="0.3">
      <c r="A7" s="4">
        <v>44111</v>
      </c>
      <c r="B7" s="6">
        <v>1</v>
      </c>
      <c r="C7">
        <v>10327005583.2064</v>
      </c>
      <c r="D7">
        <v>30665357.893812001</v>
      </c>
      <c r="E7">
        <v>140074.09469699999</v>
      </c>
      <c r="F7">
        <v>8161630.4893993596</v>
      </c>
      <c r="G7">
        <v>844143777.78519201</v>
      </c>
      <c r="H7">
        <v>770342163</v>
      </c>
      <c r="I7">
        <v>2255958.5410138499</v>
      </c>
      <c r="J7">
        <v>2586.9578729999998</v>
      </c>
      <c r="K7">
        <v>714607.78774699999</v>
      </c>
      <c r="L7">
        <v>268944513.82516497</v>
      </c>
      <c r="M7">
        <v>1208441685</v>
      </c>
      <c r="N7">
        <v>3538939.54080885</v>
      </c>
      <c r="O7">
        <v>16587.272927999999</v>
      </c>
      <c r="P7">
        <v>292602.40476200002</v>
      </c>
      <c r="Q7">
        <v>13554177.960417001</v>
      </c>
    </row>
    <row r="8" spans="1:17" x14ac:dyDescent="0.3">
      <c r="A8" s="4">
        <v>44110</v>
      </c>
      <c r="B8" s="6">
        <v>1</v>
      </c>
      <c r="C8">
        <v>10769765319.398899</v>
      </c>
      <c r="D8">
        <v>30991764.233597301</v>
      </c>
      <c r="E8">
        <v>140890.57813399899</v>
      </c>
      <c r="F8">
        <v>8296870.8073477997</v>
      </c>
      <c r="G8">
        <v>824432538.81492901</v>
      </c>
      <c r="H8">
        <v>764063446</v>
      </c>
      <c r="I8">
        <v>2169217.4034011802</v>
      </c>
      <c r="J8">
        <v>2575.9541009999998</v>
      </c>
      <c r="K8">
        <v>709452.941628</v>
      </c>
      <c r="L8">
        <v>254496587.246806</v>
      </c>
      <c r="M8">
        <v>1189858765</v>
      </c>
      <c r="N8">
        <v>3378073.3185702502</v>
      </c>
      <c r="O8">
        <v>16439.097271999999</v>
      </c>
      <c r="P8">
        <v>285121.973749</v>
      </c>
      <c r="Q8">
        <v>12840807.104436001</v>
      </c>
    </row>
    <row r="9" spans="1:17" x14ac:dyDescent="0.3">
      <c r="A9" s="4">
        <v>44109</v>
      </c>
      <c r="B9" s="6">
        <v>1</v>
      </c>
      <c r="C9">
        <v>10921806773.595501</v>
      </c>
      <c r="D9">
        <v>31367495.9014767</v>
      </c>
      <c r="E9">
        <v>141662.46282799999</v>
      </c>
      <c r="F9">
        <v>8394713.9662580807</v>
      </c>
      <c r="G9">
        <v>826408237.89375401</v>
      </c>
      <c r="H9">
        <v>774968270</v>
      </c>
      <c r="I9">
        <v>2196559.8197329999</v>
      </c>
      <c r="J9">
        <v>2394.1417280000001</v>
      </c>
      <c r="K9">
        <v>700727.38821500004</v>
      </c>
      <c r="L9">
        <v>256798245.83263201</v>
      </c>
      <c r="M9">
        <v>1330563185</v>
      </c>
      <c r="N9">
        <v>3771330.7020776002</v>
      </c>
      <c r="O9">
        <v>13693.162673000001</v>
      </c>
      <c r="P9">
        <v>395173.60399199999</v>
      </c>
      <c r="Q9">
        <v>12128761.530208999</v>
      </c>
    </row>
    <row r="10" spans="1:17" x14ac:dyDescent="0.3">
      <c r="A10" s="4">
        <v>44108</v>
      </c>
      <c r="B10" s="6">
        <v>1</v>
      </c>
      <c r="C10">
        <v>10853870453.4079</v>
      </c>
      <c r="D10">
        <v>31671519.857196301</v>
      </c>
      <c r="E10">
        <v>140376.31526500001</v>
      </c>
      <c r="F10">
        <v>8473272.1305576302</v>
      </c>
      <c r="G10">
        <v>820564110.15598595</v>
      </c>
      <c r="H10">
        <v>768555240</v>
      </c>
      <c r="I10">
        <v>2212752.2529006898</v>
      </c>
      <c r="J10">
        <v>2277.7109180000002</v>
      </c>
      <c r="K10">
        <v>694952.41142100003</v>
      </c>
      <c r="L10">
        <v>254815807.33390301</v>
      </c>
      <c r="M10">
        <v>1332167761</v>
      </c>
      <c r="N10">
        <v>3835452.62718452</v>
      </c>
      <c r="O10">
        <v>11799.465372000001</v>
      </c>
      <c r="P10">
        <v>437482.36714599998</v>
      </c>
      <c r="Q10">
        <v>12138493.622230001</v>
      </c>
    </row>
    <row r="11" spans="1:17" x14ac:dyDescent="0.3">
      <c r="A11" s="4">
        <v>44107</v>
      </c>
      <c r="B11" s="6">
        <v>1</v>
      </c>
      <c r="C11">
        <v>10804401718.684799</v>
      </c>
      <c r="D11">
        <v>31570209.652687699</v>
      </c>
      <c r="E11">
        <v>138374.43723000001</v>
      </c>
      <c r="F11">
        <v>8459440.1290873792</v>
      </c>
      <c r="G11">
        <v>813285167.62168705</v>
      </c>
      <c r="H11">
        <v>767384480</v>
      </c>
      <c r="I11">
        <v>2211801.35466205</v>
      </c>
      <c r="J11">
        <v>2221.8164889999998</v>
      </c>
      <c r="K11">
        <v>681530.59420799999</v>
      </c>
      <c r="L11">
        <v>252902811.060574</v>
      </c>
      <c r="M11">
        <v>1381842657</v>
      </c>
      <c r="N11">
        <v>3982829.3904020698</v>
      </c>
      <c r="O11">
        <v>12142.776433000001</v>
      </c>
      <c r="P11">
        <v>448990.26644500002</v>
      </c>
      <c r="Q11">
        <v>11975669.231803</v>
      </c>
    </row>
    <row r="12" spans="1:17" x14ac:dyDescent="0.3">
      <c r="A12" s="4">
        <v>44106</v>
      </c>
      <c r="B12" s="6">
        <v>1</v>
      </c>
      <c r="C12">
        <v>10989711979.741501</v>
      </c>
      <c r="D12">
        <v>31440560.7694261</v>
      </c>
      <c r="E12">
        <v>137238.31932499999</v>
      </c>
      <c r="F12">
        <v>8400134.7685523797</v>
      </c>
      <c r="G12">
        <v>832507907.10042703</v>
      </c>
      <c r="H12">
        <v>789256487</v>
      </c>
      <c r="I12">
        <v>2227713.13613141</v>
      </c>
      <c r="J12">
        <v>2200.1764229999999</v>
      </c>
      <c r="K12">
        <v>675659.00457200001</v>
      </c>
      <c r="L12">
        <v>258171741.60833099</v>
      </c>
      <c r="M12">
        <v>1470909143</v>
      </c>
      <c r="N12">
        <v>4151709.4555307701</v>
      </c>
      <c r="O12">
        <v>12464.207866000001</v>
      </c>
      <c r="P12">
        <v>448090.23995000002</v>
      </c>
      <c r="Q12">
        <v>10861216.631119</v>
      </c>
    </row>
    <row r="13" spans="1:17" x14ac:dyDescent="0.3">
      <c r="A13" s="4">
        <v>44105</v>
      </c>
      <c r="B13" s="6">
        <v>1</v>
      </c>
      <c r="C13">
        <v>11106910666.263</v>
      </c>
      <c r="D13">
        <v>31202096.016278099</v>
      </c>
      <c r="E13">
        <v>136514.053808</v>
      </c>
      <c r="F13">
        <v>8322439.9746518098</v>
      </c>
      <c r="G13">
        <v>887300805.73289096</v>
      </c>
      <c r="H13">
        <v>818925204</v>
      </c>
      <c r="I13">
        <v>2267109.2519793999</v>
      </c>
      <c r="J13">
        <v>2210.1324570000002</v>
      </c>
      <c r="K13">
        <v>681015.82788300002</v>
      </c>
      <c r="L13">
        <v>282162759.14348203</v>
      </c>
      <c r="M13">
        <v>1490140500</v>
      </c>
      <c r="N13">
        <v>4125298.9867670601</v>
      </c>
      <c r="O13">
        <v>11058.275511</v>
      </c>
      <c r="P13">
        <v>475384.11702599999</v>
      </c>
      <c r="Q13">
        <v>14036887.193608999</v>
      </c>
    </row>
    <row r="14" spans="1:17" x14ac:dyDescent="0.3">
      <c r="A14" s="4">
        <v>44104</v>
      </c>
      <c r="B14" s="6">
        <v>1</v>
      </c>
      <c r="C14">
        <v>11233290101.174101</v>
      </c>
      <c r="D14">
        <v>31634301.440506201</v>
      </c>
      <c r="E14">
        <v>135849.07472</v>
      </c>
      <c r="F14">
        <v>8370132.7500543399</v>
      </c>
      <c r="G14">
        <v>914888841.30488706</v>
      </c>
      <c r="H14">
        <v>829824763</v>
      </c>
      <c r="I14">
        <v>2303213.4197451998</v>
      </c>
      <c r="J14">
        <v>2064.645618</v>
      </c>
      <c r="K14">
        <v>689627.61123599997</v>
      </c>
      <c r="L14">
        <v>281099482.20203799</v>
      </c>
      <c r="M14">
        <v>1536551874</v>
      </c>
      <c r="N14">
        <v>4264764.14554941</v>
      </c>
      <c r="O14">
        <v>6718.2045600000001</v>
      </c>
      <c r="P14">
        <v>531857.27411799994</v>
      </c>
      <c r="Q14">
        <v>10862512.10335</v>
      </c>
    </row>
    <row r="15" spans="1:17" x14ac:dyDescent="0.3">
      <c r="A15" s="4">
        <v>44103</v>
      </c>
      <c r="B15" s="6">
        <v>1</v>
      </c>
      <c r="C15">
        <v>11219682700.111799</v>
      </c>
      <c r="D15">
        <v>32040768.5096559</v>
      </c>
      <c r="E15">
        <v>134754.981356</v>
      </c>
      <c r="F15">
        <v>8394429.0886107404</v>
      </c>
      <c r="G15">
        <v>927564805.01857495</v>
      </c>
      <c r="H15">
        <v>814965363</v>
      </c>
      <c r="I15">
        <v>2294255.2868644702</v>
      </c>
      <c r="J15">
        <v>1947.943043</v>
      </c>
      <c r="K15">
        <v>682397.53150899999</v>
      </c>
      <c r="L15">
        <v>279787249.83900702</v>
      </c>
      <c r="M15">
        <v>1579718863</v>
      </c>
      <c r="N15">
        <v>4447156.3059512395</v>
      </c>
      <c r="O15">
        <v>7093.8955990000004</v>
      </c>
      <c r="P15">
        <v>529764.76165500004</v>
      </c>
      <c r="Q15">
        <v>9917995.44967</v>
      </c>
    </row>
    <row r="16" spans="1:17" x14ac:dyDescent="0.3">
      <c r="A16" s="4">
        <v>44102</v>
      </c>
      <c r="B16" s="6">
        <v>1</v>
      </c>
      <c r="C16">
        <v>11119511633.1922</v>
      </c>
      <c r="D16">
        <v>31505131.669040199</v>
      </c>
      <c r="E16">
        <v>129792.82203700001</v>
      </c>
      <c r="F16">
        <v>8144810.1424732897</v>
      </c>
      <c r="G16">
        <v>951912868.14676297</v>
      </c>
      <c r="H16">
        <v>868662020</v>
      </c>
      <c r="I16">
        <v>2425684.9012873098</v>
      </c>
      <c r="J16">
        <v>1885.4548560000001</v>
      </c>
      <c r="K16">
        <v>667229.96304399997</v>
      </c>
      <c r="L16">
        <v>282071225.69617999</v>
      </c>
      <c r="M16">
        <v>1515724745</v>
      </c>
      <c r="N16">
        <v>4232567.4932283303</v>
      </c>
      <c r="O16">
        <v>5715.8279709999997</v>
      </c>
      <c r="P16">
        <v>383539.65149600001</v>
      </c>
      <c r="Q16">
        <v>11575009.008825</v>
      </c>
    </row>
    <row r="17" spans="1:17" x14ac:dyDescent="0.3">
      <c r="A17" s="4">
        <v>44101</v>
      </c>
      <c r="B17" s="6">
        <v>1</v>
      </c>
      <c r="C17">
        <v>11087539154.7925</v>
      </c>
      <c r="D17">
        <v>31587322.625298299</v>
      </c>
      <c r="E17">
        <v>129258.458925</v>
      </c>
      <c r="F17">
        <v>8231874.3056326304</v>
      </c>
      <c r="G17">
        <v>965964915.98462498</v>
      </c>
      <c r="H17">
        <v>808543207</v>
      </c>
      <c r="I17">
        <v>2270232.2251860099</v>
      </c>
      <c r="J17">
        <v>1914.6027549999999</v>
      </c>
      <c r="K17">
        <v>679955.858305</v>
      </c>
      <c r="L17">
        <v>285580768.69403499</v>
      </c>
      <c r="M17">
        <v>1540145961</v>
      </c>
      <c r="N17">
        <v>4324430.6078899298</v>
      </c>
      <c r="O17">
        <v>13199.605922000001</v>
      </c>
      <c r="P17">
        <v>360975.52880899998</v>
      </c>
      <c r="Q17">
        <v>8788610.3307009991</v>
      </c>
    </row>
    <row r="18" spans="1:17" x14ac:dyDescent="0.3">
      <c r="A18" s="4">
        <v>44100</v>
      </c>
      <c r="B18" s="6">
        <v>1</v>
      </c>
      <c r="C18">
        <v>10875020009.5926</v>
      </c>
      <c r="D18">
        <v>31106798.993997801</v>
      </c>
      <c r="E18">
        <v>127267.947266</v>
      </c>
      <c r="F18">
        <v>8127300.0802879604</v>
      </c>
      <c r="G18">
        <v>964865126.71355104</v>
      </c>
      <c r="H18">
        <v>816448833</v>
      </c>
      <c r="I18">
        <v>2300698.3768703998</v>
      </c>
      <c r="J18">
        <v>1526.0156059999999</v>
      </c>
      <c r="K18">
        <v>680976.012904</v>
      </c>
      <c r="L18">
        <v>289843542.31016201</v>
      </c>
      <c r="M18">
        <v>1458600625</v>
      </c>
      <c r="N18">
        <v>4110239.31298785</v>
      </c>
      <c r="O18">
        <v>12994.653992</v>
      </c>
      <c r="P18">
        <v>286430.62964599999</v>
      </c>
      <c r="Q18">
        <v>8353055.5094419997</v>
      </c>
    </row>
    <row r="19" spans="1:17" x14ac:dyDescent="0.3">
      <c r="A19" s="4">
        <v>44099</v>
      </c>
      <c r="B19" s="6">
        <v>1</v>
      </c>
      <c r="C19">
        <v>10556391750.247601</v>
      </c>
      <c r="D19">
        <v>30575526.8600935</v>
      </c>
      <c r="E19">
        <v>122592.078448</v>
      </c>
      <c r="F19">
        <v>8055333.10339572</v>
      </c>
      <c r="G19">
        <v>964947062.79778504</v>
      </c>
      <c r="H19">
        <v>751895816</v>
      </c>
      <c r="I19">
        <v>2145086.77393586</v>
      </c>
      <c r="J19">
        <v>1507.707408</v>
      </c>
      <c r="K19">
        <v>695615.05978100002</v>
      </c>
      <c r="L19">
        <v>287319970.92442101</v>
      </c>
      <c r="M19">
        <v>1397907995</v>
      </c>
      <c r="N19">
        <v>3988097.6691772202</v>
      </c>
      <c r="O19">
        <v>12079.111598</v>
      </c>
      <c r="P19">
        <v>192853.24178499999</v>
      </c>
      <c r="Q19">
        <v>10302936.071663</v>
      </c>
    </row>
    <row r="20" spans="1:17" x14ac:dyDescent="0.3">
      <c r="A20" s="4">
        <v>44098</v>
      </c>
      <c r="B20" s="6">
        <v>1</v>
      </c>
      <c r="C20">
        <v>10562655772.7845</v>
      </c>
      <c r="D20">
        <v>32910104.854249701</v>
      </c>
      <c r="E20">
        <v>119352.10778999999</v>
      </c>
      <c r="F20">
        <v>8057886.2841606503</v>
      </c>
      <c r="G20">
        <v>910476212.931633</v>
      </c>
      <c r="H20">
        <v>706736061</v>
      </c>
      <c r="I20">
        <v>2168567.2322798399</v>
      </c>
      <c r="J20">
        <v>1241.9817660000001</v>
      </c>
      <c r="K20">
        <v>739226.91561400006</v>
      </c>
      <c r="L20">
        <v>269418189.68760502</v>
      </c>
      <c r="M20">
        <v>1307247283</v>
      </c>
      <c r="N20">
        <v>4011191.4176127599</v>
      </c>
      <c r="O20">
        <v>11762.429196999999</v>
      </c>
      <c r="P20">
        <v>216159.16000900001</v>
      </c>
      <c r="Q20">
        <v>14237176.499838</v>
      </c>
    </row>
    <row r="21" spans="1:17" x14ac:dyDescent="0.3">
      <c r="A21" s="4">
        <v>44097</v>
      </c>
      <c r="B21" s="6">
        <v>1</v>
      </c>
      <c r="C21">
        <v>10018297398.0912</v>
      </c>
      <c r="D21">
        <v>29388494.911095701</v>
      </c>
      <c r="E21">
        <v>117522.73671300001</v>
      </c>
      <c r="F21">
        <v>8164048.9433654696</v>
      </c>
      <c r="G21">
        <v>840706060.81542897</v>
      </c>
      <c r="H21">
        <v>719899204</v>
      </c>
      <c r="I21">
        <v>2077991.0056575399</v>
      </c>
      <c r="J21">
        <v>1431.996472</v>
      </c>
      <c r="K21">
        <v>785187.73139199999</v>
      </c>
      <c r="L21">
        <v>241045976.63904101</v>
      </c>
      <c r="M21">
        <v>1231111316</v>
      </c>
      <c r="N21">
        <v>3553606.15402378</v>
      </c>
      <c r="O21">
        <v>11560.447918</v>
      </c>
      <c r="P21">
        <v>233589.120452</v>
      </c>
      <c r="Q21">
        <v>12543498.274667</v>
      </c>
    </row>
    <row r="22" spans="1:17" x14ac:dyDescent="0.3">
      <c r="A22" s="4">
        <v>44096</v>
      </c>
      <c r="B22" s="6">
        <v>1</v>
      </c>
      <c r="C22">
        <v>9784033358.1736393</v>
      </c>
      <c r="D22">
        <v>29065670.706480399</v>
      </c>
      <c r="E22">
        <v>116696.532429</v>
      </c>
      <c r="F22">
        <v>8083710.4916663095</v>
      </c>
      <c r="G22">
        <v>821840788.67851305</v>
      </c>
      <c r="H22">
        <v>699439023</v>
      </c>
      <c r="I22">
        <v>2043589.7358733099</v>
      </c>
      <c r="J22">
        <v>1517.5217560000001</v>
      </c>
      <c r="K22">
        <v>754475.26590999996</v>
      </c>
      <c r="L22">
        <v>230878087.832578</v>
      </c>
      <c r="M22">
        <v>1170789993</v>
      </c>
      <c r="N22">
        <v>3420761.9733535899</v>
      </c>
      <c r="O22">
        <v>10361.505322000001</v>
      </c>
      <c r="P22">
        <v>212707.56314300001</v>
      </c>
      <c r="Q22">
        <v>16314217.807217</v>
      </c>
    </row>
    <row r="23" spans="1:17" x14ac:dyDescent="0.3">
      <c r="A23" s="4">
        <v>44095</v>
      </c>
      <c r="B23" s="6">
        <v>1</v>
      </c>
      <c r="C23">
        <v>10190767516.467699</v>
      </c>
      <c r="D23">
        <v>27851075.460798498</v>
      </c>
      <c r="E23">
        <v>82164.821261999998</v>
      </c>
      <c r="F23">
        <v>8138301.0075135399</v>
      </c>
      <c r="G23">
        <v>788693027.36467099</v>
      </c>
      <c r="H23">
        <v>714435431</v>
      </c>
      <c r="I23">
        <v>1919596.51512708</v>
      </c>
      <c r="J23">
        <v>1949.610122</v>
      </c>
      <c r="K23">
        <v>768099.49381799996</v>
      </c>
      <c r="L23">
        <v>209808504.64825499</v>
      </c>
      <c r="M23">
        <v>1278142091</v>
      </c>
      <c r="N23">
        <v>3434204.12434843</v>
      </c>
      <c r="O23">
        <v>10485.056906</v>
      </c>
      <c r="P23">
        <v>222929.26436999999</v>
      </c>
      <c r="Q23">
        <v>10393195.100617001</v>
      </c>
    </row>
    <row r="24" spans="1:17" x14ac:dyDescent="0.3">
      <c r="A24" s="4">
        <v>44094</v>
      </c>
      <c r="B24" s="6">
        <v>1</v>
      </c>
      <c r="C24">
        <v>10497236559.8888</v>
      </c>
      <c r="D24">
        <v>27674249.3401094</v>
      </c>
      <c r="E24">
        <v>116016.396064999</v>
      </c>
      <c r="F24">
        <v>8153478.0504592704</v>
      </c>
      <c r="G24">
        <v>712725398.98604798</v>
      </c>
      <c r="H24">
        <v>701714272</v>
      </c>
      <c r="I24">
        <v>1819468.1255995999</v>
      </c>
      <c r="J24">
        <v>1991.7854580000001</v>
      </c>
      <c r="K24">
        <v>824176.28329299996</v>
      </c>
      <c r="L24">
        <v>180622223.623072</v>
      </c>
      <c r="M24">
        <v>1318210717</v>
      </c>
      <c r="N24">
        <v>3417975.7746259701</v>
      </c>
      <c r="O24">
        <v>10524.072805</v>
      </c>
      <c r="P24">
        <v>230071.434863</v>
      </c>
      <c r="Q24">
        <v>5618268.4093869999</v>
      </c>
    </row>
    <row r="25" spans="1:17" x14ac:dyDescent="0.3">
      <c r="A25" s="4">
        <v>44093</v>
      </c>
      <c r="B25" s="6">
        <v>1</v>
      </c>
      <c r="C25">
        <v>10367692166.2318</v>
      </c>
      <c r="D25">
        <v>27351588.711812399</v>
      </c>
      <c r="E25">
        <v>112800.196966</v>
      </c>
      <c r="F25">
        <v>8224472.0723769497</v>
      </c>
      <c r="G25">
        <v>642577634.41247904</v>
      </c>
      <c r="H25">
        <v>686610905</v>
      </c>
      <c r="I25">
        <v>1782155.1249772799</v>
      </c>
      <c r="J25">
        <v>2402.4847909999999</v>
      </c>
      <c r="K25">
        <v>838027.07740499999</v>
      </c>
      <c r="L25">
        <v>161532401.375586</v>
      </c>
      <c r="M25">
        <v>1298468856</v>
      </c>
      <c r="N25">
        <v>3370282.8042671299</v>
      </c>
      <c r="O25">
        <v>10417.736444</v>
      </c>
      <c r="P25">
        <v>223935.85748100001</v>
      </c>
      <c r="Q25">
        <v>7269241.6148070004</v>
      </c>
    </row>
    <row r="26" spans="1:17" x14ac:dyDescent="0.3">
      <c r="A26" s="4">
        <v>44092</v>
      </c>
      <c r="B26" s="6">
        <v>1</v>
      </c>
      <c r="C26">
        <v>10335969284.553801</v>
      </c>
      <c r="D26">
        <v>26855826.814666301</v>
      </c>
      <c r="E26">
        <v>106644.786706999</v>
      </c>
      <c r="F26">
        <v>8533950.2698756307</v>
      </c>
      <c r="G26">
        <v>608773999.24607301</v>
      </c>
      <c r="H26">
        <v>656884425</v>
      </c>
      <c r="I26">
        <v>1687824.5201572401</v>
      </c>
      <c r="J26">
        <v>1679.4958690000001</v>
      </c>
      <c r="K26">
        <v>873507.61137699999</v>
      </c>
      <c r="L26">
        <v>143112469.37533399</v>
      </c>
      <c r="M26">
        <v>1361422302</v>
      </c>
      <c r="N26">
        <v>3498091.68272566</v>
      </c>
      <c r="O26">
        <v>16291.968439</v>
      </c>
      <c r="P26">
        <v>201485.967397</v>
      </c>
      <c r="Q26">
        <v>6750579.436032</v>
      </c>
    </row>
    <row r="27" spans="1:17" x14ac:dyDescent="0.3">
      <c r="A27" s="4">
        <v>44091</v>
      </c>
      <c r="B27" s="6">
        <v>1</v>
      </c>
      <c r="C27">
        <v>9103927342.9723797</v>
      </c>
      <c r="D27">
        <v>25240929.518022802</v>
      </c>
      <c r="E27">
        <v>105257.88761799999</v>
      </c>
      <c r="F27">
        <v>8870583.4570568893</v>
      </c>
      <c r="G27">
        <v>633523772.47261202</v>
      </c>
      <c r="H27">
        <v>658848886</v>
      </c>
      <c r="I27">
        <v>1803237.50171059</v>
      </c>
      <c r="J27">
        <v>1679.4958690000001</v>
      </c>
      <c r="K27">
        <v>873507.61137699999</v>
      </c>
      <c r="L27">
        <v>143112469.37533399</v>
      </c>
      <c r="M27">
        <v>1402956414</v>
      </c>
      <c r="N27">
        <v>3839823.7786353501</v>
      </c>
      <c r="O27">
        <v>16291.968439</v>
      </c>
      <c r="P27">
        <v>201485.967397</v>
      </c>
      <c r="Q27">
        <v>6750579.436032</v>
      </c>
    </row>
    <row r="28" spans="1:17" x14ac:dyDescent="0.3">
      <c r="A28" s="4">
        <v>44090</v>
      </c>
      <c r="B28" s="6">
        <v>1</v>
      </c>
      <c r="C28">
        <v>9198477069.0399494</v>
      </c>
      <c r="D28">
        <v>25512278.973895401</v>
      </c>
      <c r="E28">
        <v>101141.32997599999</v>
      </c>
      <c r="F28">
        <v>8894350.3488416392</v>
      </c>
      <c r="G28">
        <v>565935884.84938395</v>
      </c>
      <c r="H28">
        <v>669096146</v>
      </c>
      <c r="I28">
        <v>1832788.6323170899</v>
      </c>
      <c r="J28">
        <v>3123.738488</v>
      </c>
      <c r="K28">
        <v>933764.97633800004</v>
      </c>
      <c r="L28">
        <v>142645420.507002</v>
      </c>
      <c r="M28">
        <v>1384861314</v>
      </c>
      <c r="N28">
        <v>3793413.0824225401</v>
      </c>
      <c r="O28">
        <v>16870.878574999999</v>
      </c>
      <c r="P28">
        <v>259280.994179</v>
      </c>
      <c r="Q28">
        <v>12998518.370445</v>
      </c>
    </row>
    <row r="29" spans="1:17" x14ac:dyDescent="0.3">
      <c r="A29" s="4">
        <v>44089</v>
      </c>
      <c r="B29" s="6">
        <v>1</v>
      </c>
      <c r="C29">
        <v>9587431202.5587101</v>
      </c>
      <c r="D29">
        <v>25639687.5194925</v>
      </c>
      <c r="E29">
        <v>100816.27010199999</v>
      </c>
      <c r="F29">
        <v>8817344.6108575203</v>
      </c>
      <c r="G29">
        <v>572260295.91212499</v>
      </c>
      <c r="H29">
        <v>670148628</v>
      </c>
      <c r="I29">
        <v>1771239.9312805601</v>
      </c>
      <c r="J29">
        <v>3123.738488</v>
      </c>
      <c r="K29">
        <v>933764.97633800004</v>
      </c>
      <c r="L29">
        <v>142645420.507002</v>
      </c>
      <c r="M29">
        <v>1482079845</v>
      </c>
      <c r="N29">
        <v>3917219.0960750598</v>
      </c>
      <c r="O29">
        <v>16870.878574999999</v>
      </c>
      <c r="P29">
        <v>259280.994179</v>
      </c>
      <c r="Q29">
        <v>12998518.370445</v>
      </c>
    </row>
    <row r="30" spans="1:17" x14ac:dyDescent="0.3">
      <c r="A30" s="4">
        <v>44088</v>
      </c>
      <c r="B30" s="6">
        <v>1</v>
      </c>
      <c r="C30">
        <v>9323191136.8030605</v>
      </c>
      <c r="D30">
        <v>25538787.659401599</v>
      </c>
      <c r="E30">
        <v>98491.945395999996</v>
      </c>
      <c r="F30">
        <v>8540120.7346476801</v>
      </c>
      <c r="G30">
        <v>681094888.99922502</v>
      </c>
      <c r="H30">
        <v>640706231</v>
      </c>
      <c r="I30">
        <v>1734685.8833085101</v>
      </c>
      <c r="J30">
        <v>3243.2365949999999</v>
      </c>
      <c r="K30">
        <v>955012.68236700003</v>
      </c>
      <c r="L30">
        <v>111198637.858464</v>
      </c>
      <c r="M30">
        <v>1510254588</v>
      </c>
      <c r="N30">
        <v>4088952.45160416</v>
      </c>
      <c r="O30">
        <v>17777.566758000001</v>
      </c>
      <c r="P30">
        <v>214106.53146100001</v>
      </c>
      <c r="Q30">
        <v>4880753.1349520003</v>
      </c>
    </row>
    <row r="31" spans="1:17" x14ac:dyDescent="0.3">
      <c r="A31" s="4">
        <v>44087</v>
      </c>
      <c r="B31" s="6">
        <v>1</v>
      </c>
      <c r="C31">
        <v>10443616356.909</v>
      </c>
      <c r="D31">
        <v>27041967.097815201</v>
      </c>
      <c r="E31">
        <v>96089.886476999993</v>
      </c>
      <c r="F31">
        <v>8479718.0823883191</v>
      </c>
      <c r="G31">
        <v>653889395.21560895</v>
      </c>
      <c r="H31">
        <v>644814809</v>
      </c>
      <c r="I31">
        <v>1651550.3649821901</v>
      </c>
      <c r="J31">
        <v>3243.2365949999999</v>
      </c>
      <c r="K31">
        <v>955012.68236700003</v>
      </c>
      <c r="L31">
        <v>111198637.858464</v>
      </c>
      <c r="M31">
        <v>1565986769</v>
      </c>
      <c r="N31">
        <v>4010928.3840893302</v>
      </c>
      <c r="O31">
        <v>17777.566758000001</v>
      </c>
      <c r="P31">
        <v>214106.53146100001</v>
      </c>
      <c r="Q31">
        <v>4880753.1349520003</v>
      </c>
    </row>
    <row r="32" spans="1:17" x14ac:dyDescent="0.3">
      <c r="A32" s="4">
        <v>44086</v>
      </c>
      <c r="B32" s="6">
        <v>1</v>
      </c>
      <c r="C32">
        <v>9392773126.9186993</v>
      </c>
      <c r="D32">
        <v>25245275.717890799</v>
      </c>
      <c r="E32">
        <v>92042.177817999996</v>
      </c>
      <c r="F32">
        <v>8479705.3238661401</v>
      </c>
      <c r="G32">
        <v>599316580.53660095</v>
      </c>
      <c r="H32">
        <v>629849206</v>
      </c>
      <c r="I32">
        <v>1673128.45264975</v>
      </c>
      <c r="J32">
        <v>2756.814871</v>
      </c>
      <c r="K32">
        <v>918258.54786100006</v>
      </c>
      <c r="L32">
        <v>113342868.38080201</v>
      </c>
      <c r="M32">
        <v>1500333900</v>
      </c>
      <c r="N32">
        <v>3985479.87780581</v>
      </c>
      <c r="O32">
        <v>17810.439480000001</v>
      </c>
      <c r="P32">
        <v>147393.335701</v>
      </c>
      <c r="Q32">
        <v>2030344.71272</v>
      </c>
    </row>
    <row r="33" spans="1:17" x14ac:dyDescent="0.3">
      <c r="A33" s="4">
        <v>44085</v>
      </c>
      <c r="B33" s="6">
        <v>1</v>
      </c>
      <c r="C33">
        <v>9244704829.1322308</v>
      </c>
      <c r="D33">
        <v>25197308.562336501</v>
      </c>
      <c r="E33">
        <v>94471.961610999904</v>
      </c>
      <c r="F33">
        <v>7373812.7270644596</v>
      </c>
      <c r="G33">
        <v>494153847.86604899</v>
      </c>
      <c r="H33">
        <v>614696306</v>
      </c>
      <c r="I33">
        <v>1657712.32167417</v>
      </c>
      <c r="J33">
        <v>2756.814871</v>
      </c>
      <c r="K33">
        <v>918258.54786100006</v>
      </c>
      <c r="L33">
        <v>113342868.38080201</v>
      </c>
      <c r="M33">
        <v>1548282764</v>
      </c>
      <c r="N33">
        <v>4175407.2543890402</v>
      </c>
      <c r="O33">
        <v>17810.439480000001</v>
      </c>
      <c r="P33">
        <v>147393.335701</v>
      </c>
      <c r="Q33">
        <v>2030344.71272</v>
      </c>
    </row>
    <row r="34" spans="1:17" x14ac:dyDescent="0.3">
      <c r="A34" s="4">
        <v>44084</v>
      </c>
      <c r="B34" s="6">
        <v>1</v>
      </c>
      <c r="C34">
        <v>8518506680.62008</v>
      </c>
      <c r="D34">
        <v>24366658.4863551</v>
      </c>
      <c r="E34">
        <v>95223.579679999995</v>
      </c>
      <c r="F34">
        <v>7468885.7717137598</v>
      </c>
      <c r="G34">
        <v>446883166.372868</v>
      </c>
      <c r="H34">
        <v>601608023</v>
      </c>
      <c r="I34">
        <v>1699553.7120741201</v>
      </c>
      <c r="J34">
        <v>2338.2264850000001</v>
      </c>
      <c r="K34">
        <v>883155.19716800004</v>
      </c>
      <c r="L34">
        <v>140375516.91102701</v>
      </c>
      <c r="M34">
        <v>1442875157</v>
      </c>
      <c r="N34">
        <v>4076148.81349228</v>
      </c>
      <c r="O34">
        <v>17262.800069000001</v>
      </c>
      <c r="P34">
        <v>150567.15101900001</v>
      </c>
      <c r="Q34">
        <v>4679702.0224580001</v>
      </c>
    </row>
    <row r="35" spans="1:17" x14ac:dyDescent="0.3">
      <c r="A35" s="4">
        <v>44083</v>
      </c>
      <c r="B35" s="6">
        <v>1</v>
      </c>
      <c r="C35">
        <v>8032091228.74963</v>
      </c>
      <c r="D35">
        <v>24074364.525271598</v>
      </c>
      <c r="E35">
        <v>90704.223683000004</v>
      </c>
      <c r="F35">
        <v>5856381.8268091204</v>
      </c>
      <c r="G35">
        <v>378011958.23416603</v>
      </c>
      <c r="H35">
        <v>589070930</v>
      </c>
      <c r="I35">
        <v>1739108.7919225299</v>
      </c>
      <c r="J35">
        <v>2338.2264850000001</v>
      </c>
      <c r="K35">
        <v>883155.19716800004</v>
      </c>
      <c r="L35">
        <v>140375516.91102701</v>
      </c>
      <c r="M35">
        <v>1323011673</v>
      </c>
      <c r="N35">
        <v>3905915.4257203499</v>
      </c>
      <c r="O35">
        <v>17262.800069000001</v>
      </c>
      <c r="P35">
        <v>150567.15101900001</v>
      </c>
      <c r="Q35">
        <v>4679702.0224580001</v>
      </c>
    </row>
    <row r="36" spans="1:17" x14ac:dyDescent="0.3">
      <c r="A36" s="4">
        <v>44082</v>
      </c>
      <c r="B36" s="6">
        <v>1</v>
      </c>
      <c r="C36">
        <v>8315982251.2062702</v>
      </c>
      <c r="D36">
        <v>23908764.539790399</v>
      </c>
      <c r="E36">
        <v>88357.142376000003</v>
      </c>
      <c r="F36">
        <v>5781164.2568543097</v>
      </c>
      <c r="G36">
        <v>365375387.13768297</v>
      </c>
      <c r="H36">
        <v>609393224</v>
      </c>
      <c r="I36">
        <v>1725837.5077881599</v>
      </c>
      <c r="J36">
        <v>2259.4313999999999</v>
      </c>
      <c r="K36">
        <v>852698.877385</v>
      </c>
      <c r="L36">
        <v>138515730.60759199</v>
      </c>
      <c r="M36">
        <v>1369199400</v>
      </c>
      <c r="N36">
        <v>3877653.3559897998</v>
      </c>
      <c r="O36">
        <v>16396.677108</v>
      </c>
      <c r="P36">
        <v>141240.32479000001</v>
      </c>
      <c r="Q36">
        <v>3316852.1237309999</v>
      </c>
    </row>
    <row r="37" spans="1:17" x14ac:dyDescent="0.3">
      <c r="A37" s="4">
        <v>44081</v>
      </c>
      <c r="B37" s="6">
        <v>1</v>
      </c>
      <c r="C37">
        <v>8242322227.2066603</v>
      </c>
      <c r="D37">
        <v>23519312.135785799</v>
      </c>
      <c r="E37">
        <v>88272.420968000006</v>
      </c>
      <c r="F37">
        <v>5944157.9182337197</v>
      </c>
      <c r="G37">
        <v>370608956.412884</v>
      </c>
      <c r="H37">
        <v>609579663</v>
      </c>
      <c r="I37">
        <v>1714421.37192035</v>
      </c>
      <c r="J37">
        <v>2259.4313999999999</v>
      </c>
      <c r="K37">
        <v>852698.877385</v>
      </c>
      <c r="L37">
        <v>138515730.60759199</v>
      </c>
      <c r="M37">
        <v>1385446939</v>
      </c>
      <c r="N37">
        <v>3896520.8094273801</v>
      </c>
      <c r="O37">
        <v>16396.677108</v>
      </c>
      <c r="P37">
        <v>141240.32479000001</v>
      </c>
      <c r="Q37">
        <v>3316852.1237309999</v>
      </c>
    </row>
    <row r="38" spans="1:17" x14ac:dyDescent="0.3">
      <c r="A38" s="4">
        <v>44080</v>
      </c>
      <c r="B38" s="6">
        <v>1</v>
      </c>
      <c r="C38">
        <v>7740856973.2575798</v>
      </c>
      <c r="D38">
        <v>23245336.932911102</v>
      </c>
      <c r="E38">
        <v>85577.249777000005</v>
      </c>
      <c r="F38">
        <v>5926536.9388555698</v>
      </c>
      <c r="G38">
        <v>385965482.33205903</v>
      </c>
      <c r="H38">
        <v>624970502</v>
      </c>
      <c r="I38">
        <v>1849517.6289544499</v>
      </c>
      <c r="J38">
        <v>2298.0730950000002</v>
      </c>
      <c r="K38">
        <v>828136.45522600005</v>
      </c>
      <c r="L38">
        <v>133232393.963328</v>
      </c>
      <c r="M38">
        <v>1327067253</v>
      </c>
      <c r="N38">
        <v>3927280.2018288798</v>
      </c>
      <c r="O38">
        <v>17704.888312999999</v>
      </c>
      <c r="P38">
        <v>80107.744225999995</v>
      </c>
      <c r="Q38">
        <v>2212291.3209759998</v>
      </c>
    </row>
    <row r="39" spans="1:17" x14ac:dyDescent="0.3">
      <c r="A39" s="4">
        <v>44079</v>
      </c>
      <c r="B39" s="6">
        <v>1</v>
      </c>
      <c r="C39">
        <v>9035324249.4992199</v>
      </c>
      <c r="D39">
        <v>23534459.175008301</v>
      </c>
      <c r="E39">
        <v>85837.337476999994</v>
      </c>
      <c r="F39">
        <v>5793059.1625391496</v>
      </c>
      <c r="G39">
        <v>385894979.01850802</v>
      </c>
      <c r="H39">
        <v>646469448</v>
      </c>
      <c r="I39">
        <v>1663543.00712796</v>
      </c>
      <c r="J39">
        <v>2298.0730950000002</v>
      </c>
      <c r="K39">
        <v>828136.45522600005</v>
      </c>
      <c r="L39">
        <v>133232393.963328</v>
      </c>
      <c r="M39">
        <v>1475397119</v>
      </c>
      <c r="N39">
        <v>3796601.01129667</v>
      </c>
      <c r="O39">
        <v>17704.888312999999</v>
      </c>
      <c r="P39">
        <v>80107.744225999995</v>
      </c>
      <c r="Q39">
        <v>2212291.3209759998</v>
      </c>
    </row>
    <row r="40" spans="1:17" x14ac:dyDescent="0.3">
      <c r="A40" s="4">
        <v>44078</v>
      </c>
      <c r="B40" s="6">
        <v>1</v>
      </c>
      <c r="C40">
        <v>8783888986.2652206</v>
      </c>
      <c r="D40">
        <v>22988670.429179002</v>
      </c>
      <c r="E40">
        <v>83350.529194999894</v>
      </c>
      <c r="F40">
        <v>5781503.1831181496</v>
      </c>
      <c r="G40">
        <v>449363240.04005897</v>
      </c>
      <c r="H40">
        <v>655979263</v>
      </c>
      <c r="I40">
        <v>1690886.1013017099</v>
      </c>
      <c r="J40">
        <v>1649.167682</v>
      </c>
      <c r="K40">
        <v>828301.65917899995</v>
      </c>
      <c r="L40">
        <v>136425938.36805499</v>
      </c>
      <c r="M40">
        <v>1383542678</v>
      </c>
      <c r="N40">
        <v>3566291.2179404502</v>
      </c>
      <c r="O40">
        <v>17569.511622999999</v>
      </c>
      <c r="P40">
        <v>56664.301105999999</v>
      </c>
      <c r="Q40">
        <v>3709900.4876290001</v>
      </c>
    </row>
    <row r="41" spans="1:17" x14ac:dyDescent="0.3">
      <c r="A41" s="4">
        <v>44077</v>
      </c>
      <c r="B41" s="6">
        <v>1</v>
      </c>
      <c r="C41">
        <v>9537133174.8493805</v>
      </c>
      <c r="D41">
        <v>21967624.503731899</v>
      </c>
      <c r="E41">
        <v>82827.921743999905</v>
      </c>
      <c r="F41">
        <v>5074259.0238346998</v>
      </c>
      <c r="G41">
        <v>438817008.83775401</v>
      </c>
      <c r="H41">
        <v>730576231</v>
      </c>
      <c r="I41">
        <v>1657424.6942988699</v>
      </c>
      <c r="J41">
        <v>1649.167682</v>
      </c>
      <c r="K41">
        <v>828301.65917899995</v>
      </c>
      <c r="L41">
        <v>136425938.36805499</v>
      </c>
      <c r="M41">
        <v>1513924291</v>
      </c>
      <c r="N41">
        <v>3434570.4099457702</v>
      </c>
      <c r="O41">
        <v>17569.511622999999</v>
      </c>
      <c r="P41">
        <v>56664.301105999999</v>
      </c>
      <c r="Q41">
        <v>3709900.4876290001</v>
      </c>
    </row>
    <row r="42" spans="1:17" x14ac:dyDescent="0.3">
      <c r="A42" s="4">
        <v>44076</v>
      </c>
      <c r="B42" s="6">
        <v>1</v>
      </c>
      <c r="C42">
        <v>9732925578.7590294</v>
      </c>
      <c r="D42">
        <v>20879877.445864499</v>
      </c>
      <c r="E42">
        <v>77272.483720999997</v>
      </c>
      <c r="F42">
        <v>5063340.4728165902</v>
      </c>
      <c r="G42">
        <v>431487492.96292698</v>
      </c>
      <c r="H42">
        <v>778292032</v>
      </c>
      <c r="I42">
        <v>1644221.04573782</v>
      </c>
      <c r="J42">
        <v>1137.8082730000001</v>
      </c>
      <c r="K42">
        <v>805399.81316699996</v>
      </c>
      <c r="L42">
        <v>146067271.373564</v>
      </c>
      <c r="M42">
        <v>1559508420</v>
      </c>
      <c r="N42">
        <v>3294620.0908418698</v>
      </c>
      <c r="O42">
        <v>17892.690218</v>
      </c>
      <c r="P42">
        <v>114396.986699</v>
      </c>
      <c r="Q42">
        <v>2912407.5973880002</v>
      </c>
    </row>
    <row r="43" spans="1:17" x14ac:dyDescent="0.3">
      <c r="A43" s="4">
        <v>44075</v>
      </c>
      <c r="B43" s="6">
        <v>1</v>
      </c>
      <c r="C43">
        <v>9659385859.2618408</v>
      </c>
      <c r="D43">
        <v>22591762.942653701</v>
      </c>
      <c r="E43">
        <v>77002.597773000001</v>
      </c>
      <c r="F43">
        <v>5115822.13548721</v>
      </c>
      <c r="G43">
        <v>442661628.13000602</v>
      </c>
      <c r="H43">
        <v>766735386</v>
      </c>
      <c r="I43">
        <v>1766549.2846116601</v>
      </c>
      <c r="J43">
        <v>1137.8082730000001</v>
      </c>
      <c r="K43">
        <v>805399.81316699996</v>
      </c>
      <c r="L43">
        <v>146067271.373564</v>
      </c>
      <c r="M43">
        <v>1519125624</v>
      </c>
      <c r="N43">
        <v>3500047.5174527098</v>
      </c>
      <c r="O43">
        <v>17892.690218</v>
      </c>
      <c r="P43">
        <v>114396.986699</v>
      </c>
      <c r="Q43">
        <v>2912407.5973880002</v>
      </c>
    </row>
    <row r="44" spans="1:17" x14ac:dyDescent="0.3">
      <c r="A44" s="4">
        <v>44074</v>
      </c>
      <c r="B44" s="6">
        <v>1</v>
      </c>
      <c r="C44">
        <v>9377941795.3967705</v>
      </c>
      <c r="D44">
        <v>22223397.170119401</v>
      </c>
      <c r="E44">
        <v>73593.619821</v>
      </c>
      <c r="F44">
        <v>5173547.2419814803</v>
      </c>
      <c r="G44">
        <v>439315245.805188</v>
      </c>
      <c r="H44">
        <v>784803313</v>
      </c>
      <c r="I44">
        <v>1830914.7839678901</v>
      </c>
      <c r="J44">
        <v>1169.848041</v>
      </c>
      <c r="K44">
        <v>796440.25633999996</v>
      </c>
      <c r="L44">
        <v>130007635.12401</v>
      </c>
      <c r="M44">
        <v>1696875150</v>
      </c>
      <c r="N44">
        <v>3958741.9512877902</v>
      </c>
      <c r="O44">
        <v>14869.897376000001</v>
      </c>
      <c r="P44">
        <v>145718.03998599999</v>
      </c>
      <c r="Q44">
        <v>3093894.6833509998</v>
      </c>
    </row>
    <row r="45" spans="1:17" x14ac:dyDescent="0.3">
      <c r="A45" s="4">
        <v>44073</v>
      </c>
      <c r="B45" s="6">
        <v>1</v>
      </c>
      <c r="C45">
        <v>8906001222.4972305</v>
      </c>
      <c r="D45">
        <v>22550338.8866749</v>
      </c>
      <c r="E45">
        <v>72549.453815999994</v>
      </c>
      <c r="F45">
        <v>5564187.8789731897</v>
      </c>
      <c r="G45">
        <v>496899755.540649</v>
      </c>
      <c r="H45">
        <v>792284738</v>
      </c>
      <c r="I45">
        <v>1973311.9252801901</v>
      </c>
      <c r="J45">
        <v>1175.9528780000001</v>
      </c>
      <c r="K45">
        <v>788978.88412900001</v>
      </c>
      <c r="L45">
        <v>141582833.88915101</v>
      </c>
      <c r="M45">
        <v>1662898429</v>
      </c>
      <c r="N45">
        <v>4141714.6425902802</v>
      </c>
      <c r="O45">
        <v>14955.835314</v>
      </c>
      <c r="P45">
        <v>64807.891603999997</v>
      </c>
      <c r="Q45">
        <v>3215053.565105</v>
      </c>
    </row>
    <row r="46" spans="1:17" x14ac:dyDescent="0.3">
      <c r="A46" s="4">
        <v>44072</v>
      </c>
      <c r="B46" s="6">
        <v>1</v>
      </c>
      <c r="C46">
        <v>8564002447.5954399</v>
      </c>
      <c r="D46">
        <v>21948787.9858924</v>
      </c>
      <c r="E46">
        <v>70321.486810000002</v>
      </c>
      <c r="F46">
        <v>5615924.7898580004</v>
      </c>
      <c r="G46">
        <v>494502397.72298503</v>
      </c>
      <c r="H46">
        <v>801701066</v>
      </c>
      <c r="I46">
        <v>2019652.5154301501</v>
      </c>
      <c r="J46">
        <v>1174.040602</v>
      </c>
      <c r="K46">
        <v>772058.80060199997</v>
      </c>
      <c r="L46">
        <v>134069449.056401</v>
      </c>
      <c r="M46">
        <v>1550517295</v>
      </c>
      <c r="N46">
        <v>3906077.0751983798</v>
      </c>
      <c r="O46">
        <v>14792.262833000001</v>
      </c>
      <c r="P46">
        <v>90628.612276999993</v>
      </c>
      <c r="Q46">
        <v>4534859.1787679996</v>
      </c>
    </row>
    <row r="47" spans="1:17" x14ac:dyDescent="0.3">
      <c r="A47" s="4">
        <v>44071</v>
      </c>
      <c r="B47" s="6">
        <v>1</v>
      </c>
      <c r="C47">
        <v>7341491035.7103701</v>
      </c>
      <c r="D47">
        <v>19471523.574253298</v>
      </c>
      <c r="E47">
        <v>67175.561497999995</v>
      </c>
      <c r="F47">
        <v>5007586.2687293403</v>
      </c>
      <c r="G47">
        <v>454385112.85078698</v>
      </c>
      <c r="H47">
        <v>758119048</v>
      </c>
      <c r="I47">
        <v>1972419.2111561999</v>
      </c>
      <c r="J47">
        <v>1098.1020100000001</v>
      </c>
      <c r="K47">
        <v>840737.31566700002</v>
      </c>
      <c r="L47">
        <v>144895832.74028</v>
      </c>
      <c r="M47">
        <v>1457799992</v>
      </c>
      <c r="N47">
        <v>3792798.3973358301</v>
      </c>
      <c r="O47">
        <v>13635.157519</v>
      </c>
      <c r="P47">
        <v>239147.16808999999</v>
      </c>
      <c r="Q47">
        <v>2256690.0551590002</v>
      </c>
    </row>
    <row r="48" spans="1:17" x14ac:dyDescent="0.3">
      <c r="A48" s="4">
        <v>44070</v>
      </c>
      <c r="B48" s="6">
        <v>1</v>
      </c>
      <c r="C48">
        <v>7489652581.0247498</v>
      </c>
      <c r="D48">
        <v>19644704.745239299</v>
      </c>
      <c r="E48">
        <v>63409.299896999997</v>
      </c>
      <c r="F48">
        <v>4848302.3515499597</v>
      </c>
      <c r="G48">
        <v>472680956.39241701</v>
      </c>
      <c r="H48">
        <v>798326845</v>
      </c>
      <c r="I48">
        <v>2054366.55944415</v>
      </c>
      <c r="J48">
        <v>909.349693</v>
      </c>
      <c r="K48">
        <v>726023.41906999995</v>
      </c>
      <c r="L48">
        <v>150008288.86789799</v>
      </c>
      <c r="M48">
        <v>1486505706</v>
      </c>
      <c r="N48">
        <v>3825284.8841996901</v>
      </c>
      <c r="O48">
        <v>12243.589717000001</v>
      </c>
      <c r="P48">
        <v>160491.07026099999</v>
      </c>
      <c r="Q48">
        <v>5219880.4983599996</v>
      </c>
    </row>
    <row r="49" spans="1:17" x14ac:dyDescent="0.3">
      <c r="A49" s="4">
        <v>44069</v>
      </c>
      <c r="B49" s="6">
        <v>1</v>
      </c>
      <c r="C49">
        <v>7112289089.29673</v>
      </c>
      <c r="D49">
        <v>18803182.4751346</v>
      </c>
      <c r="E49">
        <v>61368.482235000003</v>
      </c>
      <c r="F49">
        <v>6520212.8968963102</v>
      </c>
      <c r="G49">
        <v>560114739.23465097</v>
      </c>
      <c r="H49">
        <v>790522868</v>
      </c>
      <c r="I49">
        <v>2047562.3394115199</v>
      </c>
      <c r="J49">
        <v>1119.7117499999999</v>
      </c>
      <c r="K49">
        <v>745402.37216100004</v>
      </c>
      <c r="L49">
        <v>168358160.89573401</v>
      </c>
      <c r="M49">
        <v>1434993397</v>
      </c>
      <c r="N49">
        <v>3716829.1468089502</v>
      </c>
      <c r="O49">
        <v>9661.0501199999999</v>
      </c>
      <c r="P49">
        <v>185562.367046</v>
      </c>
      <c r="Q49">
        <v>17875831.176716</v>
      </c>
    </row>
    <row r="50" spans="1:17" x14ac:dyDescent="0.3">
      <c r="A50" s="4">
        <v>44068</v>
      </c>
      <c r="B50" s="6">
        <v>1</v>
      </c>
      <c r="C50">
        <v>7080549505.4539804</v>
      </c>
      <c r="D50">
        <v>17693550.357195199</v>
      </c>
      <c r="E50">
        <v>59737.157231999998</v>
      </c>
      <c r="F50">
        <v>6723870.34103096</v>
      </c>
      <c r="G50">
        <v>532812652.80303198</v>
      </c>
      <c r="H50">
        <v>821373287</v>
      </c>
      <c r="I50">
        <v>2009525.0941919</v>
      </c>
      <c r="J50">
        <v>1330.8882249999999</v>
      </c>
      <c r="K50">
        <v>832096.48592699994</v>
      </c>
      <c r="L50">
        <v>167778278.20408201</v>
      </c>
      <c r="M50">
        <v>1392333042</v>
      </c>
      <c r="N50">
        <v>3406402.7058765902</v>
      </c>
      <c r="O50">
        <v>9191.2850789999993</v>
      </c>
      <c r="P50">
        <v>149830.22651899999</v>
      </c>
      <c r="Q50">
        <v>8963190.5171680003</v>
      </c>
    </row>
    <row r="51" spans="1:17" x14ac:dyDescent="0.3">
      <c r="A51" s="4">
        <v>44067</v>
      </c>
      <c r="B51" s="6">
        <v>1</v>
      </c>
      <c r="C51">
        <v>6940006301.5135803</v>
      </c>
      <c r="D51">
        <v>18108955.682979099</v>
      </c>
      <c r="E51">
        <v>58686.381014999897</v>
      </c>
      <c r="F51">
        <v>6563406.2793126702</v>
      </c>
      <c r="G51">
        <v>589810790.17578995</v>
      </c>
      <c r="H51">
        <v>793142580</v>
      </c>
      <c r="I51">
        <v>2025803.48385778</v>
      </c>
      <c r="J51">
        <v>1310.800559</v>
      </c>
      <c r="K51">
        <v>843406.76745499996</v>
      </c>
      <c r="L51">
        <v>176794696.936609</v>
      </c>
      <c r="M51">
        <v>1334790891</v>
      </c>
      <c r="N51">
        <v>3409253.3995709</v>
      </c>
      <c r="O51">
        <v>8077.5168059999996</v>
      </c>
      <c r="P51">
        <v>118365.21030200001</v>
      </c>
      <c r="Q51">
        <v>3980416.5392410001</v>
      </c>
    </row>
    <row r="52" spans="1:17" x14ac:dyDescent="0.3">
      <c r="A52" s="4">
        <v>44066</v>
      </c>
      <c r="B52" s="6">
        <v>1</v>
      </c>
      <c r="C52">
        <v>6998169989.8790598</v>
      </c>
      <c r="D52">
        <v>18079817.312360901</v>
      </c>
      <c r="E52">
        <v>55727.480497999997</v>
      </c>
      <c r="F52">
        <v>6182687.3000785597</v>
      </c>
      <c r="G52">
        <v>596528774.54608405</v>
      </c>
      <c r="H52">
        <v>804180625</v>
      </c>
      <c r="I52">
        <v>2033635.00151729</v>
      </c>
      <c r="J52">
        <v>1158.2571820000001</v>
      </c>
      <c r="K52">
        <v>864981.69709200005</v>
      </c>
      <c r="L52">
        <v>189987106.38811699</v>
      </c>
      <c r="M52">
        <v>1368386578</v>
      </c>
      <c r="N52">
        <v>3460415.1780295302</v>
      </c>
      <c r="O52">
        <v>7847.4587670000001</v>
      </c>
      <c r="P52">
        <v>125878.692776</v>
      </c>
      <c r="Q52">
        <v>4906066.2106699999</v>
      </c>
    </row>
    <row r="53" spans="1:17" x14ac:dyDescent="0.3">
      <c r="A53" s="4">
        <v>44065</v>
      </c>
      <c r="B53" s="6">
        <v>1</v>
      </c>
      <c r="C53">
        <v>6719355069.2797699</v>
      </c>
      <c r="D53">
        <v>17681687.349987101</v>
      </c>
      <c r="E53">
        <v>52595.249797999997</v>
      </c>
      <c r="F53">
        <v>6843280.7261447599</v>
      </c>
      <c r="G53">
        <v>645436491.28976405</v>
      </c>
      <c r="H53">
        <v>781044278</v>
      </c>
      <c r="I53">
        <v>2011445.4751480799</v>
      </c>
      <c r="J53">
        <v>1046.6761590000001</v>
      </c>
      <c r="K53">
        <v>889425.10479000001</v>
      </c>
      <c r="L53">
        <v>188649197.93924999</v>
      </c>
      <c r="M53">
        <v>1285466878</v>
      </c>
      <c r="N53">
        <v>3310499.2995106801</v>
      </c>
      <c r="O53">
        <v>5458.7660720000003</v>
      </c>
      <c r="P53">
        <v>132732.85305100001</v>
      </c>
      <c r="Q53">
        <v>8705699.7488359995</v>
      </c>
    </row>
    <row r="54" spans="1:17" x14ac:dyDescent="0.3">
      <c r="A54" s="4">
        <v>44064</v>
      </c>
      <c r="B54" s="6">
        <v>1</v>
      </c>
      <c r="C54">
        <v>6957295876.3461304</v>
      </c>
      <c r="D54">
        <v>17084398.3005624</v>
      </c>
      <c r="E54">
        <v>51686.372828</v>
      </c>
      <c r="F54">
        <v>6633682.7824406</v>
      </c>
      <c r="G54">
        <v>652080685.92082202</v>
      </c>
      <c r="H54">
        <v>795222000</v>
      </c>
      <c r="I54">
        <v>1911499.44714196</v>
      </c>
      <c r="J54">
        <v>1050.9367219999999</v>
      </c>
      <c r="K54">
        <v>933047.26686800004</v>
      </c>
      <c r="L54">
        <v>197984058.38414401</v>
      </c>
      <c r="M54">
        <v>1286055831</v>
      </c>
      <c r="N54">
        <v>3091331.7412624299</v>
      </c>
      <c r="O54">
        <v>4782.458509</v>
      </c>
      <c r="P54">
        <v>158256.74802999999</v>
      </c>
      <c r="Q54">
        <v>10003536.502578</v>
      </c>
    </row>
    <row r="55" spans="1:17" x14ac:dyDescent="0.3">
      <c r="A55" s="4">
        <v>44063</v>
      </c>
      <c r="B55" s="6">
        <v>1</v>
      </c>
      <c r="C55">
        <v>6582572698.7983503</v>
      </c>
      <c r="D55">
        <v>16510199.1363023</v>
      </c>
      <c r="E55">
        <v>52180.965254000002</v>
      </c>
      <c r="F55">
        <v>6473864.2873873701</v>
      </c>
      <c r="G55">
        <v>627207283.415411</v>
      </c>
      <c r="H55">
        <v>720683210</v>
      </c>
      <c r="I55">
        <v>1768330.7814992</v>
      </c>
      <c r="J55">
        <v>752.75940200000002</v>
      </c>
      <c r="K55">
        <v>962283.53290899994</v>
      </c>
      <c r="L55">
        <v>206556915.69260699</v>
      </c>
      <c r="M55">
        <v>1206117122</v>
      </c>
      <c r="N55">
        <v>2959433.4977303399</v>
      </c>
      <c r="O55">
        <v>4947.8921319999999</v>
      </c>
      <c r="P55">
        <v>141910.817614</v>
      </c>
      <c r="Q55">
        <v>14754478.492629999</v>
      </c>
    </row>
    <row r="56" spans="1:17" x14ac:dyDescent="0.3">
      <c r="A56" s="4">
        <v>44062</v>
      </c>
      <c r="B56" s="6">
        <v>1</v>
      </c>
      <c r="C56">
        <v>6522562024.7669601</v>
      </c>
      <c r="D56">
        <v>15725317.5579175</v>
      </c>
      <c r="E56">
        <v>53028.853521999998</v>
      </c>
      <c r="F56">
        <v>6422616.2486481899</v>
      </c>
      <c r="G56">
        <v>625935187.78418899</v>
      </c>
      <c r="H56">
        <v>730170103</v>
      </c>
      <c r="I56">
        <v>1720841.1373759699</v>
      </c>
      <c r="J56">
        <v>802.80211499999996</v>
      </c>
      <c r="K56">
        <v>946744.00991300005</v>
      </c>
      <c r="L56">
        <v>204505488.59223601</v>
      </c>
      <c r="M56">
        <v>1125388225</v>
      </c>
      <c r="N56">
        <v>2652278.34602059</v>
      </c>
      <c r="O56">
        <v>4210.8481760000004</v>
      </c>
      <c r="P56">
        <v>202179.96987599999</v>
      </c>
      <c r="Q56">
        <v>17123971.885669999</v>
      </c>
    </row>
    <row r="57" spans="1:17" x14ac:dyDescent="0.3">
      <c r="A57" s="4">
        <v>44061</v>
      </c>
      <c r="B57" s="6">
        <v>1</v>
      </c>
      <c r="C57">
        <v>6530674886.3454199</v>
      </c>
      <c r="D57">
        <v>15485492.1413489</v>
      </c>
      <c r="E57">
        <v>53546.690979519903</v>
      </c>
      <c r="F57">
        <v>6028115.2398746898</v>
      </c>
      <c r="G57">
        <v>624173561.09414697</v>
      </c>
      <c r="H57">
        <v>748111988</v>
      </c>
      <c r="I57">
        <v>1735798.9466112901</v>
      </c>
      <c r="J57">
        <v>924.08880499999998</v>
      </c>
      <c r="K57">
        <v>938466.21088100004</v>
      </c>
      <c r="L57">
        <v>213883435.191697</v>
      </c>
      <c r="M57">
        <v>1134211703</v>
      </c>
      <c r="N57">
        <v>2631642.7364904</v>
      </c>
      <c r="O57">
        <v>4375.2508930000004</v>
      </c>
      <c r="P57">
        <v>201285.09003399999</v>
      </c>
      <c r="Q57">
        <v>17465391.845522001</v>
      </c>
    </row>
    <row r="58" spans="1:17" x14ac:dyDescent="0.3">
      <c r="A58" s="4">
        <v>44060</v>
      </c>
      <c r="B58" s="6">
        <v>1</v>
      </c>
      <c r="C58">
        <v>6355642626.4162102</v>
      </c>
      <c r="D58">
        <v>15158228.977790199</v>
      </c>
      <c r="E58">
        <v>51880.657910000002</v>
      </c>
      <c r="F58">
        <v>5510624.1606910704</v>
      </c>
      <c r="G58">
        <v>582796726.61307299</v>
      </c>
      <c r="H58">
        <v>766876676</v>
      </c>
      <c r="I58">
        <v>1790972.8765267699</v>
      </c>
      <c r="J58">
        <v>999.565428</v>
      </c>
      <c r="K58">
        <v>936817.51115799998</v>
      </c>
      <c r="L58">
        <v>207433648.35913301</v>
      </c>
      <c r="M58">
        <v>1079622064</v>
      </c>
      <c r="N58">
        <v>2521362.1616572002</v>
      </c>
      <c r="O58">
        <v>5550.4601540000003</v>
      </c>
      <c r="P58">
        <v>201310.24671899999</v>
      </c>
      <c r="Q58">
        <v>15149345.82722</v>
      </c>
    </row>
    <row r="59" spans="1:17" x14ac:dyDescent="0.3">
      <c r="A59" s="4">
        <v>44059</v>
      </c>
      <c r="B59" s="6">
        <v>1</v>
      </c>
      <c r="C59">
        <v>6020949671.7491302</v>
      </c>
      <c r="D59">
        <v>14269919.031061601</v>
      </c>
      <c r="E59">
        <v>43223.455720999897</v>
      </c>
      <c r="F59">
        <v>5152204.8994062403</v>
      </c>
      <c r="G59">
        <v>529973244.06655699</v>
      </c>
      <c r="H59">
        <v>742596237</v>
      </c>
      <c r="I59">
        <v>1721363.55354659</v>
      </c>
      <c r="J59">
        <v>973.777781</v>
      </c>
      <c r="K59">
        <v>930481.76854099997</v>
      </c>
      <c r="L59">
        <v>189316646.68619901</v>
      </c>
      <c r="M59">
        <v>1026677947</v>
      </c>
      <c r="N59">
        <v>2379874.7032916001</v>
      </c>
      <c r="O59">
        <v>5593.2216989999997</v>
      </c>
      <c r="P59">
        <v>181639.50051099999</v>
      </c>
      <c r="Q59">
        <v>4473126.8847549995</v>
      </c>
    </row>
    <row r="60" spans="1:17" x14ac:dyDescent="0.3">
      <c r="A60" s="4">
        <v>44058</v>
      </c>
      <c r="B60" s="6">
        <v>1</v>
      </c>
      <c r="C60">
        <v>5831779375.5348997</v>
      </c>
      <c r="D60">
        <v>13696501.4853417</v>
      </c>
      <c r="E60">
        <v>40513.826550999998</v>
      </c>
      <c r="F60">
        <v>5022363.4350021305</v>
      </c>
      <c r="G60">
        <v>570730617.421839</v>
      </c>
      <c r="H60">
        <v>791861598</v>
      </c>
      <c r="I60">
        <v>1817905.8242843</v>
      </c>
      <c r="J60">
        <v>954.42537500000003</v>
      </c>
      <c r="K60">
        <v>909698.22834599996</v>
      </c>
      <c r="L60">
        <v>216737718.43997499</v>
      </c>
      <c r="M60">
        <v>957475175</v>
      </c>
      <c r="N60">
        <v>2198111.0103537701</v>
      </c>
      <c r="O60">
        <v>5318.7380279999998</v>
      </c>
      <c r="P60">
        <v>170737.14669299999</v>
      </c>
      <c r="Q60">
        <v>20271498.549474999</v>
      </c>
    </row>
    <row r="61" spans="1:17" x14ac:dyDescent="0.3">
      <c r="A61" s="4">
        <v>44057</v>
      </c>
      <c r="B61" s="6">
        <v>1</v>
      </c>
      <c r="C61">
        <v>5053397290.4962397</v>
      </c>
      <c r="D61">
        <v>12312881.898884401</v>
      </c>
      <c r="E61">
        <v>37210.083251999997</v>
      </c>
      <c r="F61">
        <v>4692111.2079051901</v>
      </c>
      <c r="G61">
        <v>545365415.77151299</v>
      </c>
      <c r="H61">
        <v>911615582</v>
      </c>
      <c r="I61">
        <v>2163815.7654877701</v>
      </c>
      <c r="J61">
        <v>1099.9509760000001</v>
      </c>
      <c r="K61">
        <v>907012.10490200005</v>
      </c>
      <c r="L61">
        <v>215610347.33588099</v>
      </c>
      <c r="M61">
        <v>529581014</v>
      </c>
      <c r="N61">
        <v>1257016.4111084701</v>
      </c>
      <c r="O61">
        <v>5056.2547249999998</v>
      </c>
      <c r="P61">
        <v>156292.57503400001</v>
      </c>
      <c r="Q61">
        <v>22810379.974422999</v>
      </c>
    </row>
    <row r="62" spans="1:17" x14ac:dyDescent="0.3">
      <c r="A62" s="4">
        <v>44056</v>
      </c>
      <c r="B62" s="6">
        <v>1</v>
      </c>
      <c r="C62">
        <v>4783939365.9667797</v>
      </c>
      <c r="D62">
        <v>12665933.661859101</v>
      </c>
      <c r="E62">
        <v>36834.185579999998</v>
      </c>
      <c r="F62">
        <v>4643428.9915587101</v>
      </c>
      <c r="G62">
        <v>546616322.97906697</v>
      </c>
      <c r="H62">
        <v>827500814</v>
      </c>
      <c r="I62">
        <v>2134990.1029438302</v>
      </c>
      <c r="J62">
        <v>883.67109800000003</v>
      </c>
      <c r="K62">
        <v>899493.87971000001</v>
      </c>
      <c r="L62">
        <v>213271597.33427399</v>
      </c>
      <c r="M62">
        <v>543319762</v>
      </c>
      <c r="N62">
        <v>1401789.93782089</v>
      </c>
      <c r="O62">
        <v>6002.4802099999997</v>
      </c>
      <c r="P62">
        <v>170131.47156899999</v>
      </c>
      <c r="Q62">
        <v>30671586.893410001</v>
      </c>
    </row>
    <row r="63" spans="1:17" x14ac:dyDescent="0.3">
      <c r="A63" s="4">
        <v>44055</v>
      </c>
      <c r="B63" s="6">
        <v>1</v>
      </c>
      <c r="C63">
        <v>4742352836.2364798</v>
      </c>
      <c r="D63">
        <v>12818667.255914399</v>
      </c>
      <c r="E63">
        <v>36611.4089429999</v>
      </c>
      <c r="F63">
        <v>4609405.2737203902</v>
      </c>
      <c r="G63">
        <v>536661711.384615</v>
      </c>
      <c r="H63">
        <v>843228008</v>
      </c>
      <c r="I63">
        <v>2221476.3896938702</v>
      </c>
      <c r="J63">
        <v>888.43593599999997</v>
      </c>
      <c r="K63">
        <v>903823.05135199998</v>
      </c>
      <c r="L63">
        <v>212798614.07384399</v>
      </c>
      <c r="M63">
        <v>539574410</v>
      </c>
      <c r="N63">
        <v>1421503.7936666801</v>
      </c>
      <c r="O63">
        <v>5196.6212750000004</v>
      </c>
      <c r="P63">
        <v>156564.899947</v>
      </c>
      <c r="Q63">
        <v>29060698.872618001</v>
      </c>
    </row>
    <row r="64" spans="1:17" x14ac:dyDescent="0.3">
      <c r="A64" s="4">
        <v>44054</v>
      </c>
      <c r="B64" s="6">
        <v>1</v>
      </c>
      <c r="C64">
        <v>4868145062.9994602</v>
      </c>
      <c r="D64">
        <v>12603248.820790499</v>
      </c>
      <c r="E64">
        <v>36645.843745999999</v>
      </c>
      <c r="F64">
        <v>4560324.8580518104</v>
      </c>
      <c r="G64">
        <v>517474804.26105899</v>
      </c>
      <c r="H64">
        <v>856732327</v>
      </c>
      <c r="I64">
        <v>2167954.67128903</v>
      </c>
      <c r="J64">
        <v>676.32376299999999</v>
      </c>
      <c r="K64">
        <v>903009.97154900001</v>
      </c>
      <c r="L64">
        <v>198914219.798585</v>
      </c>
      <c r="M64">
        <v>545139060</v>
      </c>
      <c r="N64">
        <v>1379470.2667139</v>
      </c>
      <c r="O64">
        <v>3575.1662249999999</v>
      </c>
      <c r="P64">
        <v>144094.00907</v>
      </c>
      <c r="Q64">
        <v>27894504.284756001</v>
      </c>
    </row>
    <row r="65" spans="1:17" x14ac:dyDescent="0.3">
      <c r="A65" s="4">
        <v>44053</v>
      </c>
      <c r="B65" s="6">
        <v>1</v>
      </c>
      <c r="C65">
        <v>4702250346.8147802</v>
      </c>
      <c r="D65">
        <v>12266737.601970101</v>
      </c>
      <c r="E65">
        <v>34669.140159000002</v>
      </c>
      <c r="F65">
        <v>4432498.5697614998</v>
      </c>
      <c r="G65">
        <v>472218768.39618403</v>
      </c>
      <c r="H65">
        <v>810652463</v>
      </c>
      <c r="I65">
        <v>2079555.85398389</v>
      </c>
      <c r="J65">
        <v>695.57479599999999</v>
      </c>
      <c r="K65">
        <v>891734.789873</v>
      </c>
      <c r="L65">
        <v>195794879.526512</v>
      </c>
      <c r="M65">
        <v>586631413</v>
      </c>
      <c r="N65">
        <v>1504877.66918064</v>
      </c>
      <c r="O65">
        <v>4745.4627220000002</v>
      </c>
      <c r="P65">
        <v>132388.13925899999</v>
      </c>
      <c r="Q65">
        <v>25552363.108087</v>
      </c>
    </row>
    <row r="66" spans="1:17" x14ac:dyDescent="0.3">
      <c r="A66" s="4">
        <v>44052</v>
      </c>
      <c r="B66" s="6">
        <v>1</v>
      </c>
      <c r="C66">
        <v>4664131202.3321199</v>
      </c>
      <c r="D66">
        <v>12050263.223004</v>
      </c>
      <c r="E66">
        <v>34159.406023000003</v>
      </c>
      <c r="F66">
        <v>4430557.2534597795</v>
      </c>
      <c r="G66">
        <v>481691834.913302</v>
      </c>
      <c r="H66">
        <v>812632736</v>
      </c>
      <c r="I66">
        <v>2064248.57367846</v>
      </c>
      <c r="J66">
        <v>588.569839</v>
      </c>
      <c r="K66">
        <v>915092.56564799999</v>
      </c>
      <c r="L66">
        <v>207033583.211741</v>
      </c>
      <c r="M66">
        <v>565325669</v>
      </c>
      <c r="N66">
        <v>1436039.4975487001</v>
      </c>
      <c r="O66">
        <v>5921.6837880000003</v>
      </c>
      <c r="P66">
        <v>141155.620192</v>
      </c>
      <c r="Q66">
        <v>25596803.484469</v>
      </c>
    </row>
    <row r="67" spans="1:17" x14ac:dyDescent="0.3">
      <c r="A67" s="4">
        <v>44051</v>
      </c>
      <c r="B67" s="6">
        <v>1</v>
      </c>
      <c r="C67">
        <v>4517722011.5742197</v>
      </c>
      <c r="D67">
        <v>12117667.5673538</v>
      </c>
      <c r="E67">
        <v>32502.448602</v>
      </c>
      <c r="F67">
        <v>4443885.4493111698</v>
      </c>
      <c r="G67">
        <v>478047061.331873</v>
      </c>
      <c r="H67">
        <v>777264935</v>
      </c>
      <c r="I67">
        <v>2048992.8164707101</v>
      </c>
      <c r="J67">
        <v>2221.3545060000001</v>
      </c>
      <c r="K67">
        <v>950400.77510700002</v>
      </c>
      <c r="L67">
        <v>202948547.88126799</v>
      </c>
      <c r="M67">
        <v>523658486</v>
      </c>
      <c r="N67">
        <v>1380446.26456477</v>
      </c>
      <c r="O67">
        <v>1466.531508</v>
      </c>
      <c r="P67">
        <v>142674.28374000001</v>
      </c>
      <c r="Q67">
        <v>25211301.160473999</v>
      </c>
    </row>
    <row r="68" spans="1:17" x14ac:dyDescent="0.3">
      <c r="A68" s="4">
        <v>44050</v>
      </c>
      <c r="B68" s="6">
        <v>1</v>
      </c>
      <c r="C68">
        <v>4569155135.5358696</v>
      </c>
      <c r="D68">
        <v>11824625.38053</v>
      </c>
      <c r="E68">
        <v>31498.180319999999</v>
      </c>
      <c r="F68">
        <v>4456109.99237624</v>
      </c>
      <c r="G68">
        <v>460386650.16673201</v>
      </c>
      <c r="H68">
        <v>799813083</v>
      </c>
      <c r="I68">
        <v>2032406.8889284099</v>
      </c>
      <c r="J68">
        <v>349.61138299999999</v>
      </c>
      <c r="K68">
        <v>992826.74941299995</v>
      </c>
      <c r="L68">
        <v>196013155.52791399</v>
      </c>
      <c r="M68">
        <v>514119455</v>
      </c>
      <c r="N68">
        <v>1306430.14509694</v>
      </c>
      <c r="O68">
        <v>3110.2866549999999</v>
      </c>
      <c r="P68">
        <v>144210.53130900001</v>
      </c>
      <c r="Q68">
        <v>25164817.160741001</v>
      </c>
    </row>
    <row r="69" spans="1:17" x14ac:dyDescent="0.3">
      <c r="A69" s="4">
        <v>44049</v>
      </c>
      <c r="B69" s="6">
        <v>1</v>
      </c>
      <c r="C69">
        <v>4597474302.74891</v>
      </c>
      <c r="D69">
        <v>11728185.2515282</v>
      </c>
      <c r="E69">
        <v>28819.354750999999</v>
      </c>
      <c r="F69">
        <v>4567239.4397489699</v>
      </c>
      <c r="G69">
        <v>481106717.015818</v>
      </c>
      <c r="H69">
        <v>823322936</v>
      </c>
      <c r="I69">
        <v>2062638.88165146</v>
      </c>
      <c r="J69">
        <v>613.56667000000004</v>
      </c>
      <c r="K69">
        <v>1025205.358718</v>
      </c>
      <c r="L69">
        <v>201019437.143334</v>
      </c>
      <c r="M69">
        <v>481558886</v>
      </c>
      <c r="N69">
        <v>1206430.7195109699</v>
      </c>
      <c r="O69">
        <v>3625.8112219999998</v>
      </c>
      <c r="P69">
        <v>136093.306507</v>
      </c>
      <c r="Q69">
        <v>23677115.389329001</v>
      </c>
    </row>
    <row r="70" spans="1:17" x14ac:dyDescent="0.3">
      <c r="A70" s="4">
        <v>44048</v>
      </c>
      <c r="B70" s="6">
        <v>1</v>
      </c>
      <c r="C70">
        <v>4398654701.8455801</v>
      </c>
      <c r="D70">
        <v>11518241.245146099</v>
      </c>
      <c r="E70">
        <v>26658.155231000001</v>
      </c>
      <c r="F70">
        <v>4532398.28191364</v>
      </c>
      <c r="G70">
        <v>525580373.019122</v>
      </c>
      <c r="H70">
        <v>816928141</v>
      </c>
      <c r="I70">
        <v>2100774.4001851501</v>
      </c>
      <c r="J70">
        <v>804.97932000000003</v>
      </c>
      <c r="K70">
        <v>1012646.648577</v>
      </c>
      <c r="L70">
        <v>247468472.123027</v>
      </c>
      <c r="M70">
        <v>485981223</v>
      </c>
      <c r="N70">
        <v>1249726.7030112799</v>
      </c>
      <c r="O70">
        <v>2434.3405240000002</v>
      </c>
      <c r="P70">
        <v>125519.14876700001</v>
      </c>
      <c r="Q70">
        <v>1957532.1257269999</v>
      </c>
    </row>
    <row r="71" spans="1:17" x14ac:dyDescent="0.3">
      <c r="A71" s="4">
        <v>44047</v>
      </c>
      <c r="B71" s="6">
        <v>1</v>
      </c>
      <c r="C71">
        <v>4344557030.7208996</v>
      </c>
      <c r="D71">
        <v>11448413.017047299</v>
      </c>
      <c r="E71">
        <v>25994.7247399999</v>
      </c>
      <c r="F71">
        <v>4406575.3409222998</v>
      </c>
      <c r="G71">
        <v>525768844.90158999</v>
      </c>
      <c r="H71">
        <v>810050939</v>
      </c>
      <c r="I71">
        <v>2095483.19579894</v>
      </c>
      <c r="J71">
        <v>850.34545400000002</v>
      </c>
      <c r="K71">
        <v>955440.79605200002</v>
      </c>
      <c r="L71">
        <v>255621916.03128001</v>
      </c>
      <c r="M71">
        <v>481790719</v>
      </c>
      <c r="N71">
        <v>1246322.0606875799</v>
      </c>
      <c r="O71">
        <v>2803.3801100000001</v>
      </c>
      <c r="P71">
        <v>87803.436482000005</v>
      </c>
      <c r="Q71">
        <v>5329297.7295310004</v>
      </c>
    </row>
    <row r="72" spans="1:17" x14ac:dyDescent="0.3">
      <c r="A72" s="4">
        <v>44046</v>
      </c>
      <c r="B72" s="6">
        <v>1</v>
      </c>
      <c r="C72">
        <v>4229211556.8432698</v>
      </c>
      <c r="D72">
        <v>11595472.520049499</v>
      </c>
      <c r="E72">
        <v>25772.889563999899</v>
      </c>
      <c r="F72">
        <v>4475506.9933243897</v>
      </c>
      <c r="G72">
        <v>486309143.24900198</v>
      </c>
      <c r="H72">
        <v>751839481</v>
      </c>
      <c r="I72">
        <v>2023358.3104580401</v>
      </c>
      <c r="J72">
        <v>815.51240700000005</v>
      </c>
      <c r="K72">
        <v>998114.975661</v>
      </c>
      <c r="L72">
        <v>254608278.61091501</v>
      </c>
      <c r="M72">
        <v>532812563</v>
      </c>
      <c r="N72">
        <v>1433910.7675332299</v>
      </c>
      <c r="O72">
        <v>2779.9129979999998</v>
      </c>
      <c r="P72">
        <v>83387.036718999996</v>
      </c>
      <c r="Q72">
        <v>5953097.7842579996</v>
      </c>
    </row>
    <row r="73" spans="1:17" x14ac:dyDescent="0.3">
      <c r="A73" s="4">
        <v>44045</v>
      </c>
      <c r="B73" s="6">
        <v>1</v>
      </c>
      <c r="C73">
        <v>4251461792.1864901</v>
      </c>
      <c r="D73">
        <v>11209472.2875681</v>
      </c>
      <c r="E73">
        <v>24876.500550999899</v>
      </c>
      <c r="F73">
        <v>4460803.4499575105</v>
      </c>
      <c r="G73">
        <v>459240388.82206601</v>
      </c>
      <c r="H73">
        <v>762798800</v>
      </c>
      <c r="I73">
        <v>1971922.5499573399</v>
      </c>
      <c r="J73">
        <v>900.48366099999998</v>
      </c>
      <c r="K73">
        <v>967249.89818100003</v>
      </c>
      <c r="L73">
        <v>252137757.55324599</v>
      </c>
      <c r="M73">
        <v>493909415</v>
      </c>
      <c r="N73">
        <v>1276812.5920947101</v>
      </c>
      <c r="O73">
        <v>2810.6439879999998</v>
      </c>
      <c r="P73">
        <v>122249.10892699999</v>
      </c>
      <c r="Q73">
        <v>3264458.139525</v>
      </c>
    </row>
    <row r="74" spans="1:17" x14ac:dyDescent="0.3">
      <c r="A74" s="4">
        <v>44044</v>
      </c>
      <c r="B74" s="6">
        <v>1</v>
      </c>
      <c r="C74">
        <v>4046490232.8014202</v>
      </c>
      <c r="D74">
        <v>11914274.9473258</v>
      </c>
      <c r="E74">
        <v>21781.2764399999</v>
      </c>
      <c r="F74">
        <v>4453709.7702120803</v>
      </c>
      <c r="G74">
        <v>442544133.68202102</v>
      </c>
      <c r="H74">
        <v>698263732</v>
      </c>
      <c r="I74">
        <v>2015365.63627442</v>
      </c>
      <c r="J74">
        <v>828.93947500000002</v>
      </c>
      <c r="K74">
        <v>949316.46265600005</v>
      </c>
      <c r="L74">
        <v>213350711.27688101</v>
      </c>
      <c r="M74">
        <v>491379310</v>
      </c>
      <c r="N74">
        <v>1418244.89854821</v>
      </c>
      <c r="O74">
        <v>3616.194328</v>
      </c>
      <c r="P74">
        <v>118471.946102</v>
      </c>
      <c r="Q74">
        <v>5262005.8010860002</v>
      </c>
    </row>
    <row r="75" spans="1:17" x14ac:dyDescent="0.3">
      <c r="A75" s="4">
        <v>44043</v>
      </c>
      <c r="B75" s="6">
        <v>1</v>
      </c>
      <c r="C75">
        <v>3949737824.04916</v>
      </c>
      <c r="D75">
        <v>11938630.984905099</v>
      </c>
      <c r="E75">
        <v>21645.019550000001</v>
      </c>
      <c r="F75">
        <v>4396596.2477538101</v>
      </c>
      <c r="G75">
        <v>411720905.08043599</v>
      </c>
      <c r="H75">
        <v>738807260</v>
      </c>
      <c r="I75">
        <v>2208361.2613959</v>
      </c>
      <c r="J75">
        <v>1617.6173570000001</v>
      </c>
      <c r="K75">
        <v>958363.67700200004</v>
      </c>
      <c r="L75">
        <v>213804250.05504599</v>
      </c>
      <c r="M75">
        <v>461063179</v>
      </c>
      <c r="N75">
        <v>1378159.25571663</v>
      </c>
      <c r="O75">
        <v>3637.062934</v>
      </c>
      <c r="P75">
        <v>112063.94934200001</v>
      </c>
      <c r="Q75">
        <v>3859582.8573019998</v>
      </c>
    </row>
    <row r="76" spans="1:17" x14ac:dyDescent="0.3">
      <c r="A76" s="4">
        <v>44042</v>
      </c>
      <c r="B76" s="6">
        <v>1</v>
      </c>
      <c r="C76">
        <v>3836686905.7996702</v>
      </c>
      <c r="D76">
        <v>12178889.957620399</v>
      </c>
      <c r="E76">
        <v>21585.346503000001</v>
      </c>
      <c r="F76">
        <v>4373150.4992771205</v>
      </c>
      <c r="G76">
        <v>422408141.81417602</v>
      </c>
      <c r="H76">
        <v>773225338</v>
      </c>
      <c r="I76">
        <v>2427328.0113011999</v>
      </c>
      <c r="J76">
        <v>1615.3536059999999</v>
      </c>
      <c r="K76">
        <v>966963.47894499998</v>
      </c>
      <c r="L76">
        <v>212832819.66780901</v>
      </c>
      <c r="M76">
        <v>419934730</v>
      </c>
      <c r="N76">
        <v>1318269.4396484001</v>
      </c>
      <c r="O76">
        <v>3579.9922329999999</v>
      </c>
      <c r="P76">
        <v>108446.597127</v>
      </c>
      <c r="Q76">
        <v>4145800.5482339999</v>
      </c>
    </row>
    <row r="77" spans="1:17" x14ac:dyDescent="0.3">
      <c r="A77" s="4">
        <v>44041</v>
      </c>
      <c r="B77" s="6">
        <v>1</v>
      </c>
      <c r="C77">
        <v>3729049156.4832301</v>
      </c>
      <c r="D77">
        <v>11929313.4415235</v>
      </c>
      <c r="E77">
        <v>21357.659889999999</v>
      </c>
      <c r="F77">
        <v>4259670.8342897901</v>
      </c>
      <c r="G77">
        <v>420417694.609483</v>
      </c>
      <c r="H77">
        <v>790473582</v>
      </c>
      <c r="I77">
        <v>2500628.20537154</v>
      </c>
      <c r="J77">
        <v>1796.2129789999999</v>
      </c>
      <c r="K77">
        <v>984794.51845700003</v>
      </c>
      <c r="L77">
        <v>201428023.041529</v>
      </c>
      <c r="M77">
        <v>388463195</v>
      </c>
      <c r="N77">
        <v>1228886.1314099501</v>
      </c>
      <c r="O77">
        <v>2506.445796</v>
      </c>
      <c r="P77">
        <v>85897.624834000002</v>
      </c>
      <c r="Q77">
        <v>3298308.693951</v>
      </c>
    </row>
    <row r="78" spans="1:17" x14ac:dyDescent="0.3">
      <c r="A78" s="4">
        <v>44040</v>
      </c>
      <c r="B78" s="6">
        <v>1</v>
      </c>
      <c r="C78">
        <v>3646502003.7637501</v>
      </c>
      <c r="D78">
        <v>11508872.0280811</v>
      </c>
      <c r="E78">
        <v>20297.299447000001</v>
      </c>
      <c r="F78">
        <v>4237240.11811997</v>
      </c>
      <c r="G78">
        <v>423936698.74813902</v>
      </c>
      <c r="H78">
        <v>782608208</v>
      </c>
      <c r="I78">
        <v>2441835.28237129</v>
      </c>
      <c r="J78">
        <v>1919.7016839999999</v>
      </c>
      <c r="K78">
        <v>979986.43648999999</v>
      </c>
      <c r="L78">
        <v>217284716.69459799</v>
      </c>
      <c r="M78">
        <v>373483979</v>
      </c>
      <c r="N78">
        <v>1165316.6271450799</v>
      </c>
      <c r="O78">
        <v>2507.442982</v>
      </c>
      <c r="P78">
        <v>84449.194824999999</v>
      </c>
      <c r="Q78">
        <v>4070822.635665</v>
      </c>
    </row>
    <row r="79" spans="1:17" x14ac:dyDescent="0.3">
      <c r="A79" s="4">
        <v>44039</v>
      </c>
      <c r="B79" s="6">
        <v>1</v>
      </c>
      <c r="C79">
        <v>3689061232.8194499</v>
      </c>
      <c r="D79">
        <v>12022778.3863995</v>
      </c>
      <c r="E79">
        <v>19395.187689389899</v>
      </c>
      <c r="F79">
        <v>4194246.9008001802</v>
      </c>
      <c r="G79">
        <v>414841813.248501</v>
      </c>
      <c r="H79">
        <v>722414009</v>
      </c>
      <c r="I79">
        <v>2330442.9465466598</v>
      </c>
      <c r="J79">
        <v>1925.685792</v>
      </c>
      <c r="K79">
        <v>986114.38373500004</v>
      </c>
      <c r="L79">
        <v>219157827.417438</v>
      </c>
      <c r="M79">
        <v>468353814</v>
      </c>
      <c r="N79">
        <v>1510867.4924997501</v>
      </c>
      <c r="O79">
        <v>2525.9019899999998</v>
      </c>
      <c r="P79">
        <v>84434.111430999998</v>
      </c>
      <c r="Q79">
        <v>4741011.1333990004</v>
      </c>
    </row>
    <row r="80" spans="1:17" x14ac:dyDescent="0.3">
      <c r="A80" s="4">
        <v>44038</v>
      </c>
      <c r="B80" s="6">
        <v>1</v>
      </c>
      <c r="C80">
        <v>3718037825.5095301</v>
      </c>
      <c r="D80">
        <v>12442200.5798734</v>
      </c>
      <c r="E80">
        <v>19085.896055519999</v>
      </c>
      <c r="F80">
        <v>4177294.92019141</v>
      </c>
      <c r="G80">
        <v>370435735.23316503</v>
      </c>
      <c r="H80">
        <v>587882207</v>
      </c>
      <c r="I80">
        <v>1947984.3831803501</v>
      </c>
      <c r="J80">
        <v>1931.629052</v>
      </c>
      <c r="K80">
        <v>978528.94616699999</v>
      </c>
      <c r="L80">
        <v>218705691.726583</v>
      </c>
      <c r="M80">
        <v>608994196</v>
      </c>
      <c r="N80">
        <v>2017940.2763511001</v>
      </c>
      <c r="O80">
        <v>2475.1082200000001</v>
      </c>
      <c r="P80">
        <v>82480.054963999995</v>
      </c>
      <c r="Q80">
        <v>6066464.417568</v>
      </c>
    </row>
    <row r="81" spans="1:17" x14ac:dyDescent="0.3">
      <c r="A81" s="4">
        <v>44037</v>
      </c>
      <c r="B81" s="6">
        <v>1</v>
      </c>
      <c r="C81">
        <v>3588570203.3491702</v>
      </c>
      <c r="D81">
        <v>13035188.971989401</v>
      </c>
      <c r="E81">
        <v>18870.088150949901</v>
      </c>
      <c r="F81">
        <v>4203530.30300094</v>
      </c>
      <c r="G81">
        <v>292934219.58768898</v>
      </c>
      <c r="H81">
        <v>583535177</v>
      </c>
      <c r="I81">
        <v>2098217.1694653099</v>
      </c>
      <c r="J81">
        <v>1946.1951690000001</v>
      </c>
      <c r="K81">
        <v>1029671.96626</v>
      </c>
      <c r="L81">
        <v>173692900.54515299</v>
      </c>
      <c r="M81">
        <v>557774994</v>
      </c>
      <c r="N81">
        <v>2005591.2912157001</v>
      </c>
      <c r="O81">
        <v>2832.2653260000002</v>
      </c>
      <c r="P81">
        <v>80904.966652000003</v>
      </c>
      <c r="Q81">
        <v>4607616.3633059999</v>
      </c>
    </row>
    <row r="82" spans="1:17" x14ac:dyDescent="0.3">
      <c r="A82" s="4">
        <v>44036</v>
      </c>
      <c r="B82" s="6">
        <v>1</v>
      </c>
      <c r="C82">
        <v>3542209544.2534499</v>
      </c>
      <c r="D82">
        <v>13043264.2167401</v>
      </c>
      <c r="E82">
        <v>18928.2065980999</v>
      </c>
      <c r="F82">
        <v>4096226.4598303498</v>
      </c>
      <c r="G82">
        <v>285838872.65364701</v>
      </c>
      <c r="H82">
        <v>557842795</v>
      </c>
      <c r="I82">
        <v>2032732.5547498399</v>
      </c>
      <c r="J82">
        <v>1983.1253630000001</v>
      </c>
      <c r="K82">
        <v>1003325.357437</v>
      </c>
      <c r="L82">
        <v>151546577.898983</v>
      </c>
      <c r="M82">
        <v>582086293</v>
      </c>
      <c r="N82">
        <v>2121073.8366796598</v>
      </c>
      <c r="O82">
        <v>2834.5684670000001</v>
      </c>
      <c r="P82">
        <v>79894.738326999999</v>
      </c>
      <c r="Q82">
        <v>3059323.3691489999</v>
      </c>
    </row>
    <row r="83" spans="1:17" x14ac:dyDescent="0.3">
      <c r="A83" s="4">
        <v>44035</v>
      </c>
      <c r="B83" s="6">
        <v>1</v>
      </c>
      <c r="C83">
        <v>3344262537.6683798</v>
      </c>
      <c r="D83">
        <v>12885961.029663701</v>
      </c>
      <c r="E83">
        <v>18917.753579999899</v>
      </c>
      <c r="F83">
        <v>3949698.28909908</v>
      </c>
      <c r="G83">
        <v>290013599.79897898</v>
      </c>
      <c r="H83">
        <v>572424967</v>
      </c>
      <c r="I83">
        <v>2179753.1205970799</v>
      </c>
      <c r="J83">
        <v>1947.6487159999999</v>
      </c>
      <c r="K83">
        <v>952898.57344399998</v>
      </c>
      <c r="L83">
        <v>171232362.009168</v>
      </c>
      <c r="M83">
        <v>519869544</v>
      </c>
      <c r="N83">
        <v>1979625.84821598</v>
      </c>
      <c r="O83">
        <v>2833.687617</v>
      </c>
      <c r="P83">
        <v>77956.204014999996</v>
      </c>
      <c r="Q83">
        <v>2521784.2567039998</v>
      </c>
    </row>
    <row r="84" spans="1:17" x14ac:dyDescent="0.3">
      <c r="A84" s="4">
        <v>44034</v>
      </c>
      <c r="B84" s="6">
        <v>1</v>
      </c>
      <c r="C84">
        <v>3087100018.5798402</v>
      </c>
      <c r="D84">
        <v>12769320.658389101</v>
      </c>
      <c r="E84">
        <v>18906.346643999899</v>
      </c>
      <c r="F84">
        <v>3822552.0448956601</v>
      </c>
      <c r="G84">
        <v>283755383.731098</v>
      </c>
      <c r="H84">
        <v>571497569</v>
      </c>
      <c r="I84">
        <v>2334167.4930566899</v>
      </c>
      <c r="J84">
        <v>5026.8451260000002</v>
      </c>
      <c r="K84">
        <v>982085.74023200001</v>
      </c>
      <c r="L84">
        <v>143362340.85153499</v>
      </c>
      <c r="M84">
        <v>483341145</v>
      </c>
      <c r="N84">
        <v>1974110.21483417</v>
      </c>
      <c r="O84">
        <v>2864.4754440000002</v>
      </c>
      <c r="P84">
        <v>76624.139018999995</v>
      </c>
      <c r="Q84">
        <v>1291238.1309779999</v>
      </c>
    </row>
    <row r="85" spans="1:17" x14ac:dyDescent="0.3">
      <c r="A85" s="4">
        <v>44033</v>
      </c>
      <c r="B85" s="6">
        <v>1</v>
      </c>
      <c r="C85">
        <v>2984910497.4002199</v>
      </c>
      <c r="D85">
        <v>12780670.519864701</v>
      </c>
      <c r="E85">
        <v>19099.267816999902</v>
      </c>
      <c r="F85">
        <v>3749768.0132697099</v>
      </c>
      <c r="G85">
        <v>272319718.329575</v>
      </c>
      <c r="H85">
        <v>579165401</v>
      </c>
      <c r="I85">
        <v>2447867.2907861299</v>
      </c>
      <c r="J85">
        <v>4488.744369</v>
      </c>
      <c r="K85">
        <v>930922.14698600001</v>
      </c>
      <c r="L85">
        <v>153313989.35425499</v>
      </c>
      <c r="M85">
        <v>428285452</v>
      </c>
      <c r="N85">
        <v>1810166.7455621299</v>
      </c>
      <c r="O85">
        <v>2819.4842239999998</v>
      </c>
      <c r="P85">
        <v>70566.5484</v>
      </c>
      <c r="Q85">
        <v>1135594.0708039999</v>
      </c>
    </row>
    <row r="86" spans="1:17" x14ac:dyDescent="0.3">
      <c r="A86" s="4">
        <v>44032</v>
      </c>
      <c r="B86" s="6">
        <v>1</v>
      </c>
      <c r="C86">
        <v>2892777333.2586002</v>
      </c>
      <c r="D86">
        <v>12313100.453609901</v>
      </c>
      <c r="E86">
        <v>19227.991179000001</v>
      </c>
      <c r="F86">
        <v>3721685.6018923498</v>
      </c>
      <c r="G86">
        <v>265327412.82954699</v>
      </c>
      <c r="H86">
        <v>638260228</v>
      </c>
      <c r="I86">
        <v>2680751.93414255</v>
      </c>
      <c r="J86">
        <v>3960.3257629999998</v>
      </c>
      <c r="K86">
        <v>907885.02043000003</v>
      </c>
      <c r="L86">
        <v>162057077.62421799</v>
      </c>
      <c r="M86">
        <v>359688284</v>
      </c>
      <c r="N86">
        <v>1510724.0287286299</v>
      </c>
      <c r="O86">
        <v>2778.759908</v>
      </c>
      <c r="P86">
        <v>70247.118388999996</v>
      </c>
      <c r="Q86">
        <v>1019787.281691</v>
      </c>
    </row>
    <row r="87" spans="1:17" x14ac:dyDescent="0.3">
      <c r="A87" s="4">
        <v>44031</v>
      </c>
      <c r="B87" s="6">
        <v>1</v>
      </c>
      <c r="C87">
        <v>2748925809.2220502</v>
      </c>
      <c r="D87">
        <v>11799674.034879699</v>
      </c>
      <c r="E87">
        <v>19615.569924999902</v>
      </c>
      <c r="F87">
        <v>3700228.7920967001</v>
      </c>
      <c r="G87">
        <v>270161375.794191</v>
      </c>
      <c r="H87">
        <v>676549036</v>
      </c>
      <c r="I87">
        <v>2863820.8432102902</v>
      </c>
      <c r="J87">
        <v>3755.1633459999998</v>
      </c>
      <c r="K87">
        <v>910045.72840300004</v>
      </c>
      <c r="L87">
        <v>149096258.172593</v>
      </c>
      <c r="M87">
        <v>247835840</v>
      </c>
      <c r="N87">
        <v>1049084.9983067999</v>
      </c>
      <c r="O87">
        <v>2920.0192820000002</v>
      </c>
      <c r="P87">
        <v>68129.173072999998</v>
      </c>
      <c r="Q87">
        <v>2171803.822681</v>
      </c>
    </row>
    <row r="88" spans="1:17" x14ac:dyDescent="0.3">
      <c r="A88" s="4">
        <v>44030</v>
      </c>
      <c r="B88" s="6">
        <v>1</v>
      </c>
      <c r="C88">
        <v>2671140388.8291702</v>
      </c>
      <c r="D88">
        <v>11689185.095552299</v>
      </c>
      <c r="E88">
        <v>19692.284161</v>
      </c>
      <c r="F88">
        <v>3680581.8339264099</v>
      </c>
      <c r="G88">
        <v>267719693.18217599</v>
      </c>
      <c r="H88">
        <v>693262631</v>
      </c>
      <c r="I88">
        <v>2990650.2351063299</v>
      </c>
      <c r="J88">
        <v>1649.907944</v>
      </c>
      <c r="K88">
        <v>894269.34514300001</v>
      </c>
      <c r="L88">
        <v>138805088.856594</v>
      </c>
      <c r="M88">
        <v>234886357</v>
      </c>
      <c r="N88">
        <v>1013271.02799706</v>
      </c>
      <c r="O88">
        <v>5433.8931659999998</v>
      </c>
      <c r="P88">
        <v>64944.747519999997</v>
      </c>
      <c r="Q88">
        <v>4401287.7459709998</v>
      </c>
    </row>
    <row r="89" spans="1:17" x14ac:dyDescent="0.3">
      <c r="A89" s="4">
        <v>44029</v>
      </c>
      <c r="B89" s="6">
        <v>1</v>
      </c>
      <c r="C89">
        <v>2655118976.1162801</v>
      </c>
      <c r="D89">
        <v>11477791.316944299</v>
      </c>
      <c r="E89">
        <v>19487.055815</v>
      </c>
      <c r="F89">
        <v>3657032.32933664</v>
      </c>
      <c r="G89">
        <v>217069902.898507</v>
      </c>
      <c r="H89">
        <v>697836791</v>
      </c>
      <c r="I89">
        <v>2973187.2992203101</v>
      </c>
      <c r="J89">
        <v>1775.5757160000001</v>
      </c>
      <c r="K89">
        <v>890782.972374</v>
      </c>
      <c r="L89">
        <v>86842011.154104993</v>
      </c>
      <c r="M89">
        <v>227358205</v>
      </c>
      <c r="N89">
        <v>968677.112180989</v>
      </c>
      <c r="O89">
        <v>5483.9998480000004</v>
      </c>
      <c r="P89">
        <v>62800.481428999999</v>
      </c>
      <c r="Q89">
        <v>20794156.758257002</v>
      </c>
    </row>
    <row r="90" spans="1:17" x14ac:dyDescent="0.3">
      <c r="A90" s="4">
        <v>44028</v>
      </c>
      <c r="B90" s="6">
        <v>1</v>
      </c>
      <c r="C90">
        <v>2644306553.9675002</v>
      </c>
      <c r="D90">
        <v>11240916.5270213</v>
      </c>
      <c r="E90">
        <v>19516.740511999898</v>
      </c>
      <c r="F90">
        <v>3730462.86532509</v>
      </c>
      <c r="G90">
        <v>279545729.58660001</v>
      </c>
      <c r="H90">
        <v>697701897</v>
      </c>
      <c r="I90">
        <v>2922923.74109761</v>
      </c>
      <c r="J90">
        <v>1821.7368839999999</v>
      </c>
      <c r="K90">
        <v>972911.24508300005</v>
      </c>
      <c r="L90">
        <v>44730387.408506997</v>
      </c>
      <c r="M90">
        <v>217043057</v>
      </c>
      <c r="N90">
        <v>909271.29032258003</v>
      </c>
      <c r="O90">
        <v>5829.0613739999999</v>
      </c>
      <c r="P90">
        <v>60065.160000999997</v>
      </c>
      <c r="Q90">
        <v>1502433.574091</v>
      </c>
    </row>
    <row r="91" spans="1:17" x14ac:dyDescent="0.3">
      <c r="A91" s="4">
        <v>44027</v>
      </c>
      <c r="B91" s="6">
        <v>1</v>
      </c>
      <c r="C91">
        <v>2607375869.24998</v>
      </c>
      <c r="D91">
        <v>11012776.1692743</v>
      </c>
      <c r="E91">
        <v>19377.617630000001</v>
      </c>
      <c r="F91">
        <v>3707394.6820771499</v>
      </c>
      <c r="G91">
        <v>259864625.64232299</v>
      </c>
      <c r="H91">
        <v>702342854</v>
      </c>
      <c r="I91">
        <v>2922531.8492010599</v>
      </c>
      <c r="J91">
        <v>1855.9375230000001</v>
      </c>
      <c r="K91">
        <v>953789.28677600005</v>
      </c>
      <c r="L91">
        <v>30813067.984441999</v>
      </c>
      <c r="M91">
        <v>206287271</v>
      </c>
      <c r="N91">
        <v>858385.78145805595</v>
      </c>
      <c r="O91">
        <v>5625.2158799999997</v>
      </c>
      <c r="P91">
        <v>57692.274685999997</v>
      </c>
      <c r="Q91">
        <v>1955076.431173</v>
      </c>
    </row>
    <row r="92" spans="1:17" x14ac:dyDescent="0.3">
      <c r="A92" s="4">
        <v>44026</v>
      </c>
      <c r="B92" s="6">
        <v>1</v>
      </c>
      <c r="C92">
        <v>2540578332.2503099</v>
      </c>
      <c r="D92">
        <v>10779073.415823</v>
      </c>
      <c r="E92">
        <v>18468.604393000001</v>
      </c>
      <c r="F92">
        <v>3713155.0793324099</v>
      </c>
      <c r="G92">
        <v>218994089.60523999</v>
      </c>
      <c r="H92">
        <v>690522079</v>
      </c>
      <c r="I92">
        <v>2876815.72720076</v>
      </c>
      <c r="J92">
        <v>1842.3561070000001</v>
      </c>
      <c r="K92">
        <v>971940.41512799996</v>
      </c>
      <c r="L92">
        <v>29328630.5279749</v>
      </c>
      <c r="M92">
        <v>183518244</v>
      </c>
      <c r="N92">
        <v>764563.77952755895</v>
      </c>
      <c r="O92">
        <v>4006.4580890000002</v>
      </c>
      <c r="P92">
        <v>46847.688581000002</v>
      </c>
      <c r="Q92">
        <v>783901.96672799997</v>
      </c>
    </row>
    <row r="93" spans="1:17" x14ac:dyDescent="0.3">
      <c r="A93" s="4">
        <v>44025</v>
      </c>
      <c r="B93" s="6">
        <v>1</v>
      </c>
      <c r="C93">
        <v>2552206924.0214801</v>
      </c>
      <c r="D93">
        <v>10725777.044985499</v>
      </c>
      <c r="E93">
        <v>16935.629509999999</v>
      </c>
      <c r="F93">
        <v>3765418.2636061502</v>
      </c>
      <c r="G93">
        <v>202198660.58195499</v>
      </c>
      <c r="H93">
        <v>698960570</v>
      </c>
      <c r="I93">
        <v>2884690.7552620699</v>
      </c>
      <c r="J93">
        <v>1828.39615</v>
      </c>
      <c r="K93">
        <v>1043204.513968</v>
      </c>
      <c r="L93">
        <v>35848809.319900997</v>
      </c>
      <c r="M93">
        <v>191894091</v>
      </c>
      <c r="N93">
        <v>791969.00949236401</v>
      </c>
      <c r="O93">
        <v>2723.6130520000002</v>
      </c>
      <c r="P93">
        <v>47498.769076999997</v>
      </c>
      <c r="Q93">
        <v>3692209.713457</v>
      </c>
    </row>
    <row r="94" spans="1:17" x14ac:dyDescent="0.3">
      <c r="A94" s="4">
        <v>44024</v>
      </c>
      <c r="B94" s="6">
        <v>1</v>
      </c>
      <c r="C94">
        <v>2546396926.3684602</v>
      </c>
      <c r="D94">
        <v>10822274.682804599</v>
      </c>
      <c r="E94">
        <v>16421.297822</v>
      </c>
      <c r="F94">
        <v>3799753.6138804802</v>
      </c>
      <c r="G94">
        <v>213816131.20013499</v>
      </c>
      <c r="H94">
        <v>689408365</v>
      </c>
      <c r="I94">
        <v>2877330.4048414002</v>
      </c>
      <c r="J94">
        <v>1823.670488</v>
      </c>
      <c r="K94">
        <v>1027214.732526</v>
      </c>
      <c r="L94">
        <v>43005239.970430002</v>
      </c>
      <c r="M94">
        <v>178242725</v>
      </c>
      <c r="N94">
        <v>743917.883973288</v>
      </c>
      <c r="O94">
        <v>2657.6433820000002</v>
      </c>
      <c r="P94">
        <v>45593.295322999998</v>
      </c>
      <c r="Q94">
        <v>4948649.1824740004</v>
      </c>
    </row>
    <row r="95" spans="1:17" x14ac:dyDescent="0.3">
      <c r="A95" s="4">
        <v>44023</v>
      </c>
      <c r="B95" s="6">
        <v>1</v>
      </c>
      <c r="C95">
        <v>2482784076.4877</v>
      </c>
      <c r="D95">
        <v>10478069.861651801</v>
      </c>
      <c r="E95">
        <v>16320.535121999999</v>
      </c>
      <c r="F95">
        <v>3667208.3035882898</v>
      </c>
      <c r="G95">
        <v>197043762.36976501</v>
      </c>
      <c r="H95">
        <v>677107837</v>
      </c>
      <c r="I95">
        <v>2804688.2486952199</v>
      </c>
      <c r="J95">
        <v>1836.4361739999999</v>
      </c>
      <c r="K95">
        <v>959841.98266099999</v>
      </c>
      <c r="L95">
        <v>63885658.105869003</v>
      </c>
      <c r="M95">
        <v>161301915</v>
      </c>
      <c r="N95">
        <v>668138.16170988302</v>
      </c>
      <c r="O95">
        <v>2541.6137229999999</v>
      </c>
      <c r="P95">
        <v>41621.053395000003</v>
      </c>
      <c r="Q95">
        <v>2403294.7496770001</v>
      </c>
    </row>
    <row r="96" spans="1:17" x14ac:dyDescent="0.3">
      <c r="A96" s="4">
        <v>44022</v>
      </c>
      <c r="B96" s="6">
        <v>1</v>
      </c>
      <c r="C96">
        <v>2454438493.0889001</v>
      </c>
      <c r="D96">
        <v>10333040.231357099</v>
      </c>
      <c r="E96">
        <v>15856.006058999999</v>
      </c>
      <c r="F96">
        <v>3588009.7049766099</v>
      </c>
      <c r="G96">
        <v>185213296.73592299</v>
      </c>
      <c r="H96">
        <v>661907971</v>
      </c>
      <c r="I96">
        <v>2734591.9066308602</v>
      </c>
      <c r="J96">
        <v>1833.785674</v>
      </c>
      <c r="K96">
        <v>920658.51532999997</v>
      </c>
      <c r="L96">
        <v>87779375.905993</v>
      </c>
      <c r="M96">
        <v>153636496</v>
      </c>
      <c r="N96">
        <v>634730.41107209201</v>
      </c>
      <c r="O96">
        <v>2013.0906170000001</v>
      </c>
      <c r="P96">
        <v>30588.229801000001</v>
      </c>
      <c r="Q96">
        <v>512373.78159000003</v>
      </c>
    </row>
    <row r="97" spans="1:17" x14ac:dyDescent="0.3">
      <c r="A97" s="4">
        <v>44021</v>
      </c>
      <c r="B97" s="6">
        <v>1</v>
      </c>
      <c r="C97">
        <v>2471698978.6186399</v>
      </c>
      <c r="D97">
        <v>10230309.8148298</v>
      </c>
      <c r="E97">
        <v>15605.149949000001</v>
      </c>
      <c r="F97">
        <v>3581209.4170065699</v>
      </c>
      <c r="G97">
        <v>185010148.65928</v>
      </c>
      <c r="H97">
        <v>664612520</v>
      </c>
      <c r="I97">
        <v>2698824.4944367702</v>
      </c>
      <c r="J97">
        <v>1753.7849229999999</v>
      </c>
      <c r="K97">
        <v>914046.88093400002</v>
      </c>
      <c r="L97">
        <v>94547419.028838903</v>
      </c>
      <c r="M97">
        <v>158433322</v>
      </c>
      <c r="N97">
        <v>643357.92252091202</v>
      </c>
      <c r="O97">
        <v>1732.2000869999999</v>
      </c>
      <c r="P97">
        <v>29373.207020999998</v>
      </c>
      <c r="Q97">
        <v>667747.645318</v>
      </c>
    </row>
    <row r="98" spans="1:17" x14ac:dyDescent="0.3">
      <c r="A98" s="4">
        <v>44020</v>
      </c>
      <c r="B98" s="6">
        <v>1</v>
      </c>
      <c r="C98">
        <v>2343758110.7431202</v>
      </c>
      <c r="D98">
        <v>9984342.4734775592</v>
      </c>
      <c r="E98">
        <v>15553.24948</v>
      </c>
      <c r="F98">
        <v>3566435.9418302602</v>
      </c>
      <c r="G98">
        <v>169178090.821758</v>
      </c>
      <c r="H98">
        <v>640377888</v>
      </c>
      <c r="I98">
        <v>2674705.0705872499</v>
      </c>
      <c r="J98">
        <v>1736.151728</v>
      </c>
      <c r="K98">
        <v>913228.59842900001</v>
      </c>
      <c r="L98">
        <v>85211978.320308</v>
      </c>
      <c r="M98">
        <v>154307451</v>
      </c>
      <c r="N98">
        <v>644505.26689499605</v>
      </c>
      <c r="O98">
        <v>1734.584989</v>
      </c>
      <c r="P98">
        <v>30900.394647000001</v>
      </c>
      <c r="Q98">
        <v>707587.80173499999</v>
      </c>
    </row>
    <row r="99" spans="1:17" x14ac:dyDescent="0.3">
      <c r="A99" s="4">
        <v>44019</v>
      </c>
      <c r="B99" s="6">
        <v>1</v>
      </c>
      <c r="C99">
        <v>2322943680.5964098</v>
      </c>
      <c r="D99">
        <v>9820924.78813559</v>
      </c>
      <c r="E99">
        <v>15350.188781000001</v>
      </c>
      <c r="F99">
        <v>3526198.48794602</v>
      </c>
      <c r="G99">
        <v>162597796.34320101</v>
      </c>
      <c r="H99">
        <v>671759732</v>
      </c>
      <c r="I99">
        <v>2790627.0023263502</v>
      </c>
      <c r="J99">
        <v>1734.0097410000001</v>
      </c>
      <c r="K99">
        <v>908737.04304899997</v>
      </c>
      <c r="L99">
        <v>85798362.563826993</v>
      </c>
      <c r="M99">
        <v>146805050</v>
      </c>
      <c r="N99">
        <v>609858.13393153797</v>
      </c>
      <c r="O99">
        <v>1720.2345299999999</v>
      </c>
      <c r="P99">
        <v>29635.697967</v>
      </c>
      <c r="Q99">
        <v>715447.33342000004</v>
      </c>
    </row>
    <row r="100" spans="1:17" x14ac:dyDescent="0.3">
      <c r="A100" s="4">
        <v>44018</v>
      </c>
      <c r="B100" s="6">
        <v>1</v>
      </c>
      <c r="C100">
        <v>2201361037.4535899</v>
      </c>
      <c r="D100">
        <v>9751242.0986038297</v>
      </c>
      <c r="E100">
        <v>15282.738292</v>
      </c>
      <c r="F100">
        <v>3537866.1078051599</v>
      </c>
      <c r="G100">
        <v>158803868.845907</v>
      </c>
      <c r="H100">
        <v>637698403</v>
      </c>
      <c r="I100">
        <v>2782279.2452006899</v>
      </c>
      <c r="J100">
        <v>1545.8311510000001</v>
      </c>
      <c r="K100">
        <v>912580.35493300005</v>
      </c>
      <c r="L100">
        <v>83691231.445159003</v>
      </c>
      <c r="M100">
        <v>126491025</v>
      </c>
      <c r="N100">
        <v>551880.56282722496</v>
      </c>
      <c r="O100">
        <v>1889.1672590000001</v>
      </c>
      <c r="P100">
        <v>31560.808046999999</v>
      </c>
      <c r="Q100">
        <v>498282.65805799997</v>
      </c>
    </row>
    <row r="101" spans="1:17" x14ac:dyDescent="0.3">
      <c r="A101" s="4">
        <v>44017</v>
      </c>
      <c r="B101" s="6">
        <v>1</v>
      </c>
      <c r="C101">
        <v>2187521885.0707998</v>
      </c>
      <c r="D101">
        <v>9593391.1047717799</v>
      </c>
      <c r="E101">
        <v>15016.479595000001</v>
      </c>
      <c r="F101">
        <v>3540177.5615155101</v>
      </c>
      <c r="G101">
        <v>152482269.53622499</v>
      </c>
      <c r="H101">
        <v>630538513</v>
      </c>
      <c r="I101">
        <v>2725356.6433264101</v>
      </c>
      <c r="J101">
        <v>1433.7237990000001</v>
      </c>
      <c r="K101">
        <v>912773.220202</v>
      </c>
      <c r="L101">
        <v>79462431.800394997</v>
      </c>
      <c r="M101">
        <v>129201242</v>
      </c>
      <c r="N101">
        <v>558442.43603042804</v>
      </c>
      <c r="O101">
        <v>1090.355677</v>
      </c>
      <c r="P101">
        <v>31107.556837</v>
      </c>
      <c r="Q101">
        <v>469776.98287399998</v>
      </c>
    </row>
    <row r="102" spans="1:17" x14ac:dyDescent="0.3">
      <c r="A102" s="4">
        <v>44016</v>
      </c>
      <c r="B102" s="6">
        <v>1</v>
      </c>
      <c r="C102">
        <v>2154286447.9822402</v>
      </c>
      <c r="D102">
        <v>9597779.3519415297</v>
      </c>
      <c r="E102">
        <v>14789.690656999899</v>
      </c>
      <c r="F102">
        <v>3494167.6092616599</v>
      </c>
      <c r="G102">
        <v>141305500.86885899</v>
      </c>
      <c r="H102">
        <v>624301168</v>
      </c>
      <c r="I102">
        <v>2748530.2808840298</v>
      </c>
      <c r="J102">
        <v>1450.317102</v>
      </c>
      <c r="K102">
        <v>906028.24788200005</v>
      </c>
      <c r="L102">
        <v>75410952.257711902</v>
      </c>
      <c r="M102">
        <v>124500655</v>
      </c>
      <c r="N102">
        <v>548122.98582372104</v>
      </c>
      <c r="O102">
        <v>946.39417500000002</v>
      </c>
      <c r="P102">
        <v>30598.755696</v>
      </c>
      <c r="Q102">
        <v>467339.31610300002</v>
      </c>
    </row>
    <row r="103" spans="1:17" x14ac:dyDescent="0.3">
      <c r="A103" s="4">
        <v>44015</v>
      </c>
      <c r="B103" s="6">
        <v>1</v>
      </c>
      <c r="C103">
        <v>2046289702.39501</v>
      </c>
      <c r="D103">
        <v>9107750.4066470303</v>
      </c>
      <c r="E103">
        <v>14479.0307179999</v>
      </c>
      <c r="F103">
        <v>3341970.9190615001</v>
      </c>
      <c r="G103">
        <v>128627053.045748</v>
      </c>
      <c r="H103">
        <v>611929653</v>
      </c>
      <c r="I103">
        <v>2690155.4182969099</v>
      </c>
      <c r="J103">
        <v>1515.413867</v>
      </c>
      <c r="K103">
        <v>854896.83982899995</v>
      </c>
      <c r="L103">
        <v>82150351.242413998</v>
      </c>
      <c r="M103">
        <v>119715830</v>
      </c>
      <c r="N103">
        <v>526292.82982371305</v>
      </c>
      <c r="O103">
        <v>940.42296599999997</v>
      </c>
      <c r="P103">
        <v>30608.560989000001</v>
      </c>
      <c r="Q103">
        <v>492243.12029699999</v>
      </c>
    </row>
    <row r="104" spans="1:17" x14ac:dyDescent="0.3">
      <c r="A104" s="4">
        <v>44014</v>
      </c>
      <c r="B104" s="6">
        <v>1</v>
      </c>
      <c r="C104">
        <v>2037459457.34635</v>
      </c>
      <c r="D104">
        <v>8861174.1690286007</v>
      </c>
      <c r="E104">
        <v>14346.395635000001</v>
      </c>
      <c r="F104">
        <v>3283925.8565175999</v>
      </c>
      <c r="G104">
        <v>123537426.071235</v>
      </c>
      <c r="H104">
        <v>596220443</v>
      </c>
      <c r="I104">
        <v>2560424.4739328302</v>
      </c>
      <c r="J104">
        <v>1520.240603</v>
      </c>
      <c r="K104">
        <v>847652.02934799995</v>
      </c>
      <c r="L104">
        <v>73312103.137038901</v>
      </c>
      <c r="M104">
        <v>121156966</v>
      </c>
      <c r="N104">
        <v>520299.60491282301</v>
      </c>
      <c r="O104">
        <v>922.85724600000003</v>
      </c>
      <c r="P104">
        <v>30533.469191</v>
      </c>
      <c r="Q104">
        <v>488935.078935</v>
      </c>
    </row>
    <row r="105" spans="1:17" x14ac:dyDescent="0.3">
      <c r="A105" s="4">
        <v>44013</v>
      </c>
      <c r="B105" s="6">
        <v>1</v>
      </c>
      <c r="C105">
        <v>1895153676.7464299</v>
      </c>
      <c r="D105">
        <v>8458109.6838118695</v>
      </c>
      <c r="E105">
        <v>14344.467506000001</v>
      </c>
      <c r="F105">
        <v>3238774.2364157699</v>
      </c>
      <c r="G105">
        <v>105990071.615054</v>
      </c>
      <c r="H105">
        <v>564930596</v>
      </c>
      <c r="I105">
        <v>2487804.2804298</v>
      </c>
      <c r="J105">
        <v>1523.453831</v>
      </c>
      <c r="K105">
        <v>810876.55738400004</v>
      </c>
      <c r="L105">
        <v>70156119.586695999</v>
      </c>
      <c r="M105">
        <v>115015469</v>
      </c>
      <c r="N105">
        <v>506497.57354236301</v>
      </c>
      <c r="O105">
        <v>661.173585</v>
      </c>
      <c r="P105">
        <v>30301.330941</v>
      </c>
      <c r="Q105">
        <v>722406.84158000001</v>
      </c>
    </row>
    <row r="106" spans="1:17" x14ac:dyDescent="0.3">
      <c r="A106" s="4">
        <v>44012</v>
      </c>
      <c r="B106" s="6">
        <v>1</v>
      </c>
      <c r="C106">
        <v>2002293766.07072</v>
      </c>
      <c r="D106">
        <v>8893243.1102534793</v>
      </c>
      <c r="E106">
        <v>14142.933972000001</v>
      </c>
      <c r="F106">
        <v>3282124.24527553</v>
      </c>
      <c r="G106">
        <v>105611580.74289</v>
      </c>
      <c r="H106">
        <v>639542361</v>
      </c>
      <c r="I106">
        <v>2804764.3233049698</v>
      </c>
      <c r="J106">
        <v>1554.6175599999999</v>
      </c>
      <c r="K106">
        <v>857101.91358499997</v>
      </c>
      <c r="L106">
        <v>69268620.966525003</v>
      </c>
      <c r="M106">
        <v>158724559</v>
      </c>
      <c r="N106">
        <v>696099.28515042504</v>
      </c>
      <c r="O106">
        <v>624.051378</v>
      </c>
      <c r="P106">
        <v>32489.686407000001</v>
      </c>
      <c r="Q106">
        <v>543557.36059399997</v>
      </c>
    </row>
    <row r="107" spans="1:17" x14ac:dyDescent="0.3">
      <c r="A107" s="4">
        <v>44011</v>
      </c>
      <c r="B107" s="6">
        <v>1</v>
      </c>
      <c r="C107">
        <v>1944528479.97364</v>
      </c>
      <c r="D107">
        <v>8699534.5155021604</v>
      </c>
      <c r="E107">
        <v>14008.207597999901</v>
      </c>
      <c r="F107">
        <v>3180289.5256239302</v>
      </c>
      <c r="G107">
        <v>104569619.81975301</v>
      </c>
      <c r="H107">
        <v>635735044</v>
      </c>
      <c r="I107">
        <v>2807768.9426728999</v>
      </c>
      <c r="J107">
        <v>1603.5152539999999</v>
      </c>
      <c r="K107">
        <v>795489.92405499995</v>
      </c>
      <c r="L107">
        <v>63274608.161555</v>
      </c>
      <c r="M107">
        <v>115184596</v>
      </c>
      <c r="N107">
        <v>508720.94337956002</v>
      </c>
      <c r="O107">
        <v>615.56440799999996</v>
      </c>
      <c r="P107">
        <v>30706.147298</v>
      </c>
      <c r="Q107">
        <v>473485.403965</v>
      </c>
    </row>
    <row r="108" spans="1:17" x14ac:dyDescent="0.3">
      <c r="A108" s="4">
        <v>44010</v>
      </c>
      <c r="B108" s="6">
        <v>1</v>
      </c>
      <c r="C108">
        <v>1927261853.5625</v>
      </c>
      <c r="D108">
        <v>8754433.94771065</v>
      </c>
      <c r="E108">
        <v>13931.165950999901</v>
      </c>
      <c r="F108">
        <v>3351906.0668810601</v>
      </c>
      <c r="G108">
        <v>99363882.056586295</v>
      </c>
      <c r="H108">
        <v>628278253</v>
      </c>
      <c r="I108">
        <v>2817517.6151396902</v>
      </c>
      <c r="J108">
        <v>1619.6472879999999</v>
      </c>
      <c r="K108">
        <v>962067.06307699997</v>
      </c>
      <c r="L108">
        <v>55949341.665379003</v>
      </c>
      <c r="M108">
        <v>112053287</v>
      </c>
      <c r="N108">
        <v>502503.64141889702</v>
      </c>
      <c r="O108">
        <v>559.67019300000004</v>
      </c>
      <c r="P108">
        <v>30223.132644000001</v>
      </c>
      <c r="Q108">
        <v>499012.72852499998</v>
      </c>
    </row>
    <row r="109" spans="1:17" x14ac:dyDescent="0.3">
      <c r="A109" s="4">
        <v>44009</v>
      </c>
      <c r="B109" s="6">
        <v>1</v>
      </c>
      <c r="C109">
        <v>1928935426.9469099</v>
      </c>
      <c r="D109">
        <v>8454743.1575303897</v>
      </c>
      <c r="E109">
        <v>12281.868813999999</v>
      </c>
      <c r="F109">
        <v>3257308.81881529</v>
      </c>
      <c r="G109">
        <v>95198612.213325903</v>
      </c>
      <c r="H109">
        <v>625814924</v>
      </c>
      <c r="I109">
        <v>2707631.7397135799</v>
      </c>
      <c r="J109">
        <v>1417.3138300000001</v>
      </c>
      <c r="K109">
        <v>916010.20193099999</v>
      </c>
      <c r="L109">
        <v>53509421.143968999</v>
      </c>
      <c r="M109">
        <v>110938750</v>
      </c>
      <c r="N109">
        <v>479984.208021459</v>
      </c>
      <c r="O109">
        <v>562.32946900000002</v>
      </c>
      <c r="P109">
        <v>28090.024877</v>
      </c>
      <c r="Q109">
        <v>824913.93285999994</v>
      </c>
    </row>
    <row r="110" spans="1:17" x14ac:dyDescent="0.3">
      <c r="A110" s="4">
        <v>44008</v>
      </c>
      <c r="B110" s="6">
        <v>1</v>
      </c>
      <c r="C110">
        <v>1910509453.5804999</v>
      </c>
      <c r="D110">
        <v>8248890.2045163997</v>
      </c>
      <c r="E110">
        <v>11775.471594999901</v>
      </c>
      <c r="F110">
        <v>3229128.74086736</v>
      </c>
      <c r="G110">
        <v>92917625.359070003</v>
      </c>
      <c r="H110">
        <v>616459482</v>
      </c>
      <c r="I110">
        <v>2626584.9254367198</v>
      </c>
      <c r="J110">
        <v>1392.7548839999999</v>
      </c>
      <c r="K110">
        <v>892951.10887700005</v>
      </c>
      <c r="L110">
        <v>51680852.260761</v>
      </c>
      <c r="M110">
        <v>116430088</v>
      </c>
      <c r="N110">
        <v>496080.47720494203</v>
      </c>
      <c r="O110">
        <v>574.89664000000005</v>
      </c>
      <c r="P110">
        <v>31348.385030000001</v>
      </c>
      <c r="Q110">
        <v>628060.268423</v>
      </c>
    </row>
    <row r="111" spans="1:17" x14ac:dyDescent="0.3">
      <c r="A111" s="4">
        <v>44007</v>
      </c>
      <c r="B111" s="6">
        <v>1</v>
      </c>
      <c r="C111">
        <v>1816280032.69698</v>
      </c>
      <c r="D111">
        <v>7805851.9474464897</v>
      </c>
      <c r="E111">
        <v>11471.609774999901</v>
      </c>
      <c r="F111">
        <v>3221244.44990385</v>
      </c>
      <c r="G111">
        <v>83167202.340813503</v>
      </c>
      <c r="H111">
        <v>561693412</v>
      </c>
      <c r="I111">
        <v>2380561.1866920898</v>
      </c>
      <c r="J111">
        <v>2334.9476989999998</v>
      </c>
      <c r="K111">
        <v>910228.84983199998</v>
      </c>
      <c r="L111">
        <v>44915952.695451997</v>
      </c>
      <c r="M111">
        <v>123911383</v>
      </c>
      <c r="N111">
        <v>525159.49565585901</v>
      </c>
      <c r="O111">
        <v>177.89182299999999</v>
      </c>
      <c r="P111">
        <v>32130.094807000001</v>
      </c>
      <c r="Q111">
        <v>389995.19601499999</v>
      </c>
    </row>
    <row r="112" spans="1:17" x14ac:dyDescent="0.3">
      <c r="A112" s="4">
        <v>44006</v>
      </c>
      <c r="B112" s="6">
        <v>1</v>
      </c>
      <c r="C112">
        <v>1758111718.0229101</v>
      </c>
      <c r="D112">
        <v>7343622.0484753698</v>
      </c>
      <c r="E112">
        <v>11261.541078</v>
      </c>
      <c r="F112">
        <v>3281309.2974080299</v>
      </c>
      <c r="G112">
        <v>61880592.642341003</v>
      </c>
      <c r="H112">
        <v>592014395</v>
      </c>
      <c r="I112">
        <v>2436172.9764207201</v>
      </c>
      <c r="J112">
        <v>2519.2152860000001</v>
      </c>
      <c r="K112">
        <v>1017263.648469</v>
      </c>
      <c r="L112">
        <v>24366034.597016901</v>
      </c>
      <c r="M112">
        <v>126468956</v>
      </c>
      <c r="N112">
        <v>520426.961853421</v>
      </c>
      <c r="O112">
        <v>170.417034</v>
      </c>
      <c r="P112">
        <v>31417.442919000001</v>
      </c>
      <c r="Q112">
        <v>88596.640306000001</v>
      </c>
    </row>
    <row r="113" spans="1:17" x14ac:dyDescent="0.3">
      <c r="A113" s="4">
        <v>44005</v>
      </c>
      <c r="B113" s="6">
        <v>1</v>
      </c>
      <c r="C113">
        <v>1695553879.5918</v>
      </c>
      <c r="D113">
        <v>7118034.5571818398</v>
      </c>
      <c r="E113">
        <v>10972.925702999901</v>
      </c>
      <c r="F113">
        <v>3284488.1025407701</v>
      </c>
      <c r="G113">
        <v>35341459.3491496</v>
      </c>
      <c r="H113">
        <v>577005640</v>
      </c>
      <c r="I113">
        <v>2385700.9840403502</v>
      </c>
      <c r="J113">
        <v>2582.408723</v>
      </c>
      <c r="K113">
        <v>1036745.68983</v>
      </c>
      <c r="L113">
        <v>509557.682233</v>
      </c>
      <c r="M113">
        <v>123178414</v>
      </c>
      <c r="N113">
        <v>509296.34499297099</v>
      </c>
      <c r="O113">
        <v>176.99139199999999</v>
      </c>
      <c r="P113">
        <v>31306.67452</v>
      </c>
    </row>
    <row r="114" spans="1:17" x14ac:dyDescent="0.3">
      <c r="A114" s="4">
        <v>44004</v>
      </c>
      <c r="B114" s="6">
        <v>1</v>
      </c>
      <c r="C114">
        <v>1690408621.2702899</v>
      </c>
      <c r="D114">
        <v>7440196.6357661998</v>
      </c>
      <c r="E114">
        <v>10608.031014</v>
      </c>
      <c r="F114">
        <v>3232937.2272165599</v>
      </c>
      <c r="G114">
        <v>38891663.416819103</v>
      </c>
      <c r="H114">
        <v>608713948</v>
      </c>
      <c r="I114">
        <v>2649231.6142229098</v>
      </c>
      <c r="J114">
        <v>2479.5404020000001</v>
      </c>
      <c r="K114">
        <v>1028749.381534</v>
      </c>
      <c r="L114">
        <v>509948.42916100001</v>
      </c>
      <c r="M114">
        <v>129647463</v>
      </c>
      <c r="N114">
        <v>564248.87060974003</v>
      </c>
      <c r="O114">
        <v>170.14206799999999</v>
      </c>
      <c r="P114">
        <v>32438.699331</v>
      </c>
    </row>
    <row r="115" spans="1:17" x14ac:dyDescent="0.3">
      <c r="A115" s="4">
        <v>44003</v>
      </c>
      <c r="B115" s="6">
        <v>1</v>
      </c>
      <c r="C115">
        <v>1608015849.0062399</v>
      </c>
      <c r="D115">
        <v>7075856.8168977303</v>
      </c>
      <c r="E115">
        <v>10132.077268999999</v>
      </c>
      <c r="F115">
        <v>3423435.22500626</v>
      </c>
      <c r="G115">
        <v>51411415.551307298</v>
      </c>
      <c r="H115">
        <v>511267185</v>
      </c>
      <c r="I115">
        <v>2222031.3138337098</v>
      </c>
      <c r="J115">
        <v>2297.6034060000002</v>
      </c>
      <c r="K115">
        <v>1066044.719643</v>
      </c>
      <c r="L115">
        <v>12016253.0493499</v>
      </c>
      <c r="M115">
        <v>108618009</v>
      </c>
      <c r="N115">
        <v>472067.49098178901</v>
      </c>
      <c r="O115">
        <v>357.37226900000002</v>
      </c>
      <c r="P115">
        <v>32802.212704999998</v>
      </c>
      <c r="Q115">
        <v>1893998.5887810001</v>
      </c>
    </row>
    <row r="116" spans="1:17" x14ac:dyDescent="0.3">
      <c r="A116" s="4">
        <v>44002</v>
      </c>
      <c r="B116" s="6">
        <v>1</v>
      </c>
      <c r="C116">
        <v>1518437138.47978</v>
      </c>
      <c r="D116">
        <v>6721604.9075483996</v>
      </c>
      <c r="E116">
        <v>9671.9553039999992</v>
      </c>
      <c r="F116">
        <v>3467106.9669185001</v>
      </c>
      <c r="G116">
        <v>52269787.902593002</v>
      </c>
      <c r="H116">
        <v>433071037</v>
      </c>
      <c r="I116">
        <v>1884146.34326734</v>
      </c>
      <c r="J116">
        <v>2275.355591</v>
      </c>
      <c r="K116">
        <v>1042963.964417</v>
      </c>
      <c r="L116">
        <v>12434399.077578999</v>
      </c>
      <c r="M116">
        <v>98631331</v>
      </c>
      <c r="N116">
        <v>429111.72938873101</v>
      </c>
      <c r="O116">
        <v>347.995496</v>
      </c>
      <c r="P116">
        <v>32663.849440000002</v>
      </c>
      <c r="Q116">
        <v>2002301.171686</v>
      </c>
    </row>
    <row r="117" spans="1:17" x14ac:dyDescent="0.3">
      <c r="A117" s="4">
        <v>44001</v>
      </c>
      <c r="B117" s="6">
        <v>1</v>
      </c>
      <c r="C117">
        <v>1420010367.1005599</v>
      </c>
      <c r="D117">
        <v>6260774.2848487403</v>
      </c>
      <c r="E117">
        <v>9412.0834269999905</v>
      </c>
      <c r="F117">
        <v>3438606.1767847599</v>
      </c>
      <c r="G117">
        <v>54039964.956050202</v>
      </c>
      <c r="H117">
        <v>339613547</v>
      </c>
      <c r="I117">
        <v>1469743.13844289</v>
      </c>
      <c r="J117">
        <v>2335.7442289999999</v>
      </c>
      <c r="K117">
        <v>1033823.265539</v>
      </c>
      <c r="L117">
        <v>14258822.1899</v>
      </c>
      <c r="M117">
        <v>96797742</v>
      </c>
      <c r="N117">
        <v>418910.90145843202</v>
      </c>
      <c r="O117">
        <v>325.80325599999998</v>
      </c>
      <c r="P117">
        <v>31892.087691000001</v>
      </c>
      <c r="Q117">
        <v>1586771.043633</v>
      </c>
    </row>
    <row r="118" spans="1:17" x14ac:dyDescent="0.3">
      <c r="A118" s="4">
        <v>44000</v>
      </c>
      <c r="B118" s="6">
        <v>1</v>
      </c>
      <c r="C118">
        <v>1276753360.72894</v>
      </c>
      <c r="D118">
        <v>5595259.40853291</v>
      </c>
      <c r="E118">
        <v>8945.3110809999998</v>
      </c>
      <c r="F118">
        <v>3428408.2497415901</v>
      </c>
      <c r="G118">
        <v>50335347.050304301</v>
      </c>
      <c r="H118">
        <v>239736623</v>
      </c>
      <c r="I118">
        <v>1029000.8713194201</v>
      </c>
      <c r="J118">
        <v>2242.265821</v>
      </c>
      <c r="K118">
        <v>1045940.9655629999</v>
      </c>
      <c r="L118">
        <v>15979432.397031</v>
      </c>
      <c r="M118">
        <v>85198325</v>
      </c>
      <c r="N118">
        <v>365689.43686153297</v>
      </c>
      <c r="O118">
        <v>337.96160700000001</v>
      </c>
      <c r="P118">
        <v>31850.04376</v>
      </c>
      <c r="Q118">
        <v>1146881.081737</v>
      </c>
    </row>
    <row r="119" spans="1:17" x14ac:dyDescent="0.3">
      <c r="A119" s="4">
        <v>43999</v>
      </c>
      <c r="B119" s="6">
        <v>1</v>
      </c>
      <c r="C119">
        <v>1197551941.43629</v>
      </c>
      <c r="D119">
        <v>5211758.6372728404</v>
      </c>
      <c r="E119">
        <v>8370.8133120000002</v>
      </c>
      <c r="F119">
        <v>3376804.8906105398</v>
      </c>
      <c r="G119">
        <v>47232755.103788503</v>
      </c>
      <c r="H119">
        <v>171327814</v>
      </c>
      <c r="I119">
        <v>729147.61033323396</v>
      </c>
      <c r="J119">
        <v>1738.65769</v>
      </c>
      <c r="K119">
        <v>1005813.569655</v>
      </c>
      <c r="L119">
        <v>16346272.633908</v>
      </c>
      <c r="M119">
        <v>85256368</v>
      </c>
      <c r="N119">
        <v>362839.37523939199</v>
      </c>
      <c r="O119">
        <v>293.06435900000002</v>
      </c>
      <c r="P119">
        <v>30849.084523000001</v>
      </c>
      <c r="Q119">
        <v>870168.13053600001</v>
      </c>
    </row>
    <row r="120" spans="1:17" x14ac:dyDescent="0.3">
      <c r="A120" s="4">
        <v>43998</v>
      </c>
      <c r="B120" s="6">
        <v>1</v>
      </c>
      <c r="C120">
        <v>1123360839.4210701</v>
      </c>
      <c r="D120">
        <v>4981611.8026680499</v>
      </c>
      <c r="E120">
        <v>7504.9282059999996</v>
      </c>
      <c r="F120">
        <v>3256571.3417988201</v>
      </c>
      <c r="G120">
        <v>40866935.385017</v>
      </c>
      <c r="H120">
        <v>117245553</v>
      </c>
      <c r="I120">
        <v>507820.30925155903</v>
      </c>
      <c r="J120">
        <v>1599.888766</v>
      </c>
      <c r="K120">
        <v>917215.48690300004</v>
      </c>
      <c r="L120">
        <v>13158907.136278</v>
      </c>
      <c r="M120">
        <v>81365358</v>
      </c>
      <c r="N120">
        <v>352414.05925155903</v>
      </c>
      <c r="O120">
        <v>304.61377499999998</v>
      </c>
      <c r="P120">
        <v>31299.010546000001</v>
      </c>
      <c r="Q120">
        <v>1546249.862133</v>
      </c>
    </row>
    <row r="121" spans="1:17" x14ac:dyDescent="0.3">
      <c r="A121" s="4">
        <v>43997</v>
      </c>
      <c r="B121" s="6">
        <v>1</v>
      </c>
      <c r="C121">
        <v>1116034146.2435901</v>
      </c>
      <c r="D121">
        <v>4911038.8628647504</v>
      </c>
      <c r="E121">
        <v>7323.7743870000004</v>
      </c>
      <c r="F121">
        <v>3257121.6148910401</v>
      </c>
      <c r="G121">
        <v>40641739.472838603</v>
      </c>
      <c r="H121">
        <v>97743632</v>
      </c>
      <c r="I121">
        <v>420059.44389531098</v>
      </c>
      <c r="J121">
        <v>1671.9839260000001</v>
      </c>
      <c r="K121">
        <v>928939.675055</v>
      </c>
      <c r="L121">
        <v>14076717.267796</v>
      </c>
      <c r="M121">
        <v>81338839</v>
      </c>
      <c r="N121">
        <v>349558.80785594502</v>
      </c>
      <c r="O121">
        <v>140.34104500000001</v>
      </c>
      <c r="P121">
        <v>31836.582705000001</v>
      </c>
      <c r="Q121">
        <v>1680582.9214659999</v>
      </c>
    </row>
    <row r="122" spans="1:17" x14ac:dyDescent="0.3">
      <c r="A122" s="4">
        <v>43996</v>
      </c>
      <c r="B122" s="6">
        <v>1</v>
      </c>
      <c r="C122">
        <v>1136439425.65955</v>
      </c>
      <c r="D122">
        <v>4898584.24</v>
      </c>
      <c r="E122">
        <v>6296.0737600000002</v>
      </c>
      <c r="F122">
        <v>3363974.7880285801</v>
      </c>
      <c r="G122">
        <v>37784756.515822202</v>
      </c>
      <c r="H122">
        <v>90402936</v>
      </c>
      <c r="I122">
        <v>380643.94105263101</v>
      </c>
      <c r="J122">
        <v>1605.403722</v>
      </c>
      <c r="K122">
        <v>982808.629342</v>
      </c>
      <c r="L122">
        <v>10901900.376794999</v>
      </c>
      <c r="M122">
        <v>87101741</v>
      </c>
      <c r="N122">
        <v>366744.172631578</v>
      </c>
      <c r="O122">
        <v>22.611879999999999</v>
      </c>
      <c r="P122">
        <v>21948.183078999999</v>
      </c>
      <c r="Q122">
        <v>1911403.379552</v>
      </c>
    </row>
    <row r="123" spans="1:17" x14ac:dyDescent="0.3">
      <c r="A123" s="4">
        <v>43995</v>
      </c>
      <c r="B123" s="6">
        <v>1</v>
      </c>
      <c r="C123">
        <v>1147307782.7213399</v>
      </c>
      <c r="D123">
        <v>4928742.6149003096</v>
      </c>
      <c r="E123">
        <v>5935.8971030000002</v>
      </c>
      <c r="F123">
        <v>3324208.0539178699</v>
      </c>
      <c r="G123">
        <v>42877139.176313102</v>
      </c>
      <c r="H123">
        <v>94967726</v>
      </c>
      <c r="I123">
        <v>398605.355718782</v>
      </c>
      <c r="J123">
        <v>1020.257332</v>
      </c>
      <c r="K123">
        <v>963698.91230199998</v>
      </c>
      <c r="L123">
        <v>14156084.8844069</v>
      </c>
      <c r="M123">
        <v>87884632</v>
      </c>
      <c r="N123">
        <v>368875.68520461698</v>
      </c>
      <c r="O123">
        <v>719.24043099999994</v>
      </c>
      <c r="P123">
        <v>16713.062861999999</v>
      </c>
      <c r="Q123">
        <v>2081689.5754470001</v>
      </c>
    </row>
    <row r="124" spans="1:17" x14ac:dyDescent="0.3">
      <c r="A124" s="4">
        <v>43994</v>
      </c>
      <c r="B124" s="6">
        <v>1</v>
      </c>
      <c r="C124">
        <v>1105942462.2326901</v>
      </c>
      <c r="D124">
        <v>4902652.8619674398</v>
      </c>
      <c r="E124">
        <v>5925.7420359999996</v>
      </c>
      <c r="F124">
        <v>3097504.9822384301</v>
      </c>
      <c r="G124">
        <v>39851330.756342001</v>
      </c>
      <c r="H124">
        <v>88227697</v>
      </c>
      <c r="I124">
        <v>382004.23016972601</v>
      </c>
      <c r="J124">
        <v>1538.5030200000001</v>
      </c>
      <c r="K124">
        <v>723279.16625500005</v>
      </c>
      <c r="L124">
        <v>13885573.346873</v>
      </c>
      <c r="M124">
        <v>81071169</v>
      </c>
      <c r="N124">
        <v>351018.22393487999</v>
      </c>
      <c r="O124">
        <v>36.790475999999998</v>
      </c>
      <c r="P124">
        <v>32869.641245999999</v>
      </c>
      <c r="Q124">
        <v>1226935.1731990001</v>
      </c>
    </row>
    <row r="125" spans="1:17" x14ac:dyDescent="0.3">
      <c r="A125" s="4">
        <v>43993</v>
      </c>
      <c r="B125" s="6">
        <v>1</v>
      </c>
      <c r="C125">
        <v>1117755966.5230801</v>
      </c>
      <c r="D125">
        <v>4664140.3933064602</v>
      </c>
      <c r="E125">
        <v>5912.5582400000003</v>
      </c>
      <c r="F125">
        <v>2852365.48484059</v>
      </c>
      <c r="G125">
        <v>38465370.884108298</v>
      </c>
      <c r="H125">
        <v>90656442</v>
      </c>
      <c r="I125">
        <v>369107.29204836901</v>
      </c>
      <c r="J125">
        <v>810.18365600000004</v>
      </c>
      <c r="K125">
        <v>622263.90546799998</v>
      </c>
      <c r="L125">
        <v>14191541.658419</v>
      </c>
      <c r="M125">
        <v>88062576</v>
      </c>
      <c r="N125">
        <v>358546.37840478797</v>
      </c>
      <c r="O125">
        <v>40.365546000000002</v>
      </c>
      <c r="P125">
        <v>30154.113291000001</v>
      </c>
      <c r="Q125">
        <v>685283.41953099996</v>
      </c>
    </row>
    <row r="126" spans="1:17" x14ac:dyDescent="0.3">
      <c r="A126" s="4">
        <v>43992</v>
      </c>
      <c r="B126" s="6">
        <v>1</v>
      </c>
      <c r="C126">
        <v>1122790463.40275</v>
      </c>
      <c r="D126">
        <v>4716468.4212683896</v>
      </c>
      <c r="E126">
        <v>6903.4613410000002</v>
      </c>
      <c r="F126">
        <v>2807615.4137312099</v>
      </c>
      <c r="G126">
        <v>38825684.610480197</v>
      </c>
      <c r="H126">
        <v>105314592</v>
      </c>
      <c r="I126">
        <v>431741.04046242702</v>
      </c>
      <c r="J126">
        <v>868.25868400000002</v>
      </c>
      <c r="K126">
        <v>561168.71488700004</v>
      </c>
      <c r="L126">
        <v>14405097.263685999</v>
      </c>
      <c r="M126">
        <v>81195845</v>
      </c>
      <c r="N126">
        <v>332865.35071536899</v>
      </c>
      <c r="O126">
        <v>124.54610099999999</v>
      </c>
      <c r="P126">
        <v>28451.957799</v>
      </c>
      <c r="Q126">
        <v>729195.24633500003</v>
      </c>
    </row>
    <row r="127" spans="1:17" x14ac:dyDescent="0.3">
      <c r="A127" s="4">
        <v>43991</v>
      </c>
      <c r="B127" s="6">
        <v>1</v>
      </c>
      <c r="C127">
        <v>1150274569.8339601</v>
      </c>
      <c r="D127">
        <v>4783732.2829529699</v>
      </c>
      <c r="E127">
        <v>5160.1954939999996</v>
      </c>
      <c r="F127">
        <v>2789010.0787995998</v>
      </c>
      <c r="G127">
        <v>35363564.4543401</v>
      </c>
      <c r="H127">
        <v>107129905</v>
      </c>
      <c r="I127">
        <v>435027.63339559798</v>
      </c>
      <c r="J127">
        <v>173.376668</v>
      </c>
      <c r="K127">
        <v>411781.66809200001</v>
      </c>
      <c r="L127">
        <v>11390058.5856099</v>
      </c>
      <c r="M127">
        <v>73787327</v>
      </c>
      <c r="N127">
        <v>299631.79972386901</v>
      </c>
      <c r="O127">
        <v>132.496745</v>
      </c>
      <c r="P127">
        <v>28729.146242999999</v>
      </c>
      <c r="Q127">
        <v>1101917.279847</v>
      </c>
    </row>
    <row r="128" spans="1:17" x14ac:dyDescent="0.3">
      <c r="A128" s="4">
        <v>43990</v>
      </c>
      <c r="B128" s="6">
        <v>1</v>
      </c>
      <c r="C128">
        <v>1159611841.6594601</v>
      </c>
      <c r="D128">
        <v>4871824.3670236701</v>
      </c>
      <c r="E128">
        <v>5158.6772080000001</v>
      </c>
      <c r="F128">
        <v>2806452.30931147</v>
      </c>
      <c r="G128">
        <v>41577934.819287203</v>
      </c>
      <c r="H128">
        <v>115044144</v>
      </c>
      <c r="I128">
        <v>472092.18269112398</v>
      </c>
      <c r="J128">
        <v>169.80886000000001</v>
      </c>
      <c r="K128">
        <v>382871.18549300003</v>
      </c>
      <c r="L128">
        <v>8345389.408884</v>
      </c>
      <c r="M128">
        <v>72963931</v>
      </c>
      <c r="N128">
        <v>299412.90574090002</v>
      </c>
      <c r="O128">
        <v>134.214968</v>
      </c>
      <c r="P128">
        <v>29046.649169</v>
      </c>
      <c r="Q128">
        <v>1245705.2787810001</v>
      </c>
    </row>
    <row r="129" spans="1:17" x14ac:dyDescent="0.3">
      <c r="A129" s="4">
        <v>43989</v>
      </c>
      <c r="B129" s="6">
        <v>1</v>
      </c>
      <c r="C129">
        <v>1164516608.8096399</v>
      </c>
      <c r="D129">
        <v>4944158.4014268499</v>
      </c>
      <c r="E129">
        <v>5093.6077219999997</v>
      </c>
      <c r="F129">
        <v>2750643.3821966499</v>
      </c>
      <c r="G129">
        <v>40238915.004331797</v>
      </c>
      <c r="H129">
        <v>113945596</v>
      </c>
      <c r="I129">
        <v>472626.80326848797</v>
      </c>
      <c r="J129">
        <v>168.343468</v>
      </c>
      <c r="K129">
        <v>293215.91336800001</v>
      </c>
      <c r="L129">
        <v>6099123.858616</v>
      </c>
      <c r="M129">
        <v>70001629</v>
      </c>
      <c r="N129">
        <v>290354.75963333098</v>
      </c>
      <c r="O129">
        <v>126.453664</v>
      </c>
      <c r="P129">
        <v>39871.523456000003</v>
      </c>
      <c r="Q129">
        <v>1281160.142796</v>
      </c>
    </row>
    <row r="130" spans="1:17" x14ac:dyDescent="0.3">
      <c r="A130" s="4">
        <v>43988</v>
      </c>
      <c r="B130" s="6">
        <v>1</v>
      </c>
      <c r="C130">
        <v>1155043836.5551901</v>
      </c>
      <c r="D130">
        <v>4922567.8491131598</v>
      </c>
      <c r="E130">
        <v>5039.38394899999</v>
      </c>
      <c r="F130">
        <v>2725312.90436811</v>
      </c>
      <c r="G130">
        <v>45206630.067360602</v>
      </c>
      <c r="H130">
        <v>111574820</v>
      </c>
      <c r="I130">
        <v>464546.67332833703</v>
      </c>
      <c r="J130">
        <v>174.119631</v>
      </c>
      <c r="K130">
        <v>260324.64156300001</v>
      </c>
      <c r="L130">
        <v>5601293.726094</v>
      </c>
      <c r="M130">
        <v>68586545</v>
      </c>
      <c r="N130">
        <v>285563.09850945103</v>
      </c>
      <c r="O130">
        <v>106.274225</v>
      </c>
      <c r="P130">
        <v>39675.639983000001</v>
      </c>
      <c r="Q130">
        <v>1346624.7006949999</v>
      </c>
    </row>
    <row r="131" spans="1:17" x14ac:dyDescent="0.3">
      <c r="A131" s="4">
        <v>43987</v>
      </c>
      <c r="B131" s="6">
        <v>1</v>
      </c>
      <c r="C131">
        <v>1138850974.49436</v>
      </c>
      <c r="D131">
        <v>4816756.53107577</v>
      </c>
      <c r="E131">
        <v>5022.2994289999997</v>
      </c>
      <c r="F131">
        <v>2726884.3648732202</v>
      </c>
      <c r="G131">
        <v>44076939.5912081</v>
      </c>
      <c r="H131">
        <v>113576532</v>
      </c>
      <c r="I131">
        <v>469033.78897377598</v>
      </c>
      <c r="J131">
        <v>168.869911</v>
      </c>
      <c r="K131">
        <v>253226.56396100001</v>
      </c>
      <c r="L131">
        <v>4412296.102833</v>
      </c>
      <c r="M131">
        <v>67296663</v>
      </c>
      <c r="N131">
        <v>277913.12409663398</v>
      </c>
      <c r="O131">
        <v>105.950761</v>
      </c>
      <c r="P131">
        <v>41515.914703000002</v>
      </c>
      <c r="Q131">
        <v>1501010.2479099999</v>
      </c>
    </row>
    <row r="132" spans="1:17" x14ac:dyDescent="0.3">
      <c r="A132" s="4">
        <v>43986</v>
      </c>
      <c r="B132" s="6">
        <v>1</v>
      </c>
      <c r="C132">
        <v>1112544128.72019</v>
      </c>
      <c r="D132">
        <v>4692137.34766139</v>
      </c>
      <c r="E132">
        <v>5021.9997480000002</v>
      </c>
      <c r="F132">
        <v>2715060.7110856799</v>
      </c>
      <c r="G132">
        <v>46479248.681718402</v>
      </c>
      <c r="H132">
        <v>113169459</v>
      </c>
      <c r="I132">
        <v>465948.03606719302</v>
      </c>
      <c r="J132">
        <v>164.42537999999999</v>
      </c>
      <c r="K132">
        <v>252449.88427899999</v>
      </c>
      <c r="L132">
        <v>6538586.7497379901</v>
      </c>
      <c r="M132">
        <v>67908135</v>
      </c>
      <c r="N132">
        <v>279595.41749011801</v>
      </c>
      <c r="O132">
        <v>104.819557</v>
      </c>
      <c r="P132">
        <v>41321.097285000003</v>
      </c>
      <c r="Q132">
        <v>1531977.1471770001</v>
      </c>
    </row>
    <row r="133" spans="1:17" x14ac:dyDescent="0.3">
      <c r="A133" s="4">
        <v>43985</v>
      </c>
      <c r="B133" s="6">
        <v>1</v>
      </c>
      <c r="C133">
        <v>1070251501.46454</v>
      </c>
      <c r="D133">
        <v>4624680.4780372595</v>
      </c>
      <c r="E133">
        <v>5019.2773399999996</v>
      </c>
      <c r="F133">
        <v>2705082.9553359798</v>
      </c>
      <c r="G133">
        <v>33193070.655158099</v>
      </c>
      <c r="H133">
        <v>100573065</v>
      </c>
      <c r="I133">
        <v>423965.36969901301</v>
      </c>
      <c r="J133">
        <v>160.56325699999999</v>
      </c>
      <c r="K133">
        <v>248534.48591700001</v>
      </c>
      <c r="L133">
        <v>5792453.4594130004</v>
      </c>
      <c r="M133">
        <v>65575076</v>
      </c>
      <c r="N133">
        <v>276431.48132535198</v>
      </c>
      <c r="O133">
        <v>103.822247</v>
      </c>
      <c r="P133">
        <v>39558.463680000001</v>
      </c>
      <c r="Q133">
        <v>1630931.5232770001</v>
      </c>
    </row>
    <row r="134" spans="1:17" x14ac:dyDescent="0.3">
      <c r="A134" s="4">
        <v>43984</v>
      </c>
      <c r="B134" s="6">
        <v>1</v>
      </c>
      <c r="C134">
        <v>1087922770.52842</v>
      </c>
      <c r="D134">
        <v>4570791.1488838801</v>
      </c>
      <c r="E134">
        <v>5014.9179699999904</v>
      </c>
      <c r="F134">
        <v>2687101.5593497101</v>
      </c>
      <c r="G134">
        <v>35144915.259444401</v>
      </c>
      <c r="H134">
        <v>104850412</v>
      </c>
      <c r="I134">
        <v>429450.796641408</v>
      </c>
      <c r="J134">
        <v>151.079565</v>
      </c>
      <c r="K134">
        <v>246730.863621</v>
      </c>
      <c r="L134">
        <v>5965380.3619630001</v>
      </c>
      <c r="M134">
        <v>66476570</v>
      </c>
      <c r="N134">
        <v>272277.57526110997</v>
      </c>
      <c r="O134">
        <v>103.43304500000001</v>
      </c>
      <c r="P134">
        <v>38641.832857000001</v>
      </c>
      <c r="Q134">
        <v>1491283.245686</v>
      </c>
    </row>
    <row r="135" spans="1:17" x14ac:dyDescent="0.3">
      <c r="A135" s="4">
        <v>43983</v>
      </c>
      <c r="B135" s="6">
        <v>1</v>
      </c>
      <c r="C135">
        <v>1053986090.77801</v>
      </c>
      <c r="D135">
        <v>4665528.9786223201</v>
      </c>
      <c r="E135">
        <v>5004.6287579999998</v>
      </c>
      <c r="F135">
        <v>2767421.8909328901</v>
      </c>
      <c r="G135">
        <v>36383130.185759202</v>
      </c>
      <c r="H135">
        <v>99786127</v>
      </c>
      <c r="I135">
        <v>430948.507881667</v>
      </c>
      <c r="J135">
        <v>151.21324000000001</v>
      </c>
      <c r="K135">
        <v>312391.52100100002</v>
      </c>
      <c r="L135">
        <v>5849514.9193449998</v>
      </c>
      <c r="M135">
        <v>64085170</v>
      </c>
      <c r="N135">
        <v>276766.01166054799</v>
      </c>
      <c r="O135">
        <v>104.753045</v>
      </c>
      <c r="P135">
        <v>36739.316938000004</v>
      </c>
      <c r="Q135">
        <v>1716475.4342120001</v>
      </c>
    </row>
    <row r="136" spans="1:17" x14ac:dyDescent="0.3">
      <c r="A136" s="4">
        <v>43982</v>
      </c>
      <c r="B136" s="6">
        <v>1</v>
      </c>
      <c r="C136">
        <v>1086170342.6152599</v>
      </c>
      <c r="D136">
        <v>4575135.3649514997</v>
      </c>
      <c r="E136">
        <v>5004.050405</v>
      </c>
      <c r="F136">
        <v>2724172.9178240201</v>
      </c>
      <c r="G136">
        <v>37187274.144151397</v>
      </c>
      <c r="H136">
        <v>103937024</v>
      </c>
      <c r="I136">
        <v>427161.86092388601</v>
      </c>
      <c r="J136">
        <v>151.20612299999999</v>
      </c>
      <c r="K136">
        <v>314324.26646200003</v>
      </c>
      <c r="L136">
        <v>5579106.7104049996</v>
      </c>
      <c r="M136">
        <v>64524244</v>
      </c>
      <c r="N136">
        <v>265182.65658392198</v>
      </c>
      <c r="O136">
        <v>100.34151</v>
      </c>
      <c r="P136">
        <v>33461.739061</v>
      </c>
      <c r="Q136">
        <v>1612361.550669</v>
      </c>
    </row>
    <row r="137" spans="1:17" x14ac:dyDescent="0.3">
      <c r="A137" s="4">
        <v>43981</v>
      </c>
      <c r="B137" s="6">
        <v>1</v>
      </c>
      <c r="C137">
        <v>1007747939.82601</v>
      </c>
      <c r="D137">
        <v>4709415.9985422697</v>
      </c>
      <c r="E137">
        <v>4985.0296230000004</v>
      </c>
      <c r="F137">
        <v>2734991.6150995302</v>
      </c>
      <c r="G137">
        <v>47333144.041748099</v>
      </c>
      <c r="H137">
        <v>95993270</v>
      </c>
      <c r="I137">
        <v>437287.12645772501</v>
      </c>
      <c r="J137">
        <v>181.73640900000001</v>
      </c>
      <c r="K137">
        <v>309349.57663999998</v>
      </c>
      <c r="L137">
        <v>15423489.105226999</v>
      </c>
      <c r="M137">
        <v>59091478</v>
      </c>
      <c r="N137">
        <v>269184.93986880401</v>
      </c>
      <c r="O137">
        <v>105.32881</v>
      </c>
      <c r="P137">
        <v>33183.176920999998</v>
      </c>
      <c r="Q137">
        <v>4091856.8287689998</v>
      </c>
    </row>
    <row r="138" spans="1:17" x14ac:dyDescent="0.3">
      <c r="A138" s="4">
        <v>43980</v>
      </c>
      <c r="B138" s="6">
        <v>1</v>
      </c>
      <c r="C138">
        <v>1002954496.18009</v>
      </c>
      <c r="D138">
        <v>4707535.3210170101</v>
      </c>
      <c r="E138">
        <v>4962.85173699999</v>
      </c>
      <c r="F138">
        <v>2718444.7139854399</v>
      </c>
      <c r="G138">
        <v>45468857.866207398</v>
      </c>
      <c r="H138">
        <v>98719571</v>
      </c>
      <c r="I138">
        <v>451433.92628498201</v>
      </c>
      <c r="J138">
        <v>182.25404399999999</v>
      </c>
      <c r="K138">
        <v>309185.56671599997</v>
      </c>
      <c r="L138">
        <v>15299840.657683</v>
      </c>
      <c r="M138">
        <v>57186687</v>
      </c>
      <c r="N138">
        <v>261508.537589171</v>
      </c>
      <c r="O138">
        <v>103.580445</v>
      </c>
      <c r="P138">
        <v>33398.964677999997</v>
      </c>
      <c r="Q138">
        <v>2196730.9237219999</v>
      </c>
    </row>
    <row r="139" spans="1:17" x14ac:dyDescent="0.3">
      <c r="A139" s="4">
        <v>43979</v>
      </c>
      <c r="B139" s="6">
        <v>1</v>
      </c>
      <c r="C139">
        <v>971330958.50654805</v>
      </c>
      <c r="D139">
        <v>4804750.2892123703</v>
      </c>
      <c r="E139">
        <v>4959.388747</v>
      </c>
      <c r="F139">
        <v>2718144.9612793899</v>
      </c>
      <c r="G139">
        <v>45716163.063834101</v>
      </c>
      <c r="H139">
        <v>98531534</v>
      </c>
      <c r="I139">
        <v>474942.32141135598</v>
      </c>
      <c r="J139">
        <v>182.356235</v>
      </c>
      <c r="K139">
        <v>308605.18449700001</v>
      </c>
      <c r="L139">
        <v>15666177.378546</v>
      </c>
      <c r="M139">
        <v>56253931</v>
      </c>
      <c r="N139">
        <v>271155.55287766299</v>
      </c>
      <c r="O139">
        <v>106.25671199999999</v>
      </c>
      <c r="P139">
        <v>33174.567940000001</v>
      </c>
      <c r="Q139">
        <v>2214049.9692159998</v>
      </c>
    </row>
    <row r="140" spans="1:17" x14ac:dyDescent="0.3">
      <c r="A140" s="4">
        <v>43978</v>
      </c>
      <c r="B140" s="6">
        <v>1</v>
      </c>
      <c r="C140">
        <v>952726177.90730798</v>
      </c>
      <c r="D140">
        <v>4812280.2618625704</v>
      </c>
      <c r="E140">
        <v>4881.301708</v>
      </c>
      <c r="F140">
        <v>2698399.8534085299</v>
      </c>
      <c r="G140">
        <v>45716725.321254499</v>
      </c>
      <c r="H140">
        <v>97622722</v>
      </c>
      <c r="I140">
        <v>480521.37231738499</v>
      </c>
      <c r="J140">
        <v>182.20078000000001</v>
      </c>
      <c r="K140">
        <v>309424.10474799998</v>
      </c>
      <c r="L140">
        <v>15448754.578624999</v>
      </c>
      <c r="M140">
        <v>55794099</v>
      </c>
      <c r="N140">
        <v>274631.32014175999</v>
      </c>
      <c r="O140">
        <v>101.026826</v>
      </c>
      <c r="P140">
        <v>33239.982118</v>
      </c>
      <c r="Q140">
        <v>2251508.4008220001</v>
      </c>
    </row>
    <row r="141" spans="1:17" x14ac:dyDescent="0.3">
      <c r="A141" s="4">
        <v>43977</v>
      </c>
      <c r="B141" s="6">
        <v>1</v>
      </c>
      <c r="C141">
        <v>962748791.27095699</v>
      </c>
      <c r="D141">
        <v>4783798.2229324002</v>
      </c>
      <c r="E141">
        <v>4882.2430160000004</v>
      </c>
      <c r="F141">
        <v>2691629.9592080601</v>
      </c>
      <c r="G141">
        <v>44352812.205626301</v>
      </c>
      <c r="H141">
        <v>95576256</v>
      </c>
      <c r="I141">
        <v>462794.18942475301</v>
      </c>
      <c r="J141">
        <v>180.93857199999999</v>
      </c>
      <c r="K141">
        <v>310542.59892900003</v>
      </c>
      <c r="L141">
        <v>15080805.825508</v>
      </c>
      <c r="M141">
        <v>56648200</v>
      </c>
      <c r="N141">
        <v>274298.85725353402</v>
      </c>
      <c r="O141">
        <v>101.10104200000001</v>
      </c>
      <c r="P141">
        <v>33123.797103999997</v>
      </c>
      <c r="Q141">
        <v>2326044.0416450002</v>
      </c>
    </row>
    <row r="142" spans="1:17" x14ac:dyDescent="0.3">
      <c r="A142" s="4">
        <v>43976</v>
      </c>
      <c r="B142" s="6">
        <v>1</v>
      </c>
      <c r="C142">
        <v>956919824.06623006</v>
      </c>
      <c r="D142">
        <v>4770663.8324749703</v>
      </c>
      <c r="E142">
        <v>4880.6720779999996</v>
      </c>
      <c r="F142">
        <v>2693783.0304601002</v>
      </c>
      <c r="G142">
        <v>36119484.085399903</v>
      </c>
      <c r="H142">
        <v>95472473</v>
      </c>
      <c r="I142">
        <v>463863.92478865001</v>
      </c>
      <c r="J142">
        <v>181.365554</v>
      </c>
      <c r="K142">
        <v>309301.640144</v>
      </c>
      <c r="L142">
        <v>4685159.7103359997</v>
      </c>
      <c r="M142">
        <v>56336114</v>
      </c>
      <c r="N142">
        <v>273715.45039354701</v>
      </c>
      <c r="O142">
        <v>89.137251000000006</v>
      </c>
      <c r="P142">
        <v>33311.225673000001</v>
      </c>
      <c r="Q142">
        <v>2428598.7754779998</v>
      </c>
    </row>
    <row r="143" spans="1:17" x14ac:dyDescent="0.3">
      <c r="A143" s="4">
        <v>43975</v>
      </c>
      <c r="B143" s="6">
        <v>1</v>
      </c>
      <c r="C143">
        <v>983027173.83624494</v>
      </c>
      <c r="D143">
        <v>4815605.6709150802</v>
      </c>
      <c r="E143">
        <v>4883.2419959999997</v>
      </c>
      <c r="F143">
        <v>2693951.03878194</v>
      </c>
      <c r="G143">
        <v>38631358.211734399</v>
      </c>
      <c r="H143">
        <v>102129937</v>
      </c>
      <c r="I143">
        <v>487517.00319824298</v>
      </c>
      <c r="J143">
        <v>182.96652800000001</v>
      </c>
      <c r="K143">
        <v>309963.34650099999</v>
      </c>
      <c r="L143">
        <v>6321797.0469079996</v>
      </c>
      <c r="M143">
        <v>56517226</v>
      </c>
      <c r="N143">
        <v>269784.839371807</v>
      </c>
      <c r="O143">
        <v>88.443886000000006</v>
      </c>
      <c r="P143">
        <v>32885.270832000002</v>
      </c>
      <c r="Q143">
        <v>2755732.2124689999</v>
      </c>
    </row>
    <row r="144" spans="1:17" x14ac:dyDescent="0.3">
      <c r="A144" s="4">
        <v>43974</v>
      </c>
      <c r="B144" s="6">
        <v>1</v>
      </c>
      <c r="C144">
        <v>990046697.67147005</v>
      </c>
      <c r="D144">
        <v>4851393.7571646897</v>
      </c>
      <c r="E144">
        <v>4824.19398</v>
      </c>
      <c r="F144">
        <v>2680422.85497502</v>
      </c>
      <c r="G144">
        <v>41316176.304364003</v>
      </c>
      <c r="H144">
        <v>104221619</v>
      </c>
      <c r="I144">
        <v>497810.56075659097</v>
      </c>
      <c r="J144">
        <v>182.720248</v>
      </c>
      <c r="K144">
        <v>308346.44509499997</v>
      </c>
      <c r="L144">
        <v>5973818.7577109998</v>
      </c>
      <c r="M144">
        <v>58061579</v>
      </c>
      <c r="N144">
        <v>277328.902369124</v>
      </c>
      <c r="O144">
        <v>89.217718000000005</v>
      </c>
      <c r="P144">
        <v>33121.193612000003</v>
      </c>
      <c r="Q144">
        <v>2861401.539413</v>
      </c>
    </row>
    <row r="145" spans="1:17" x14ac:dyDescent="0.3">
      <c r="A145" s="4">
        <v>43973</v>
      </c>
      <c r="B145" s="6">
        <v>1</v>
      </c>
      <c r="C145">
        <v>952605707.00673902</v>
      </c>
      <c r="D145">
        <v>4794872.8900382901</v>
      </c>
      <c r="E145">
        <v>4821.2439450000002</v>
      </c>
      <c r="F145">
        <v>2696657.5759828002</v>
      </c>
      <c r="G145">
        <v>38022439.832193397</v>
      </c>
      <c r="H145">
        <v>104398696</v>
      </c>
      <c r="I145">
        <v>519215.67613268999</v>
      </c>
      <c r="J145">
        <v>182.66358700000001</v>
      </c>
      <c r="K145">
        <v>308654.10241499997</v>
      </c>
      <c r="L145">
        <v>7160889.4893060001</v>
      </c>
      <c r="M145">
        <v>54962599</v>
      </c>
      <c r="N145">
        <v>273350.56945342402</v>
      </c>
      <c r="O145">
        <v>86.772313999999994</v>
      </c>
      <c r="P145">
        <v>33104.777142999999</v>
      </c>
      <c r="Q145">
        <v>2388881.3369399998</v>
      </c>
    </row>
    <row r="146" spans="1:17" x14ac:dyDescent="0.3">
      <c r="A146" s="4">
        <v>43972</v>
      </c>
      <c r="B146" s="6">
        <v>1</v>
      </c>
      <c r="C146">
        <v>973086027.43481898</v>
      </c>
      <c r="D146">
        <v>4682565.2992346799</v>
      </c>
      <c r="E146">
        <v>4811.9026409999997</v>
      </c>
      <c r="F146">
        <v>2694005.7313537099</v>
      </c>
      <c r="G146">
        <v>38287325.030723102</v>
      </c>
      <c r="H146">
        <v>103673626</v>
      </c>
      <c r="I146">
        <v>492815.63911203999</v>
      </c>
      <c r="J146">
        <v>182.66934900000001</v>
      </c>
      <c r="K146">
        <v>308426.13478600001</v>
      </c>
      <c r="L146">
        <v>7329768.2299560001</v>
      </c>
      <c r="M146">
        <v>57777881</v>
      </c>
      <c r="N146">
        <v>274648.86152968497</v>
      </c>
      <c r="O146">
        <v>89.801342000000005</v>
      </c>
      <c r="P146">
        <v>32878.908812000001</v>
      </c>
      <c r="Q146">
        <v>2259887.7688799999</v>
      </c>
    </row>
    <row r="147" spans="1:17" x14ac:dyDescent="0.3">
      <c r="A147" s="4">
        <v>43971</v>
      </c>
      <c r="B147" s="6">
        <v>1</v>
      </c>
      <c r="C147">
        <v>986652970.07593203</v>
      </c>
      <c r="D147">
        <v>4627864.9714606497</v>
      </c>
      <c r="E147">
        <v>4811.9412349999902</v>
      </c>
      <c r="F147">
        <v>2698830.9420314101</v>
      </c>
      <c r="G147">
        <v>37997183.707173496</v>
      </c>
      <c r="H147">
        <v>105293235</v>
      </c>
      <c r="I147">
        <v>492622.97651352099</v>
      </c>
      <c r="J147">
        <v>183.87337400000001</v>
      </c>
      <c r="K147">
        <v>318884.901029</v>
      </c>
      <c r="L147">
        <v>7544330.9594289996</v>
      </c>
      <c r="M147">
        <v>55969507</v>
      </c>
      <c r="N147">
        <v>261857.89744549399</v>
      </c>
      <c r="O147">
        <v>89.767132000000004</v>
      </c>
      <c r="P147">
        <v>33183.799590000002</v>
      </c>
      <c r="Q147">
        <v>2206827.5247800001</v>
      </c>
    </row>
    <row r="148" spans="1:17" x14ac:dyDescent="0.3">
      <c r="A148" s="4">
        <v>43970</v>
      </c>
      <c r="B148" s="6">
        <v>1</v>
      </c>
      <c r="C148">
        <v>980687414.31185603</v>
      </c>
      <c r="D148">
        <v>4589859.49390727</v>
      </c>
      <c r="E148">
        <v>4812.1012350000001</v>
      </c>
      <c r="F148">
        <v>2685912.7675002101</v>
      </c>
      <c r="G148">
        <v>35905189.502328098</v>
      </c>
      <c r="H148">
        <v>105661660</v>
      </c>
      <c r="I148">
        <v>493308.09094728902</v>
      </c>
      <c r="J148">
        <v>183.750857</v>
      </c>
      <c r="K148">
        <v>320137.24320899998</v>
      </c>
      <c r="L148">
        <v>7563524.4053469999</v>
      </c>
      <c r="M148">
        <v>53532448</v>
      </c>
      <c r="N148">
        <v>249929.72594425501</v>
      </c>
      <c r="O148">
        <v>90.347854999999996</v>
      </c>
      <c r="P148">
        <v>33559.47077</v>
      </c>
      <c r="Q148">
        <v>2193130.677751</v>
      </c>
    </row>
    <row r="149" spans="1:17" x14ac:dyDescent="0.3">
      <c r="A149" s="4">
        <v>43969</v>
      </c>
      <c r="B149" s="6">
        <v>1</v>
      </c>
      <c r="C149">
        <v>953973349.50583899</v>
      </c>
      <c r="D149">
        <v>4629968.7630113699</v>
      </c>
      <c r="E149">
        <v>4806.8716029999996</v>
      </c>
      <c r="F149">
        <v>2667130.6357154702</v>
      </c>
      <c r="G149">
        <v>36192741.357275598</v>
      </c>
      <c r="H149">
        <v>106196467</v>
      </c>
      <c r="I149">
        <v>514144.11522633699</v>
      </c>
      <c r="J149">
        <v>177.77208200000001</v>
      </c>
      <c r="K149">
        <v>319970.79550800001</v>
      </c>
      <c r="L149">
        <v>7896058.7802499998</v>
      </c>
      <c r="M149">
        <v>53071448</v>
      </c>
      <c r="N149">
        <v>256942.37714838999</v>
      </c>
      <c r="O149">
        <v>90.673867000000001</v>
      </c>
      <c r="P149">
        <v>33459.690156999997</v>
      </c>
      <c r="Q149">
        <v>2103229.5795479999</v>
      </c>
    </row>
    <row r="150" spans="1:17" x14ac:dyDescent="0.3">
      <c r="A150" s="4">
        <v>43968</v>
      </c>
      <c r="B150" s="6">
        <v>1</v>
      </c>
      <c r="C150">
        <v>937287593.87335598</v>
      </c>
      <c r="D150">
        <v>4678617.1206613099</v>
      </c>
      <c r="E150">
        <v>4806.4115589999901</v>
      </c>
      <c r="F150">
        <v>2670314.48721882</v>
      </c>
      <c r="G150">
        <v>36022675.227871202</v>
      </c>
      <c r="H150">
        <v>104230628</v>
      </c>
      <c r="I150">
        <v>519050.98351675703</v>
      </c>
      <c r="J150">
        <v>173.945369</v>
      </c>
      <c r="K150">
        <v>322508.61885000003</v>
      </c>
      <c r="L150">
        <v>7337341.04275499</v>
      </c>
      <c r="M150">
        <v>53240396</v>
      </c>
      <c r="N150">
        <v>265128.21074647602</v>
      </c>
      <c r="O150">
        <v>87.131495999999999</v>
      </c>
      <c r="P150">
        <v>33391.940873</v>
      </c>
      <c r="Q150">
        <v>1912830.5708890001</v>
      </c>
    </row>
    <row r="151" spans="1:17" x14ac:dyDescent="0.3">
      <c r="A151" s="4">
        <v>43967</v>
      </c>
      <c r="B151" s="6">
        <v>1</v>
      </c>
      <c r="C151">
        <v>918745188.56938398</v>
      </c>
      <c r="D151">
        <v>4719421.7979601203</v>
      </c>
      <c r="E151">
        <v>4797.24053799999</v>
      </c>
      <c r="F151">
        <v>2670305.3261071602</v>
      </c>
      <c r="G151">
        <v>35827153.828053899</v>
      </c>
      <c r="H151">
        <v>99149478</v>
      </c>
      <c r="I151">
        <v>508172.20029726799</v>
      </c>
      <c r="J151">
        <v>174.52611200000001</v>
      </c>
      <c r="K151">
        <v>321533.25765500002</v>
      </c>
      <c r="L151">
        <v>7350288.3241419997</v>
      </c>
      <c r="M151">
        <v>52526928</v>
      </c>
      <c r="N151">
        <v>269216.995540976</v>
      </c>
      <c r="O151">
        <v>87.120992999999999</v>
      </c>
      <c r="P151">
        <v>32407.395571000001</v>
      </c>
      <c r="Q151">
        <v>1912063.458513</v>
      </c>
    </row>
    <row r="152" spans="1:17" x14ac:dyDescent="0.3">
      <c r="A152" s="4">
        <v>43966</v>
      </c>
      <c r="B152" s="6">
        <v>1</v>
      </c>
      <c r="C152">
        <v>943922652.22833204</v>
      </c>
      <c r="D152">
        <v>4664168.5269177603</v>
      </c>
      <c r="E152">
        <v>4789.4540229999902</v>
      </c>
      <c r="F152">
        <v>2636704.3285219301</v>
      </c>
      <c r="G152">
        <v>36184706.0124356</v>
      </c>
      <c r="H152">
        <v>101848048</v>
      </c>
      <c r="I152">
        <v>502110.27410767099</v>
      </c>
      <c r="J152">
        <v>174.816112</v>
      </c>
      <c r="K152">
        <v>320914.35830899997</v>
      </c>
      <c r="L152">
        <v>7671264.4922499899</v>
      </c>
      <c r="M152">
        <v>52756822</v>
      </c>
      <c r="N152">
        <v>260090.82035101499</v>
      </c>
      <c r="O152">
        <v>85.640882000000005</v>
      </c>
      <c r="P152">
        <v>30374.443163</v>
      </c>
      <c r="Q152">
        <v>1671564.7750560001</v>
      </c>
    </row>
    <row r="153" spans="1:17" x14ac:dyDescent="0.3">
      <c r="A153" s="4">
        <v>43965</v>
      </c>
      <c r="B153" s="6">
        <v>1</v>
      </c>
      <c r="C153">
        <v>934914944.78703797</v>
      </c>
      <c r="D153">
        <v>4681629.9740181798</v>
      </c>
      <c r="E153">
        <v>4789.1227629999903</v>
      </c>
      <c r="F153">
        <v>2617376.1242567799</v>
      </c>
      <c r="G153">
        <v>38153634.926711097</v>
      </c>
      <c r="H153">
        <v>104955181</v>
      </c>
      <c r="I153">
        <v>524408.81882682105</v>
      </c>
      <c r="J153">
        <v>177.45052200000001</v>
      </c>
      <c r="K153">
        <v>323233.18415099999</v>
      </c>
      <c r="L153">
        <v>10295373.698175</v>
      </c>
      <c r="M153">
        <v>50794116</v>
      </c>
      <c r="N153">
        <v>253792.92495253301</v>
      </c>
      <c r="O153">
        <v>92.439851000000004</v>
      </c>
      <c r="P153">
        <v>28102.998981000001</v>
      </c>
      <c r="Q153">
        <v>1764261.3818950001</v>
      </c>
    </row>
    <row r="154" spans="1:17" x14ac:dyDescent="0.3">
      <c r="A154" s="4">
        <v>43964</v>
      </c>
      <c r="B154" s="6">
        <v>1</v>
      </c>
      <c r="C154">
        <v>915033360.47157598</v>
      </c>
      <c r="D154">
        <v>4780851.3268338405</v>
      </c>
      <c r="E154">
        <v>4733.8412309999903</v>
      </c>
      <c r="F154">
        <v>2674324.194435</v>
      </c>
      <c r="G154">
        <v>38089195.227131903</v>
      </c>
      <c r="H154">
        <v>98791126</v>
      </c>
      <c r="I154">
        <v>515046.79630884703</v>
      </c>
      <c r="J154">
        <v>177.39553000000001</v>
      </c>
      <c r="K154">
        <v>323869.21977500001</v>
      </c>
      <c r="L154">
        <v>7761081.5217580004</v>
      </c>
      <c r="M154">
        <v>48932445</v>
      </c>
      <c r="N154">
        <v>255108.935926176</v>
      </c>
      <c r="O154">
        <v>92.717276999999996</v>
      </c>
      <c r="P154">
        <v>27962.045547000002</v>
      </c>
      <c r="Q154">
        <v>1704582.049291</v>
      </c>
    </row>
    <row r="155" spans="1:17" x14ac:dyDescent="0.3">
      <c r="A155" s="4">
        <v>43963</v>
      </c>
      <c r="B155" s="6">
        <v>1</v>
      </c>
      <c r="C155">
        <v>899982913.98726499</v>
      </c>
      <c r="D155">
        <v>4826374.6307000602</v>
      </c>
      <c r="E155">
        <v>3237.8807539999998</v>
      </c>
      <c r="F155">
        <v>2739293.0882018399</v>
      </c>
      <c r="G155">
        <v>38694227.459684499</v>
      </c>
      <c r="H155">
        <v>97307452</v>
      </c>
      <c r="I155">
        <v>520806.31556411902</v>
      </c>
      <c r="J155">
        <v>130.259004</v>
      </c>
      <c r="K155">
        <v>323121.87950899999</v>
      </c>
      <c r="L155">
        <v>7489911.1928589996</v>
      </c>
      <c r="M155">
        <v>50246139</v>
      </c>
      <c r="N155">
        <v>268926.02761721198</v>
      </c>
      <c r="O155">
        <v>92.753905000000003</v>
      </c>
      <c r="P155">
        <v>27876.860365</v>
      </c>
      <c r="Q155">
        <v>1838162.3410189999</v>
      </c>
    </row>
    <row r="156" spans="1:17" x14ac:dyDescent="0.3">
      <c r="A156" s="4">
        <v>43962</v>
      </c>
      <c r="B156" s="6">
        <v>1</v>
      </c>
      <c r="C156">
        <v>914218764.60001898</v>
      </c>
      <c r="D156">
        <v>4868489.9559377804</v>
      </c>
      <c r="E156">
        <v>3232.0559819999999</v>
      </c>
      <c r="F156">
        <v>2805503.45074315</v>
      </c>
      <c r="G156">
        <v>37750546.185919002</v>
      </c>
      <c r="H156">
        <v>95382722</v>
      </c>
      <c r="I156">
        <v>506358.34793226002</v>
      </c>
      <c r="J156">
        <v>133.12205033000001</v>
      </c>
      <c r="K156">
        <v>323198.25305253098</v>
      </c>
      <c r="L156">
        <v>6885804.5389962299</v>
      </c>
      <c r="M156">
        <v>50741156</v>
      </c>
      <c r="N156">
        <v>269369.62361310102</v>
      </c>
      <c r="O156">
        <v>94.279920000000004</v>
      </c>
      <c r="P156">
        <v>27995.696055</v>
      </c>
      <c r="Q156">
        <v>1913939.122559</v>
      </c>
    </row>
    <row r="157" spans="1:17" x14ac:dyDescent="0.3">
      <c r="A157" s="4">
        <v>43961</v>
      </c>
      <c r="B157" s="6">
        <v>1</v>
      </c>
      <c r="C157">
        <v>980417853.54877198</v>
      </c>
      <c r="D157">
        <v>4699116.03210242</v>
      </c>
      <c r="E157">
        <v>3231.3167880000001</v>
      </c>
      <c r="F157">
        <v>2780041.22237274</v>
      </c>
      <c r="G157">
        <v>36531799.798718996</v>
      </c>
      <c r="H157">
        <v>100001048</v>
      </c>
      <c r="I157">
        <v>477719.61973916698</v>
      </c>
      <c r="J157">
        <v>131.97280759</v>
      </c>
      <c r="K157">
        <v>322715.71841047303</v>
      </c>
      <c r="L157">
        <v>5654436.1415728601</v>
      </c>
      <c r="M157">
        <v>52805927</v>
      </c>
      <c r="N157">
        <v>252261.62996225999</v>
      </c>
      <c r="O157">
        <v>93.904831000000001</v>
      </c>
      <c r="P157">
        <v>26126.430446999999</v>
      </c>
      <c r="Q157">
        <v>1908946.2117659999</v>
      </c>
    </row>
    <row r="158" spans="1:17" x14ac:dyDescent="0.3">
      <c r="A158" s="4">
        <v>43960</v>
      </c>
      <c r="B158" s="6">
        <v>1</v>
      </c>
      <c r="C158">
        <v>981497404.16274703</v>
      </c>
      <c r="D158">
        <v>4671474.2267552102</v>
      </c>
      <c r="E158">
        <v>3233.7667499999998</v>
      </c>
      <c r="F158">
        <v>2766055.7831188599</v>
      </c>
      <c r="G158">
        <v>36600220.481917597</v>
      </c>
      <c r="H158">
        <v>99843731</v>
      </c>
      <c r="I158">
        <v>473641.98766603402</v>
      </c>
      <c r="J158">
        <v>132.42521952000001</v>
      </c>
      <c r="K158">
        <v>319131.33990186598</v>
      </c>
      <c r="L158">
        <v>6319245.9173826901</v>
      </c>
      <c r="M158">
        <v>51694170</v>
      </c>
      <c r="N158">
        <v>245228.510436432</v>
      </c>
      <c r="O158">
        <v>92.181537000000006</v>
      </c>
      <c r="P158">
        <v>29185.855327000001</v>
      </c>
      <c r="Q158">
        <v>1699348.4374009999</v>
      </c>
    </row>
    <row r="159" spans="1:17" x14ac:dyDescent="0.3">
      <c r="A159" s="4">
        <v>43959</v>
      </c>
      <c r="B159" s="6">
        <v>1</v>
      </c>
      <c r="C159">
        <v>974345807.39497101</v>
      </c>
      <c r="D159">
        <v>4630601.6435371498</v>
      </c>
      <c r="E159">
        <v>3231.6366010000002</v>
      </c>
      <c r="F159">
        <v>2765604.6773084402</v>
      </c>
      <c r="G159">
        <v>36453594.276428699</v>
      </c>
      <c r="H159">
        <v>97885979</v>
      </c>
      <c r="I159">
        <v>463628.94425235601</v>
      </c>
      <c r="J159">
        <v>132.53139922</v>
      </c>
      <c r="K159">
        <v>317306.47335892002</v>
      </c>
      <c r="L159">
        <v>6740662.6206724904</v>
      </c>
      <c r="M159">
        <v>47555632</v>
      </c>
      <c r="N159">
        <v>225243.36664614201</v>
      </c>
      <c r="O159">
        <v>92.538580999999994</v>
      </c>
      <c r="P159">
        <v>31086.736351</v>
      </c>
      <c r="Q159">
        <v>1351189.5102200001</v>
      </c>
    </row>
    <row r="160" spans="1:17" x14ac:dyDescent="0.3">
      <c r="A160" s="4">
        <v>43958</v>
      </c>
      <c r="B160" s="6">
        <v>1</v>
      </c>
      <c r="C160">
        <v>945957240.21961105</v>
      </c>
      <c r="D160">
        <v>4772702.9738841597</v>
      </c>
      <c r="E160">
        <v>3238.9243799999999</v>
      </c>
      <c r="F160">
        <v>2779003.4879388302</v>
      </c>
      <c r="G160">
        <v>36302969.948435299</v>
      </c>
      <c r="H160">
        <v>95728547</v>
      </c>
      <c r="I160">
        <v>481701.53977758699</v>
      </c>
      <c r="J160">
        <v>132.84338715000001</v>
      </c>
      <c r="K160">
        <v>316586.88410098798</v>
      </c>
      <c r="L160">
        <v>6699044.0683899</v>
      </c>
      <c r="M160">
        <v>45120595</v>
      </c>
      <c r="N160">
        <v>227044.70890152399</v>
      </c>
      <c r="O160">
        <v>92.535571000000004</v>
      </c>
      <c r="P160">
        <v>31491.531964000002</v>
      </c>
      <c r="Q160">
        <v>1201844.5424490001</v>
      </c>
    </row>
    <row r="161" spans="1:17" x14ac:dyDescent="0.3">
      <c r="A161" s="4">
        <v>43957</v>
      </c>
      <c r="B161" s="6">
        <v>1</v>
      </c>
      <c r="C161">
        <v>938696847.19560802</v>
      </c>
      <c r="D161">
        <v>4584895.7911145696</v>
      </c>
      <c r="E161">
        <v>3247.1636140000001</v>
      </c>
      <c r="F161">
        <v>2785848.9535063701</v>
      </c>
      <c r="G161">
        <v>36022658.341605604</v>
      </c>
      <c r="H161">
        <v>97790402</v>
      </c>
      <c r="I161">
        <v>476375.691738113</v>
      </c>
      <c r="J161">
        <v>132.62596846</v>
      </c>
      <c r="K161">
        <v>315881.63459079497</v>
      </c>
      <c r="L161">
        <v>6830297.1895047203</v>
      </c>
      <c r="M161">
        <v>42933336</v>
      </c>
      <c r="N161">
        <v>209145.24551831599</v>
      </c>
      <c r="O161">
        <v>92.496099000000001</v>
      </c>
      <c r="P161">
        <v>33043.173994999997</v>
      </c>
      <c r="Q161">
        <v>1080976.2929680001</v>
      </c>
    </row>
    <row r="162" spans="1:17" x14ac:dyDescent="0.3">
      <c r="A162" s="4">
        <v>43956</v>
      </c>
      <c r="B162" s="6">
        <v>1</v>
      </c>
      <c r="C162">
        <v>934274695.83548796</v>
      </c>
      <c r="D162">
        <v>4524169.3035835</v>
      </c>
      <c r="E162">
        <v>3244.113648</v>
      </c>
      <c r="F162">
        <v>2755825.8612708198</v>
      </c>
      <c r="G162">
        <v>35696461.9094676</v>
      </c>
      <c r="H162">
        <v>98338238</v>
      </c>
      <c r="I162">
        <v>474926.29189606803</v>
      </c>
      <c r="J162">
        <v>132.52320735000001</v>
      </c>
      <c r="K162">
        <v>315953.41123701702</v>
      </c>
      <c r="L162">
        <v>6784670.7826780202</v>
      </c>
      <c r="M162">
        <v>43177879</v>
      </c>
      <c r="N162">
        <v>208528.34444122401</v>
      </c>
      <c r="O162">
        <v>91.539254</v>
      </c>
      <c r="P162">
        <v>33050.341221000002</v>
      </c>
      <c r="Q162">
        <v>999744.13796099997</v>
      </c>
    </row>
    <row r="163" spans="1:17" x14ac:dyDescent="0.3">
      <c r="A163" s="4">
        <v>43955</v>
      </c>
      <c r="B163" s="6">
        <v>1</v>
      </c>
      <c r="C163">
        <v>943716202.94334698</v>
      </c>
      <c r="D163">
        <v>4496164.6960984599</v>
      </c>
      <c r="E163">
        <v>3243.7031550000002</v>
      </c>
      <c r="F163">
        <v>2757469.9651177898</v>
      </c>
      <c r="G163">
        <v>37521809.489098199</v>
      </c>
      <c r="H163">
        <v>100463207</v>
      </c>
      <c r="I163">
        <v>477418.65228341898</v>
      </c>
      <c r="J163">
        <v>132.98150945</v>
      </c>
      <c r="K163">
        <v>316940.79376636998</v>
      </c>
      <c r="L163">
        <v>6911425.2571922103</v>
      </c>
      <c r="M163">
        <v>41840009</v>
      </c>
      <c r="N163">
        <v>198831.00793612999</v>
      </c>
      <c r="O163">
        <v>88.874522999999996</v>
      </c>
      <c r="P163">
        <v>32518.786237</v>
      </c>
      <c r="Q163">
        <v>1053426.3059050001</v>
      </c>
    </row>
    <row r="164" spans="1:17" x14ac:dyDescent="0.3">
      <c r="A164" s="4">
        <v>43954</v>
      </c>
      <c r="B164" s="6">
        <v>1</v>
      </c>
      <c r="C164">
        <v>948731294.17757297</v>
      </c>
      <c r="D164">
        <v>4459792.0191315701</v>
      </c>
      <c r="E164">
        <v>2249.4230129999901</v>
      </c>
      <c r="F164">
        <v>2763569.09766261</v>
      </c>
      <c r="G164">
        <v>38537877.162942499</v>
      </c>
      <c r="H164">
        <v>101150704</v>
      </c>
      <c r="I164">
        <v>474306.96802025603</v>
      </c>
      <c r="J164">
        <v>132.98150942999999</v>
      </c>
      <c r="K164">
        <v>315745.714084448</v>
      </c>
      <c r="L164">
        <v>7914860.5776569303</v>
      </c>
      <c r="M164">
        <v>43130333</v>
      </c>
      <c r="N164">
        <v>202242.956953952</v>
      </c>
      <c r="O164">
        <v>88.340003999999993</v>
      </c>
      <c r="P164">
        <v>32573.244348</v>
      </c>
      <c r="Q164">
        <v>1101767.381537</v>
      </c>
    </row>
    <row r="165" spans="1:17" x14ac:dyDescent="0.3">
      <c r="A165" s="4">
        <v>43953</v>
      </c>
      <c r="B165" s="6">
        <v>1</v>
      </c>
      <c r="C165">
        <v>929038575.84378195</v>
      </c>
      <c r="D165">
        <v>4378988.6647860799</v>
      </c>
      <c r="E165">
        <v>2245.9030029999999</v>
      </c>
      <c r="F165">
        <v>2757023.4059778899</v>
      </c>
      <c r="G165">
        <v>30345803.332069799</v>
      </c>
      <c r="H165">
        <v>102851047</v>
      </c>
      <c r="I165">
        <v>483549.82134461601</v>
      </c>
      <c r="J165">
        <v>133.01802089</v>
      </c>
      <c r="K165">
        <v>314916.74210130499</v>
      </c>
      <c r="L165">
        <v>7232920.3344877297</v>
      </c>
      <c r="M165">
        <v>43934807</v>
      </c>
      <c r="N165">
        <v>206557.625763986</v>
      </c>
      <c r="O165">
        <v>82.553610000000006</v>
      </c>
      <c r="P165">
        <v>32522.653263</v>
      </c>
      <c r="Q165">
        <v>1198388.5876730001</v>
      </c>
    </row>
    <row r="166" spans="1:17" x14ac:dyDescent="0.3">
      <c r="A166" s="4">
        <v>43952</v>
      </c>
      <c r="B166" s="6">
        <v>1</v>
      </c>
      <c r="C166">
        <v>905673338.55670202</v>
      </c>
      <c r="D166">
        <v>4391257.1117666904</v>
      </c>
      <c r="E166">
        <v>2244.4364519999999</v>
      </c>
      <c r="F166">
        <v>2805046.35007304</v>
      </c>
      <c r="G166">
        <v>30828020.0947516</v>
      </c>
      <c r="H166">
        <v>94689596</v>
      </c>
      <c r="I166">
        <v>457946.49127049302</v>
      </c>
      <c r="J166">
        <v>135.66442042</v>
      </c>
      <c r="K166">
        <v>317337.95839066501</v>
      </c>
      <c r="L166">
        <v>7484174.2349387696</v>
      </c>
      <c r="M166">
        <v>42354290</v>
      </c>
      <c r="N166">
        <v>204837.69405619701</v>
      </c>
      <c r="O166">
        <v>78.192076</v>
      </c>
      <c r="P166">
        <v>32557.550285000001</v>
      </c>
      <c r="Q166">
        <v>1250936.996541</v>
      </c>
    </row>
    <row r="167" spans="1:17" x14ac:dyDescent="0.3">
      <c r="A167" s="4">
        <v>43951</v>
      </c>
      <c r="B167" s="6">
        <v>1</v>
      </c>
      <c r="C167">
        <v>959124686.530496</v>
      </c>
      <c r="D167">
        <v>4476479.3472694196</v>
      </c>
      <c r="E167">
        <v>2240.2901419999998</v>
      </c>
      <c r="F167">
        <v>2854733.7837490998</v>
      </c>
      <c r="G167">
        <v>30218465.454812501</v>
      </c>
      <c r="H167">
        <v>98461357</v>
      </c>
      <c r="I167">
        <v>458407.54690627998</v>
      </c>
      <c r="J167">
        <v>136.08108383999999</v>
      </c>
      <c r="K167">
        <v>311771.06163420301</v>
      </c>
      <c r="L167">
        <v>7471983.88107053</v>
      </c>
      <c r="M167">
        <v>44432028</v>
      </c>
      <c r="N167">
        <v>206862.647236836</v>
      </c>
      <c r="O167">
        <v>76.886945999999995</v>
      </c>
      <c r="P167">
        <v>32384.456472999998</v>
      </c>
      <c r="Q167">
        <v>1113527.7153179999</v>
      </c>
    </row>
    <row r="168" spans="1:17" x14ac:dyDescent="0.3">
      <c r="A168" s="4">
        <v>43950</v>
      </c>
      <c r="B168" s="6">
        <v>1</v>
      </c>
      <c r="C168">
        <v>886859291.41133904</v>
      </c>
      <c r="D168">
        <v>4529750.4942926997</v>
      </c>
      <c r="E168">
        <v>2184.6083050000002</v>
      </c>
      <c r="F168">
        <v>2813502.1785139302</v>
      </c>
      <c r="G168">
        <v>29123733.834436201</v>
      </c>
      <c r="H168">
        <v>94262169</v>
      </c>
      <c r="I168">
        <v>480341.26070118201</v>
      </c>
      <c r="J168">
        <v>136.24817970999999</v>
      </c>
      <c r="K168">
        <v>308125.71824711602</v>
      </c>
      <c r="L168">
        <v>7746957.0855696304</v>
      </c>
      <c r="M168">
        <v>42450124</v>
      </c>
      <c r="N168">
        <v>216317.38687321599</v>
      </c>
      <c r="O168">
        <v>72.327376000000001</v>
      </c>
      <c r="P168">
        <v>32013.600042999999</v>
      </c>
      <c r="Q168">
        <v>874517.20946799999</v>
      </c>
    </row>
    <row r="169" spans="1:17" x14ac:dyDescent="0.3">
      <c r="A169" s="4">
        <v>43949</v>
      </c>
      <c r="B169" s="6">
        <v>1</v>
      </c>
      <c r="C169">
        <v>885248272.76084006</v>
      </c>
      <c r="D169">
        <v>4524285.7142857099</v>
      </c>
      <c r="E169">
        <v>2069.6308039999999</v>
      </c>
      <c r="F169">
        <v>2816123.2181167598</v>
      </c>
      <c r="G169">
        <v>29588625.9132073</v>
      </c>
      <c r="H169">
        <v>93936042</v>
      </c>
      <c r="I169">
        <v>478923.43224227597</v>
      </c>
      <c r="J169">
        <v>149.59800000000001</v>
      </c>
      <c r="K169">
        <v>309923.28702522698</v>
      </c>
      <c r="L169">
        <v>8179246.52423226</v>
      </c>
      <c r="M169">
        <v>39034171</v>
      </c>
      <c r="N169">
        <v>199011.78240032599</v>
      </c>
      <c r="O169">
        <v>73.971694999999997</v>
      </c>
      <c r="P169">
        <v>31968.922450999999</v>
      </c>
      <c r="Q169">
        <v>833289.52636000002</v>
      </c>
    </row>
    <row r="170" spans="1:17" x14ac:dyDescent="0.3">
      <c r="A170" s="4">
        <v>43948</v>
      </c>
      <c r="B170" s="6">
        <v>1</v>
      </c>
      <c r="C170">
        <v>832662797.61138403</v>
      </c>
      <c r="D170">
        <v>4249338.9485470001</v>
      </c>
      <c r="E170">
        <v>2066.750736</v>
      </c>
      <c r="F170">
        <v>2831064.1235374301</v>
      </c>
      <c r="G170">
        <v>30301014.992205098</v>
      </c>
      <c r="H170">
        <v>79648265</v>
      </c>
      <c r="I170">
        <v>405355.31070283399</v>
      </c>
      <c r="J170">
        <v>177.42987092000001</v>
      </c>
      <c r="K170">
        <v>309131.83547518199</v>
      </c>
      <c r="L170">
        <v>8920944.7399877403</v>
      </c>
      <c r="M170">
        <v>39348865</v>
      </c>
      <c r="N170">
        <v>200258.86813578199</v>
      </c>
      <c r="O170">
        <v>68.280354000000003</v>
      </c>
      <c r="P170">
        <v>31506.546474999999</v>
      </c>
      <c r="Q170">
        <v>479275.08098999999</v>
      </c>
    </row>
    <row r="171" spans="1:17" x14ac:dyDescent="0.3">
      <c r="A171" s="4">
        <v>43947</v>
      </c>
      <c r="B171" s="6">
        <v>1</v>
      </c>
      <c r="C171">
        <v>840148993.13342702</v>
      </c>
      <c r="D171">
        <v>4337035.0442751199</v>
      </c>
      <c r="E171">
        <v>2067.2906560000001</v>
      </c>
      <c r="F171">
        <v>2792838.939799</v>
      </c>
      <c r="G171">
        <v>33186620.0174881</v>
      </c>
      <c r="H171">
        <v>91527389</v>
      </c>
      <c r="I171">
        <v>471207.727553542</v>
      </c>
      <c r="J171">
        <v>181.58058868000001</v>
      </c>
      <c r="K171">
        <v>306806.09295967501</v>
      </c>
      <c r="L171">
        <v>8357537.0902572097</v>
      </c>
      <c r="M171">
        <v>39026224</v>
      </c>
      <c r="N171">
        <v>200917.54530477701</v>
      </c>
      <c r="O171">
        <v>67.613304999999997</v>
      </c>
      <c r="P171">
        <v>27630.935468</v>
      </c>
      <c r="Q171">
        <v>673607.21973899996</v>
      </c>
    </row>
    <row r="172" spans="1:17" x14ac:dyDescent="0.3">
      <c r="A172" s="4">
        <v>43946</v>
      </c>
      <c r="B172" s="6">
        <v>1</v>
      </c>
      <c r="C172">
        <v>821700689.91941094</v>
      </c>
      <c r="D172">
        <v>4398498.1902626501</v>
      </c>
      <c r="E172">
        <v>2073.460454</v>
      </c>
      <c r="F172">
        <v>2800451.9436399201</v>
      </c>
      <c r="G172">
        <v>32316401.6637749</v>
      </c>
      <c r="H172">
        <v>88760224</v>
      </c>
      <c r="I172">
        <v>473842.75037369202</v>
      </c>
      <c r="J172">
        <v>181.65456372</v>
      </c>
      <c r="K172">
        <v>308467.29099309799</v>
      </c>
      <c r="L172">
        <v>9051452.2361283004</v>
      </c>
      <c r="M172">
        <v>38306559</v>
      </c>
      <c r="N172">
        <v>204497.966047405</v>
      </c>
      <c r="O172">
        <v>58.071309999999997</v>
      </c>
      <c r="P172">
        <v>26982.586887000001</v>
      </c>
      <c r="Q172">
        <v>377879.81608999998</v>
      </c>
    </row>
    <row r="173" spans="1:17" x14ac:dyDescent="0.3">
      <c r="A173" s="4">
        <v>43945</v>
      </c>
      <c r="B173" s="6">
        <v>1</v>
      </c>
      <c r="C173">
        <v>810336840.20617795</v>
      </c>
      <c r="D173">
        <v>4388551.4968118398</v>
      </c>
      <c r="E173">
        <v>2082.3475589999998</v>
      </c>
      <c r="F173">
        <v>2751516.7131204698</v>
      </c>
      <c r="G173">
        <v>31370456.924538199</v>
      </c>
      <c r="H173">
        <v>89325437</v>
      </c>
      <c r="I173">
        <v>482683.65395006997</v>
      </c>
      <c r="J173">
        <v>132.82819142</v>
      </c>
      <c r="K173">
        <v>308074.68247391802</v>
      </c>
      <c r="L173">
        <v>8901918.0863604899</v>
      </c>
      <c r="M173">
        <v>37359239</v>
      </c>
      <c r="N173">
        <v>201876.35901869601</v>
      </c>
      <c r="O173">
        <v>61.806826000000001</v>
      </c>
      <c r="P173">
        <v>28825.064682</v>
      </c>
      <c r="Q173">
        <v>577986.47127500002</v>
      </c>
    </row>
    <row r="174" spans="1:17" x14ac:dyDescent="0.3">
      <c r="A174" s="4">
        <v>43944</v>
      </c>
      <c r="B174" s="6">
        <v>1</v>
      </c>
      <c r="C174">
        <v>823483989.45585299</v>
      </c>
      <c r="D174">
        <v>4488577.0799347404</v>
      </c>
      <c r="E174">
        <v>2094.1650369999902</v>
      </c>
      <c r="F174">
        <v>2803578.99977908</v>
      </c>
      <c r="G174">
        <v>23607939.082993802</v>
      </c>
      <c r="H174">
        <v>91877843</v>
      </c>
      <c r="I174">
        <v>499607.62914627499</v>
      </c>
      <c r="J174">
        <v>132.61606171</v>
      </c>
      <c r="K174">
        <v>307829.42427310499</v>
      </c>
      <c r="L174">
        <v>1537848.3779829501</v>
      </c>
      <c r="M174">
        <v>39693636</v>
      </c>
      <c r="N174">
        <v>215843.588907014</v>
      </c>
      <c r="O174">
        <v>61.637521999999997</v>
      </c>
      <c r="P174">
        <v>29112.295747</v>
      </c>
      <c r="Q174">
        <v>324875.88390100002</v>
      </c>
    </row>
    <row r="175" spans="1:17" x14ac:dyDescent="0.3">
      <c r="A175" s="4">
        <v>43943</v>
      </c>
      <c r="B175" s="6">
        <v>1</v>
      </c>
      <c r="C175">
        <v>780185477.81424797</v>
      </c>
      <c r="D175">
        <v>4508580.8659056798</v>
      </c>
      <c r="E175">
        <v>2096.645035</v>
      </c>
      <c r="F175">
        <v>2796878.5546806101</v>
      </c>
      <c r="G175">
        <v>24051627.781246699</v>
      </c>
      <c r="H175">
        <v>87691040</v>
      </c>
      <c r="I175">
        <v>505540.41277527902</v>
      </c>
      <c r="J175">
        <v>134.16276447000001</v>
      </c>
      <c r="K175">
        <v>304474.54608345497</v>
      </c>
      <c r="L175">
        <v>1677512.9559245501</v>
      </c>
      <c r="M175">
        <v>39074475</v>
      </c>
      <c r="N175">
        <v>225265.04669664401</v>
      </c>
      <c r="O175">
        <v>61.823590000000003</v>
      </c>
      <c r="P175">
        <v>28503.807191</v>
      </c>
      <c r="Q175">
        <v>570158.47601600003</v>
      </c>
    </row>
    <row r="176" spans="1:17" x14ac:dyDescent="0.3">
      <c r="A176" s="4">
        <v>43942</v>
      </c>
      <c r="B176" s="6">
        <v>1</v>
      </c>
      <c r="C176">
        <v>779269638.49867105</v>
      </c>
      <c r="D176">
        <v>4503989.3565498097</v>
      </c>
      <c r="E176">
        <v>2096.8050349999999</v>
      </c>
      <c r="F176">
        <v>2787096.8172510499</v>
      </c>
      <c r="G176">
        <v>23651727.1058193</v>
      </c>
      <c r="H176">
        <v>87178845</v>
      </c>
      <c r="I176">
        <v>502645.55465867103</v>
      </c>
      <c r="J176">
        <v>133.54423641</v>
      </c>
      <c r="K176">
        <v>290396.40156972199</v>
      </c>
      <c r="L176">
        <v>2058758.8355896701</v>
      </c>
      <c r="M176">
        <v>44943841</v>
      </c>
      <c r="N176">
        <v>259131.92458486999</v>
      </c>
      <c r="O176">
        <v>61.706543000000003</v>
      </c>
      <c r="P176">
        <v>27566.509318</v>
      </c>
      <c r="Q176">
        <v>535508.53748399997</v>
      </c>
    </row>
    <row r="177" spans="1:17" x14ac:dyDescent="0.3">
      <c r="A177" s="4">
        <v>43941</v>
      </c>
      <c r="B177" s="6">
        <v>1</v>
      </c>
      <c r="C177">
        <v>811727252.03366995</v>
      </c>
      <c r="D177">
        <v>4464935.5300702304</v>
      </c>
      <c r="E177">
        <v>2096.8650349999998</v>
      </c>
      <c r="F177">
        <v>2756565.9160122802</v>
      </c>
      <c r="G177">
        <v>26307219.831633501</v>
      </c>
      <c r="H177">
        <v>96207820</v>
      </c>
      <c r="I177">
        <v>527918.23968393297</v>
      </c>
      <c r="J177">
        <v>134.87884473</v>
      </c>
      <c r="K177">
        <v>289095.38693339698</v>
      </c>
      <c r="L177">
        <v>1904950.6730728999</v>
      </c>
      <c r="M177">
        <v>47258282</v>
      </c>
      <c r="N177">
        <v>259318.93107989401</v>
      </c>
      <c r="O177">
        <v>59.222048000000001</v>
      </c>
      <c r="P177">
        <v>26954.766017000002</v>
      </c>
      <c r="Q177">
        <v>782265.45110199996</v>
      </c>
    </row>
    <row r="178" spans="1:17" x14ac:dyDescent="0.3">
      <c r="A178" s="4">
        <v>43940</v>
      </c>
      <c r="B178" s="6">
        <v>1</v>
      </c>
      <c r="C178">
        <v>822315493.32811904</v>
      </c>
      <c r="D178">
        <v>4356224.5627014702</v>
      </c>
      <c r="E178">
        <v>2042.053535</v>
      </c>
      <c r="F178">
        <v>2690158.8704999499</v>
      </c>
      <c r="G178">
        <v>26662028.264678601</v>
      </c>
      <c r="H178">
        <v>99862427</v>
      </c>
      <c r="I178">
        <v>527730.41800982901</v>
      </c>
      <c r="J178">
        <v>138.02587441</v>
      </c>
      <c r="K178">
        <v>286804.558955057</v>
      </c>
      <c r="L178">
        <v>1873753.95853363</v>
      </c>
      <c r="M178">
        <v>42483349</v>
      </c>
      <c r="N178">
        <v>224506.41547323301</v>
      </c>
      <c r="O178">
        <v>59.505969</v>
      </c>
      <c r="P178">
        <v>23935.687059</v>
      </c>
      <c r="Q178">
        <v>713825.87327900005</v>
      </c>
    </row>
    <row r="179" spans="1:17" x14ac:dyDescent="0.3">
      <c r="A179" s="4">
        <v>43939</v>
      </c>
      <c r="B179" s="6">
        <v>1</v>
      </c>
      <c r="C179">
        <v>769968220.38788104</v>
      </c>
      <c r="D179">
        <v>4469774.2413713196</v>
      </c>
      <c r="E179">
        <v>2042.2835190000001</v>
      </c>
      <c r="F179">
        <v>2670535.2147557298</v>
      </c>
      <c r="G179">
        <v>26710330.683504999</v>
      </c>
      <c r="H179">
        <v>96939153</v>
      </c>
      <c r="I179">
        <v>561380.31619179901</v>
      </c>
      <c r="J179">
        <v>129.51807059000001</v>
      </c>
      <c r="K179">
        <v>286617.88961585698</v>
      </c>
      <c r="L179">
        <v>2018030.00866829</v>
      </c>
      <c r="M179">
        <v>40239950</v>
      </c>
      <c r="N179">
        <v>233031.908732916</v>
      </c>
      <c r="O179">
        <v>56.570678999999998</v>
      </c>
      <c r="P179">
        <v>23914.421310999998</v>
      </c>
      <c r="Q179">
        <v>745120.70835199999</v>
      </c>
    </row>
    <row r="180" spans="1:17" x14ac:dyDescent="0.3">
      <c r="A180" s="4">
        <v>43938</v>
      </c>
      <c r="B180" s="6">
        <v>1</v>
      </c>
      <c r="C180">
        <v>771579668.61884403</v>
      </c>
      <c r="D180">
        <v>4456211.1949757999</v>
      </c>
      <c r="E180">
        <v>2042.34498099999</v>
      </c>
      <c r="F180">
        <v>2666287.3396780002</v>
      </c>
      <c r="G180">
        <v>26647729.3923692</v>
      </c>
      <c r="H180">
        <v>96085205</v>
      </c>
      <c r="I180">
        <v>553613.76469232503</v>
      </c>
      <c r="J180">
        <v>129.51652770999999</v>
      </c>
      <c r="K180">
        <v>286069.63618004898</v>
      </c>
      <c r="L180">
        <v>1812865.0287629201</v>
      </c>
      <c r="M180">
        <v>40248213</v>
      </c>
      <c r="N180">
        <v>231897.97764461799</v>
      </c>
      <c r="O180">
        <v>54.970678999999997</v>
      </c>
      <c r="P180">
        <v>23400.780640000001</v>
      </c>
      <c r="Q180">
        <v>560195.65972</v>
      </c>
    </row>
    <row r="181" spans="1:17" x14ac:dyDescent="0.3">
      <c r="A181" s="4">
        <v>43937</v>
      </c>
      <c r="B181" s="6">
        <v>1</v>
      </c>
      <c r="C181">
        <v>708655833.95138204</v>
      </c>
      <c r="D181">
        <v>4543740.0089548398</v>
      </c>
      <c r="E181">
        <v>2041.837053</v>
      </c>
      <c r="F181">
        <v>2661472.96069249</v>
      </c>
      <c r="G181">
        <v>27583591.033104401</v>
      </c>
      <c r="H181">
        <v>93341701</v>
      </c>
      <c r="I181">
        <v>597042.98963796801</v>
      </c>
      <c r="J181">
        <v>130.12079639999999</v>
      </c>
      <c r="K181">
        <v>286015.94772297301</v>
      </c>
      <c r="L181">
        <v>1922621.90606362</v>
      </c>
      <c r="M181">
        <v>36288894</v>
      </c>
      <c r="N181">
        <v>232115.223231418</v>
      </c>
      <c r="O181">
        <v>54.966816999999999</v>
      </c>
      <c r="P181">
        <v>23217.860937000001</v>
      </c>
      <c r="Q181">
        <v>851862.03751399997</v>
      </c>
    </row>
    <row r="182" spans="1:17" x14ac:dyDescent="0.3">
      <c r="A182" s="4">
        <v>43936</v>
      </c>
      <c r="B182" s="6">
        <v>1</v>
      </c>
      <c r="C182">
        <v>732360272.09353602</v>
      </c>
      <c r="D182">
        <v>4550996.47284899</v>
      </c>
      <c r="E182">
        <v>2040.7370880000001</v>
      </c>
      <c r="F182">
        <v>2654982.2805788</v>
      </c>
      <c r="G182">
        <v>27327438.511093602</v>
      </c>
      <c r="H182">
        <v>95500999</v>
      </c>
      <c r="I182">
        <v>591997.26630300004</v>
      </c>
      <c r="J182">
        <v>131.83554404</v>
      </c>
      <c r="K182">
        <v>282181.48120249202</v>
      </c>
      <c r="L182">
        <v>1769663.5085576901</v>
      </c>
      <c r="M182">
        <v>37913044</v>
      </c>
      <c r="N182">
        <v>235017.629556161</v>
      </c>
      <c r="O182">
        <v>54.963813999999999</v>
      </c>
      <c r="P182">
        <v>24475.28138</v>
      </c>
      <c r="Q182">
        <v>564590.54452500003</v>
      </c>
    </row>
    <row r="183" spans="1:17" x14ac:dyDescent="0.3">
      <c r="A183" s="4">
        <v>43935</v>
      </c>
      <c r="B183" s="6">
        <v>1</v>
      </c>
      <c r="C183">
        <v>719329292.08129001</v>
      </c>
      <c r="D183">
        <v>4579996.5322324503</v>
      </c>
      <c r="E183">
        <v>2033.25077699999</v>
      </c>
      <c r="F183">
        <v>2651924.7673755302</v>
      </c>
      <c r="G183">
        <v>27174312.963573299</v>
      </c>
      <c r="H183">
        <v>94905908</v>
      </c>
      <c r="I183">
        <v>602768.54874563299</v>
      </c>
      <c r="J183">
        <v>131.83788726</v>
      </c>
      <c r="K183">
        <v>283011.54536133702</v>
      </c>
      <c r="L183">
        <v>1712396.6192682399</v>
      </c>
      <c r="M183">
        <v>37458777</v>
      </c>
      <c r="N183">
        <v>237909.031438551</v>
      </c>
      <c r="O183">
        <v>54.957113999999997</v>
      </c>
      <c r="P183">
        <v>26051.263534999998</v>
      </c>
      <c r="Q183">
        <v>304216.08723599999</v>
      </c>
    </row>
    <row r="184" spans="1:17" x14ac:dyDescent="0.3">
      <c r="A184" s="4">
        <v>43934</v>
      </c>
      <c r="B184" s="6">
        <v>1</v>
      </c>
      <c r="C184">
        <v>728402427.19166994</v>
      </c>
      <c r="D184">
        <v>4579393.7225636505</v>
      </c>
      <c r="E184">
        <v>2027.74295399999</v>
      </c>
      <c r="F184">
        <v>2648410.2913138899</v>
      </c>
      <c r="G184">
        <v>26619331.896376599</v>
      </c>
      <c r="H184">
        <v>96345511</v>
      </c>
      <c r="I184">
        <v>604198.61407249398</v>
      </c>
      <c r="J184">
        <v>132.51554211999999</v>
      </c>
      <c r="K184">
        <v>281310.01603547198</v>
      </c>
      <c r="L184">
        <v>1275005.35522676</v>
      </c>
      <c r="M184">
        <v>38042043</v>
      </c>
      <c r="N184">
        <v>238567.93553242099</v>
      </c>
      <c r="O184">
        <v>55.168484999999997</v>
      </c>
      <c r="P184">
        <v>25882.704086999998</v>
      </c>
      <c r="Q184">
        <v>192177.462038</v>
      </c>
    </row>
    <row r="185" spans="1:17" x14ac:dyDescent="0.3">
      <c r="A185" s="4">
        <v>43933</v>
      </c>
      <c r="B185" s="6">
        <v>1</v>
      </c>
      <c r="C185">
        <v>722011838.54136705</v>
      </c>
      <c r="D185">
        <v>4538442.8490955699</v>
      </c>
      <c r="E185">
        <v>2027.7139870000001</v>
      </c>
      <c r="F185">
        <v>2641435.5982144</v>
      </c>
      <c r="G185">
        <v>27198360.599737499</v>
      </c>
      <c r="H185">
        <v>94404382</v>
      </c>
      <c r="I185">
        <v>590876.772860987</v>
      </c>
      <c r="J185">
        <v>139.80001265000001</v>
      </c>
      <c r="K185">
        <v>279795.365377696</v>
      </c>
      <c r="L185">
        <v>172800.50553612501</v>
      </c>
      <c r="M185">
        <v>37548102</v>
      </c>
      <c r="N185">
        <v>235013.46936220801</v>
      </c>
      <c r="O185">
        <v>55.165875919999998</v>
      </c>
      <c r="P185">
        <v>26426.4000459942</v>
      </c>
      <c r="Q185">
        <v>209278.636888918</v>
      </c>
    </row>
    <row r="186" spans="1:17" x14ac:dyDescent="0.3">
      <c r="A186" s="4">
        <v>43932</v>
      </c>
      <c r="B186" s="6">
        <v>1</v>
      </c>
      <c r="C186">
        <v>716018773.29163802</v>
      </c>
      <c r="D186">
        <v>4542398.8692356199</v>
      </c>
      <c r="E186">
        <v>2027.803973</v>
      </c>
      <c r="F186">
        <v>2655480.2629169798</v>
      </c>
      <c r="G186">
        <v>29758043.212191202</v>
      </c>
      <c r="H186">
        <v>94186303</v>
      </c>
      <c r="I186">
        <v>594986.121288692</v>
      </c>
      <c r="J186">
        <v>141.97216574999999</v>
      </c>
      <c r="K186">
        <v>286305.71757337998</v>
      </c>
      <c r="L186">
        <v>2072247.3011892</v>
      </c>
      <c r="M186">
        <v>36900068</v>
      </c>
      <c r="N186">
        <v>233102.13518635501</v>
      </c>
      <c r="O186">
        <v>54.283630080000002</v>
      </c>
      <c r="P186">
        <v>26541.502013273701</v>
      </c>
      <c r="Q186">
        <v>515142.085236835</v>
      </c>
    </row>
    <row r="187" spans="1:17" x14ac:dyDescent="0.3">
      <c r="A187" s="4">
        <v>43931</v>
      </c>
      <c r="B187" s="6">
        <v>1</v>
      </c>
      <c r="C187">
        <v>756080063.44333005</v>
      </c>
      <c r="D187">
        <v>4460116.3533834498</v>
      </c>
      <c r="E187">
        <v>2027.8458450000001</v>
      </c>
      <c r="F187">
        <v>2645505.8157818601</v>
      </c>
      <c r="G187">
        <v>31463635.791627899</v>
      </c>
      <c r="H187">
        <v>99645278</v>
      </c>
      <c r="I187">
        <v>585322.35667293204</v>
      </c>
      <c r="J187">
        <v>142.30027268000001</v>
      </c>
      <c r="K187">
        <v>297211.70570197399</v>
      </c>
      <c r="L187">
        <v>1957632.2235890799</v>
      </c>
      <c r="M187">
        <v>38652854</v>
      </c>
      <c r="N187">
        <v>227049.189379699</v>
      </c>
      <c r="O187">
        <v>48.654069290000002</v>
      </c>
      <c r="P187">
        <v>29560.387264923102</v>
      </c>
      <c r="Q187">
        <v>871418.582743668</v>
      </c>
    </row>
    <row r="188" spans="1:17" x14ac:dyDescent="0.3">
      <c r="A188" s="4">
        <v>43930</v>
      </c>
      <c r="B188" s="6">
        <v>1</v>
      </c>
      <c r="C188">
        <v>766170502.10742199</v>
      </c>
      <c r="D188">
        <v>4439344.9226863496</v>
      </c>
      <c r="E188">
        <v>2026.605693</v>
      </c>
      <c r="F188">
        <v>2633919.90630844</v>
      </c>
      <c r="G188">
        <v>32383063.034797199</v>
      </c>
      <c r="H188">
        <v>100381292</v>
      </c>
      <c r="I188">
        <v>579167.38979921502</v>
      </c>
      <c r="J188">
        <v>153.43731811999999</v>
      </c>
      <c r="K188">
        <v>295452.80669605598</v>
      </c>
      <c r="L188">
        <v>2748952.7164946999</v>
      </c>
      <c r="M188">
        <v>36940062</v>
      </c>
      <c r="N188">
        <v>213132.137087468</v>
      </c>
      <c r="O188">
        <v>49.09612259</v>
      </c>
      <c r="P188">
        <v>29535.466549599099</v>
      </c>
      <c r="Q188">
        <v>1070823.7381440999</v>
      </c>
    </row>
    <row r="189" spans="1:17" x14ac:dyDescent="0.3">
      <c r="A189" s="4">
        <v>43929</v>
      </c>
      <c r="B189" s="6">
        <v>1</v>
      </c>
      <c r="C189">
        <v>747276515.55975604</v>
      </c>
      <c r="D189">
        <v>4547661.4261480598</v>
      </c>
      <c r="E189">
        <v>2026.625728</v>
      </c>
      <c r="F189">
        <v>2658537.7930493201</v>
      </c>
      <c r="G189">
        <v>34049047.959820502</v>
      </c>
      <c r="H189">
        <v>99593395</v>
      </c>
      <c r="I189">
        <v>603376.92354295403</v>
      </c>
      <c r="J189">
        <v>163.47476448</v>
      </c>
      <c r="K189">
        <v>283534.46901910799</v>
      </c>
      <c r="L189">
        <v>3189748.8579175901</v>
      </c>
      <c r="M189">
        <v>34566606</v>
      </c>
      <c r="N189">
        <v>209418.42966194099</v>
      </c>
      <c r="O189">
        <v>48.319081910000001</v>
      </c>
      <c r="P189">
        <v>29657.453349570402</v>
      </c>
      <c r="Q189">
        <v>1069164.27486672</v>
      </c>
    </row>
    <row r="190" spans="1:17" x14ac:dyDescent="0.3">
      <c r="A190" s="4">
        <v>43928</v>
      </c>
      <c r="B190" s="6">
        <v>1</v>
      </c>
      <c r="C190">
        <v>781024895.33302402</v>
      </c>
      <c r="D190">
        <v>4569394.9236507704</v>
      </c>
      <c r="E190">
        <v>2026.7332100000001</v>
      </c>
      <c r="F190">
        <v>2760004.86448674</v>
      </c>
      <c r="G190">
        <v>40142967.733634204</v>
      </c>
      <c r="H190">
        <v>100879248</v>
      </c>
      <c r="I190">
        <v>587942.93041146896</v>
      </c>
      <c r="J190">
        <v>168.13723012</v>
      </c>
      <c r="K190">
        <v>305611.07949371502</v>
      </c>
      <c r="L190">
        <v>3044982.9746929002</v>
      </c>
      <c r="M190">
        <v>33238367</v>
      </c>
      <c r="N190">
        <v>193719.355402727</v>
      </c>
      <c r="O190">
        <v>47.604881910000003</v>
      </c>
      <c r="P190">
        <v>29522.802700875</v>
      </c>
      <c r="Q190">
        <v>968289.50709687395</v>
      </c>
    </row>
    <row r="191" spans="1:17" x14ac:dyDescent="0.3">
      <c r="A191" s="4">
        <v>43927</v>
      </c>
      <c r="B191" s="6">
        <v>1</v>
      </c>
      <c r="C191">
        <v>702760804.23456597</v>
      </c>
      <c r="D191">
        <v>4906711.6518353699</v>
      </c>
      <c r="E191">
        <v>2026.808209</v>
      </c>
      <c r="F191">
        <v>2796907.3598807901</v>
      </c>
      <c r="G191">
        <v>42091388.734025098</v>
      </c>
      <c r="H191">
        <v>94886774</v>
      </c>
      <c r="I191">
        <v>659668.89599554997</v>
      </c>
      <c r="J191">
        <v>172.86837489000001</v>
      </c>
      <c r="K191">
        <v>294169.43551591301</v>
      </c>
      <c r="L191">
        <v>3376833.1286865901</v>
      </c>
      <c r="M191">
        <v>30636560</v>
      </c>
      <c r="N191">
        <v>212990.54505005499</v>
      </c>
      <c r="O191">
        <v>47.424485939999997</v>
      </c>
      <c r="P191">
        <v>28682.475764102001</v>
      </c>
      <c r="Q191">
        <v>975281.04381597904</v>
      </c>
    </row>
    <row r="192" spans="1:17" x14ac:dyDescent="0.3">
      <c r="A192" s="4">
        <v>43926</v>
      </c>
      <c r="B192" s="6">
        <v>1</v>
      </c>
      <c r="C192">
        <v>706047929.13660598</v>
      </c>
      <c r="D192">
        <v>4893175.8694452103</v>
      </c>
      <c r="E192">
        <v>2027.148209</v>
      </c>
      <c r="F192">
        <v>2795947.9959444902</v>
      </c>
      <c r="G192">
        <v>41962632.373863198</v>
      </c>
      <c r="H192">
        <v>94736309</v>
      </c>
      <c r="I192">
        <v>653714.52525531303</v>
      </c>
      <c r="J192">
        <v>172.79517526000001</v>
      </c>
      <c r="K192">
        <v>294628.01871356199</v>
      </c>
      <c r="L192">
        <v>3792741.3360106898</v>
      </c>
      <c r="M192">
        <v>30947985</v>
      </c>
      <c r="N192">
        <v>213552.20121446301</v>
      </c>
      <c r="O192">
        <v>47.198228790000002</v>
      </c>
      <c r="P192">
        <v>28726.515685707</v>
      </c>
      <c r="Q192">
        <v>903244.416554978</v>
      </c>
    </row>
    <row r="193" spans="1:17" x14ac:dyDescent="0.3">
      <c r="A193" s="4">
        <v>43925</v>
      </c>
      <c r="B193" s="6">
        <v>1</v>
      </c>
      <c r="C193">
        <v>691957362.21584404</v>
      </c>
      <c r="D193">
        <v>4903166.6478515398</v>
      </c>
      <c r="E193">
        <v>2008.4082089999999</v>
      </c>
      <c r="F193">
        <v>2804170.2813527398</v>
      </c>
      <c r="G193">
        <v>41394672.254669003</v>
      </c>
      <c r="H193">
        <v>92362584</v>
      </c>
      <c r="I193">
        <v>651679.84195300902</v>
      </c>
      <c r="J193">
        <v>175.46854298</v>
      </c>
      <c r="K193">
        <v>294480.433163004</v>
      </c>
      <c r="L193">
        <v>3919667.6688665999</v>
      </c>
      <c r="M193">
        <v>30432402</v>
      </c>
      <c r="N193">
        <v>214720.962393283</v>
      </c>
      <c r="O193">
        <v>46.880149840000001</v>
      </c>
      <c r="P193">
        <v>28679.5326318183</v>
      </c>
      <c r="Q193">
        <v>924327.91449642403</v>
      </c>
    </row>
    <row r="194" spans="1:17" x14ac:dyDescent="0.3">
      <c r="A194" s="4">
        <v>43924</v>
      </c>
      <c r="B194" s="6">
        <v>1</v>
      </c>
      <c r="C194">
        <v>692443933.62593603</v>
      </c>
      <c r="D194">
        <v>4901802.79853376</v>
      </c>
      <c r="E194">
        <v>2010.30324</v>
      </c>
      <c r="F194">
        <v>2804579.9134509801</v>
      </c>
      <c r="G194">
        <v>40921365.310876504</v>
      </c>
      <c r="H194">
        <v>93656486</v>
      </c>
      <c r="I194">
        <v>660203.62329056801</v>
      </c>
      <c r="J194">
        <v>173.61922623999999</v>
      </c>
      <c r="K194">
        <v>293354.837922609</v>
      </c>
      <c r="L194">
        <v>3899467.93915084</v>
      </c>
      <c r="M194">
        <v>30176346</v>
      </c>
      <c r="N194">
        <v>212719.20203017001</v>
      </c>
      <c r="O194">
        <v>46.356892610000003</v>
      </c>
      <c r="P194">
        <v>28389.554207735098</v>
      </c>
      <c r="Q194">
        <v>966531.67727881204</v>
      </c>
    </row>
    <row r="195" spans="1:17" x14ac:dyDescent="0.3">
      <c r="A195" s="4">
        <v>43923</v>
      </c>
      <c r="B195" s="6">
        <v>1</v>
      </c>
      <c r="C195">
        <v>672920510.04786503</v>
      </c>
      <c r="D195">
        <v>4952499.6189638702</v>
      </c>
      <c r="E195">
        <v>2007.725332</v>
      </c>
      <c r="F195">
        <v>2804418.3491643299</v>
      </c>
      <c r="G195">
        <v>41170401.410810001</v>
      </c>
      <c r="H195">
        <v>93260019</v>
      </c>
      <c r="I195">
        <v>683373.77445592405</v>
      </c>
      <c r="J195">
        <v>183.69779736000001</v>
      </c>
      <c r="K195">
        <v>294157.661314703</v>
      </c>
      <c r="L195">
        <v>4413878.8464281596</v>
      </c>
      <c r="M195">
        <v>29778170</v>
      </c>
      <c r="N195">
        <v>218203.04828900099</v>
      </c>
      <c r="O195">
        <v>46.756892610000001</v>
      </c>
      <c r="P195">
        <v>28159.404512104498</v>
      </c>
      <c r="Q195">
        <v>989219.57359388401</v>
      </c>
    </row>
    <row r="196" spans="1:17" x14ac:dyDescent="0.3">
      <c r="A196" s="4">
        <v>43922</v>
      </c>
      <c r="B196" s="6">
        <v>1</v>
      </c>
      <c r="C196">
        <v>657177362.54551399</v>
      </c>
      <c r="D196">
        <v>4908229.4520038599</v>
      </c>
      <c r="E196">
        <v>1991.8453319999901</v>
      </c>
      <c r="F196">
        <v>2817132.7146131401</v>
      </c>
      <c r="G196">
        <v>42079768.287581898</v>
      </c>
      <c r="H196">
        <v>89922260</v>
      </c>
      <c r="I196">
        <v>668616.70012640301</v>
      </c>
      <c r="J196">
        <v>184.8088142</v>
      </c>
      <c r="K196">
        <v>295459.76559734601</v>
      </c>
      <c r="L196">
        <v>5402869.5975678796</v>
      </c>
      <c r="M196">
        <v>29616651</v>
      </c>
      <c r="N196">
        <v>220214.52152576399</v>
      </c>
      <c r="O196">
        <v>46.80821607</v>
      </c>
      <c r="P196">
        <v>27594.852708176699</v>
      </c>
      <c r="Q196">
        <v>1117588.95659276</v>
      </c>
    </row>
    <row r="197" spans="1:17" x14ac:dyDescent="0.3">
      <c r="A197" s="4">
        <v>43921</v>
      </c>
      <c r="B197" s="6">
        <v>1</v>
      </c>
      <c r="C197">
        <v>617738018.75030696</v>
      </c>
      <c r="D197">
        <v>4668624.8834060403</v>
      </c>
      <c r="E197">
        <v>1990.7853319999999</v>
      </c>
      <c r="F197">
        <v>2792682.2902944</v>
      </c>
      <c r="G197">
        <v>18053639.6333283</v>
      </c>
      <c r="H197">
        <v>90244470</v>
      </c>
      <c r="I197">
        <v>678836.09146983596</v>
      </c>
      <c r="J197">
        <v>179.07782046</v>
      </c>
      <c r="K197">
        <v>293210.02950830798</v>
      </c>
      <c r="L197">
        <v>5875150.2893953202</v>
      </c>
      <c r="M197">
        <v>28744641</v>
      </c>
      <c r="N197">
        <v>216222.664359861</v>
      </c>
      <c r="O197">
        <v>46.574116750000002</v>
      </c>
      <c r="P197">
        <v>27663.560968880902</v>
      </c>
      <c r="Q197">
        <v>999789.96127496206</v>
      </c>
    </row>
    <row r="198" spans="1:17" x14ac:dyDescent="0.3">
      <c r="A198" s="4">
        <v>43920</v>
      </c>
      <c r="B198" s="6">
        <v>1</v>
      </c>
      <c r="C198">
        <v>614556633.60702801</v>
      </c>
      <c r="D198">
        <v>4890068.3197338199</v>
      </c>
      <c r="E198">
        <v>1985.0753319999999</v>
      </c>
      <c r="F198">
        <v>2783979.8660946102</v>
      </c>
      <c r="G198">
        <v>42853505.036563501</v>
      </c>
      <c r="H198">
        <v>86747306</v>
      </c>
      <c r="I198">
        <v>687216.24019646598</v>
      </c>
      <c r="J198">
        <v>177.21143074</v>
      </c>
      <c r="K198">
        <v>293300.45803517802</v>
      </c>
      <c r="L198">
        <v>7179399.1369046196</v>
      </c>
      <c r="M198">
        <v>27635738</v>
      </c>
      <c r="N198">
        <v>218931.61688980399</v>
      </c>
      <c r="O198">
        <v>55.007489040000003</v>
      </c>
      <c r="P198">
        <v>26805.844484588401</v>
      </c>
      <c r="Q198">
        <v>1027698.17089232</v>
      </c>
    </row>
    <row r="199" spans="1:17" x14ac:dyDescent="0.3">
      <c r="A199" s="4">
        <v>43919</v>
      </c>
      <c r="B199" s="6">
        <v>1</v>
      </c>
      <c r="C199">
        <v>634090299.48257303</v>
      </c>
      <c r="D199">
        <v>4811437.7821393497</v>
      </c>
      <c r="E199">
        <v>1920.2538319999901</v>
      </c>
      <c r="F199">
        <v>2757782.9625264299</v>
      </c>
      <c r="G199">
        <v>49760294.320359103</v>
      </c>
      <c r="H199">
        <v>90663273</v>
      </c>
      <c r="I199">
        <v>684406.07684758794</v>
      </c>
      <c r="J199">
        <v>245.24382618000001</v>
      </c>
      <c r="K199">
        <v>294894.08424133097</v>
      </c>
      <c r="L199">
        <v>13401748.5109157</v>
      </c>
      <c r="M199">
        <v>29312843</v>
      </c>
      <c r="N199">
        <v>221279.10470295101</v>
      </c>
      <c r="O199">
        <v>55.095790170000001</v>
      </c>
      <c r="P199">
        <v>25818.551420479402</v>
      </c>
      <c r="Q199">
        <v>630796.97865068598</v>
      </c>
    </row>
    <row r="200" spans="1:17" x14ac:dyDescent="0.3">
      <c r="A200" s="4">
        <v>43918</v>
      </c>
      <c r="B200" s="6">
        <v>1</v>
      </c>
      <c r="C200">
        <v>633004940.22928202</v>
      </c>
      <c r="D200">
        <v>4779984.6795401601</v>
      </c>
      <c r="E200">
        <v>1914.863832</v>
      </c>
      <c r="F200">
        <v>2720425.53448322</v>
      </c>
      <c r="G200">
        <v>51294931.210198797</v>
      </c>
      <c r="H200">
        <v>90070040</v>
      </c>
      <c r="I200">
        <v>676760.38770756603</v>
      </c>
      <c r="J200">
        <v>183.05219443999999</v>
      </c>
      <c r="K200">
        <v>291741.93337982299</v>
      </c>
      <c r="L200">
        <v>14768126.065568401</v>
      </c>
      <c r="M200">
        <v>29297432</v>
      </c>
      <c r="N200">
        <v>220132.481779247</v>
      </c>
      <c r="O200">
        <v>55.467702490000001</v>
      </c>
      <c r="P200">
        <v>25771.999141573498</v>
      </c>
      <c r="Q200">
        <v>476325.85945275298</v>
      </c>
    </row>
    <row r="201" spans="1:17" x14ac:dyDescent="0.3">
      <c r="A201" s="4">
        <v>43917</v>
      </c>
      <c r="B201" s="6">
        <v>1</v>
      </c>
      <c r="C201">
        <v>655493564.68791497</v>
      </c>
      <c r="D201">
        <v>4698287.4919774598</v>
      </c>
      <c r="E201">
        <v>1924.6938319999999</v>
      </c>
      <c r="F201">
        <v>2706554.5027487399</v>
      </c>
      <c r="G201">
        <v>51345463.525303602</v>
      </c>
      <c r="H201">
        <v>91994898</v>
      </c>
      <c r="I201">
        <v>656028.65292733302</v>
      </c>
      <c r="J201">
        <v>183.41330045999999</v>
      </c>
      <c r="K201">
        <v>289653.918574401</v>
      </c>
      <c r="L201">
        <v>14484682.2970767</v>
      </c>
      <c r="M201">
        <v>30143309</v>
      </c>
      <c r="N201">
        <v>214956.20765884599</v>
      </c>
      <c r="O201">
        <v>55.067702490000002</v>
      </c>
      <c r="P201">
        <v>25619.896549967099</v>
      </c>
      <c r="Q201">
        <v>472425.233205923</v>
      </c>
    </row>
    <row r="202" spans="1:17" x14ac:dyDescent="0.3">
      <c r="A202" s="4">
        <v>43916</v>
      </c>
      <c r="B202" s="6">
        <v>1</v>
      </c>
      <c r="C202">
        <v>627148623.82730103</v>
      </c>
      <c r="D202">
        <v>4588230.1521438397</v>
      </c>
      <c r="E202">
        <v>1919.323832</v>
      </c>
      <c r="F202">
        <v>2649730.43974452</v>
      </c>
      <c r="G202">
        <v>44972517.1912717</v>
      </c>
      <c r="H202">
        <v>82492856</v>
      </c>
      <c r="I202">
        <v>600515.80403290305</v>
      </c>
      <c r="J202">
        <v>183.64779697</v>
      </c>
      <c r="K202">
        <v>290082.906791955</v>
      </c>
      <c r="L202">
        <v>13828366.737738799</v>
      </c>
      <c r="M202">
        <v>28612093</v>
      </c>
      <c r="N202">
        <v>208284.87297080801</v>
      </c>
      <c r="O202">
        <v>54.96084097</v>
      </c>
      <c r="P202">
        <v>25372.409109087701</v>
      </c>
      <c r="Q202">
        <v>447237.74521383998</v>
      </c>
    </row>
    <row r="203" spans="1:17" x14ac:dyDescent="0.3">
      <c r="A203" s="4">
        <v>43915</v>
      </c>
      <c r="B203" s="6">
        <v>1</v>
      </c>
      <c r="C203">
        <v>634565206.04861605</v>
      </c>
      <c r="D203">
        <v>4557811.9728377396</v>
      </c>
      <c r="E203">
        <v>1916.7038319999999</v>
      </c>
      <c r="F203">
        <v>2650489.7758264299</v>
      </c>
      <c r="G203">
        <v>51778898.836091198</v>
      </c>
      <c r="H203">
        <v>83238770</v>
      </c>
      <c r="I203">
        <v>594987.63402430306</v>
      </c>
      <c r="J203">
        <v>180.05768644</v>
      </c>
      <c r="K203">
        <v>291465.01292511</v>
      </c>
      <c r="L203">
        <v>13255388.7592232</v>
      </c>
      <c r="M203">
        <v>29282748</v>
      </c>
      <c r="N203">
        <v>209311.99428162901</v>
      </c>
      <c r="O203">
        <v>60.110840969999998</v>
      </c>
      <c r="P203">
        <v>25377.541246238601</v>
      </c>
      <c r="Q203">
        <v>427667.310079085</v>
      </c>
    </row>
    <row r="204" spans="1:17" x14ac:dyDescent="0.3">
      <c r="A204" s="4">
        <v>43914</v>
      </c>
      <c r="B204" s="6">
        <v>1</v>
      </c>
      <c r="C204">
        <v>616733984.47483599</v>
      </c>
      <c r="D204">
        <v>4508070.4568601698</v>
      </c>
      <c r="E204">
        <v>1915.7938320000001</v>
      </c>
      <c r="F204">
        <v>2642482.0360999899</v>
      </c>
      <c r="G204">
        <v>51410435.565873601</v>
      </c>
      <c r="H204">
        <v>81105314</v>
      </c>
      <c r="I204">
        <v>590028.473737814</v>
      </c>
      <c r="J204">
        <v>180.72641465999999</v>
      </c>
      <c r="K204">
        <v>300579.18937712401</v>
      </c>
      <c r="L204">
        <v>12676074.0615796</v>
      </c>
      <c r="M204">
        <v>29076831</v>
      </c>
      <c r="N204">
        <v>211529.39764295</v>
      </c>
      <c r="O204">
        <v>60.210841039999998</v>
      </c>
      <c r="P204">
        <v>24934.107238301</v>
      </c>
      <c r="Q204">
        <v>418459.19163388398</v>
      </c>
    </row>
    <row r="205" spans="1:17" x14ac:dyDescent="0.3">
      <c r="A205" s="4">
        <v>43913</v>
      </c>
      <c r="B205" s="6">
        <v>1</v>
      </c>
      <c r="C205">
        <v>572869937.04912806</v>
      </c>
      <c r="D205">
        <v>4638262.8757959204</v>
      </c>
      <c r="E205">
        <v>1904.623832</v>
      </c>
      <c r="F205">
        <v>2664100.4906547298</v>
      </c>
      <c r="G205">
        <v>49362861.257648602</v>
      </c>
      <c r="H205">
        <v>76088831</v>
      </c>
      <c r="I205">
        <v>613273.40211171098</v>
      </c>
      <c r="J205">
        <v>180.07869360000001</v>
      </c>
      <c r="K205">
        <v>302976.51917253301</v>
      </c>
      <c r="L205">
        <v>12247378.9307965</v>
      </c>
      <c r="M205">
        <v>26725152</v>
      </c>
      <c r="N205">
        <v>215403.82042395399</v>
      </c>
      <c r="O205">
        <v>60.110841039999997</v>
      </c>
      <c r="P205">
        <v>28861.684175661401</v>
      </c>
      <c r="Q205">
        <v>415468.681811894</v>
      </c>
    </row>
    <row r="206" spans="1:17" x14ac:dyDescent="0.3">
      <c r="A206" s="4">
        <v>43912</v>
      </c>
      <c r="B206" s="6">
        <v>1</v>
      </c>
      <c r="C206">
        <v>671339119.80105197</v>
      </c>
      <c r="D206">
        <v>5046250.5988920396</v>
      </c>
      <c r="E206">
        <v>1882.9938320000001</v>
      </c>
      <c r="F206">
        <v>2660032.2683988898</v>
      </c>
      <c r="G206">
        <v>49201281.857059903</v>
      </c>
      <c r="H206">
        <v>111116264</v>
      </c>
      <c r="I206">
        <v>831833.08878574602</v>
      </c>
      <c r="J206">
        <v>180.37835455999999</v>
      </c>
      <c r="K206">
        <v>303656.18023322697</v>
      </c>
      <c r="L206">
        <v>11526500.1284867</v>
      </c>
      <c r="M206">
        <v>30862493</v>
      </c>
      <c r="N206">
        <v>231041.271148375</v>
      </c>
      <c r="O206">
        <v>62.707291040000001</v>
      </c>
      <c r="P206">
        <v>28818.299316522702</v>
      </c>
      <c r="Q206">
        <v>403589.960604958</v>
      </c>
    </row>
    <row r="207" spans="1:17" x14ac:dyDescent="0.3">
      <c r="A207" s="4">
        <v>43911</v>
      </c>
      <c r="B207" s="6">
        <v>1</v>
      </c>
      <c r="C207">
        <v>609167268.65751004</v>
      </c>
      <c r="D207">
        <v>4566774.1752500301</v>
      </c>
      <c r="E207">
        <v>1883.5438319999901</v>
      </c>
      <c r="F207">
        <v>2664018.2814526302</v>
      </c>
      <c r="G207">
        <v>47988325.807428002</v>
      </c>
      <c r="H207">
        <v>80262584</v>
      </c>
      <c r="I207">
        <v>599063.91998805699</v>
      </c>
      <c r="J207">
        <v>181.96502372</v>
      </c>
      <c r="K207">
        <v>302398.21394462202</v>
      </c>
      <c r="L207">
        <v>11660145.793827601</v>
      </c>
      <c r="M207">
        <v>28542811</v>
      </c>
      <c r="N207">
        <v>213037.84893267599</v>
      </c>
      <c r="O207">
        <v>62.707291040000001</v>
      </c>
      <c r="P207">
        <v>29536.1604249702</v>
      </c>
      <c r="Q207">
        <v>394090.88684788899</v>
      </c>
    </row>
    <row r="208" spans="1:17" x14ac:dyDescent="0.3">
      <c r="A208" s="4">
        <v>43910</v>
      </c>
      <c r="B208" s="6">
        <v>1</v>
      </c>
      <c r="C208">
        <v>618180940.16475999</v>
      </c>
      <c r="D208">
        <v>4516923.4831951102</v>
      </c>
      <c r="E208">
        <v>1881.113832</v>
      </c>
      <c r="F208">
        <v>2670565.7069079299</v>
      </c>
      <c r="G208">
        <v>47787532.880186997</v>
      </c>
      <c r="H208">
        <v>81862899</v>
      </c>
      <c r="I208">
        <v>595539.78611959796</v>
      </c>
      <c r="J208">
        <v>181.96474710000001</v>
      </c>
      <c r="K208">
        <v>302841.29393871099</v>
      </c>
      <c r="L208">
        <v>11649863.7504347</v>
      </c>
      <c r="M208">
        <v>27252807</v>
      </c>
      <c r="N208">
        <v>198259.90833696999</v>
      </c>
      <c r="O208">
        <v>62.725380229999999</v>
      </c>
      <c r="P208">
        <v>29555.966696178999</v>
      </c>
      <c r="Q208">
        <v>388823.47028564097</v>
      </c>
    </row>
    <row r="209" spans="1:17" x14ac:dyDescent="0.3">
      <c r="A209" s="4">
        <v>43909</v>
      </c>
      <c r="B209" s="6">
        <v>1</v>
      </c>
      <c r="C209">
        <v>563481801.39426899</v>
      </c>
      <c r="D209">
        <v>4723161.8248601696</v>
      </c>
      <c r="E209">
        <v>1880.0438319999901</v>
      </c>
      <c r="F209">
        <v>2714503.4647645401</v>
      </c>
      <c r="G209">
        <v>49290509.964455999</v>
      </c>
      <c r="H209">
        <v>78304719</v>
      </c>
      <c r="I209">
        <v>653683.27072376595</v>
      </c>
      <c r="J209">
        <v>181.94250491</v>
      </c>
      <c r="K209">
        <v>303758.30532850698</v>
      </c>
      <c r="L209">
        <v>11670708.5259069</v>
      </c>
      <c r="M209">
        <v>25017574</v>
      </c>
      <c r="N209">
        <v>208845.26254278299</v>
      </c>
      <c r="O209">
        <v>62.728774199999997</v>
      </c>
      <c r="P209">
        <v>30075.622628078701</v>
      </c>
      <c r="Q209">
        <v>420629.88539316802</v>
      </c>
    </row>
    <row r="210" spans="1:17" x14ac:dyDescent="0.3">
      <c r="A210" s="4">
        <v>43908</v>
      </c>
      <c r="B210" s="6">
        <v>1</v>
      </c>
      <c r="C210">
        <v>546127754.08512402</v>
      </c>
      <c r="D210">
        <v>4703563.6114207301</v>
      </c>
      <c r="E210">
        <v>1879.343832</v>
      </c>
      <c r="F210">
        <v>2726677.95608162</v>
      </c>
      <c r="G210">
        <v>50158526.567230001</v>
      </c>
      <c r="H210">
        <v>71583930</v>
      </c>
      <c r="I210">
        <v>613769.44182457298</v>
      </c>
      <c r="J210">
        <v>181.03905144999999</v>
      </c>
      <c r="K210">
        <v>300874.004169525</v>
      </c>
      <c r="L210">
        <v>11998532.8432207</v>
      </c>
      <c r="M210">
        <v>23467351</v>
      </c>
      <c r="N210">
        <v>201211.96090199699</v>
      </c>
      <c r="O210">
        <v>62.809268869999997</v>
      </c>
      <c r="P210">
        <v>26168.966860123801</v>
      </c>
      <c r="Q210">
        <v>456556.61274548998</v>
      </c>
    </row>
    <row r="211" spans="1:17" x14ac:dyDescent="0.3">
      <c r="A211" s="4">
        <v>43907</v>
      </c>
      <c r="B211" s="6">
        <v>1</v>
      </c>
      <c r="C211">
        <v>538081760.80769801</v>
      </c>
      <c r="D211">
        <v>4812599.7861534301</v>
      </c>
      <c r="E211">
        <v>1875.313832</v>
      </c>
      <c r="F211">
        <v>2790387.58565614</v>
      </c>
      <c r="G211">
        <v>45215746.771369897</v>
      </c>
      <c r="H211">
        <v>71160453</v>
      </c>
      <c r="I211">
        <v>634059.10184442601</v>
      </c>
      <c r="J211">
        <v>165.91104267</v>
      </c>
      <c r="K211">
        <v>300442.76685120398</v>
      </c>
      <c r="L211">
        <v>5275397.9201489901</v>
      </c>
      <c r="M211">
        <v>23949023</v>
      </c>
      <c r="N211">
        <v>213392.34607502399</v>
      </c>
      <c r="O211">
        <v>62.35516887</v>
      </c>
      <c r="P211">
        <v>26357.900264058298</v>
      </c>
      <c r="Q211">
        <v>308077.87390244898</v>
      </c>
    </row>
    <row r="212" spans="1:17" x14ac:dyDescent="0.3">
      <c r="A212" s="4">
        <v>43906</v>
      </c>
      <c r="B212" s="6">
        <v>1</v>
      </c>
      <c r="C212">
        <v>587111477.67024696</v>
      </c>
      <c r="D212">
        <v>4674243.1993020801</v>
      </c>
      <c r="E212">
        <v>1871.393832</v>
      </c>
      <c r="F212">
        <v>2778965.6097708801</v>
      </c>
      <c r="G212">
        <v>50207453.006617002</v>
      </c>
      <c r="H212">
        <v>77139537</v>
      </c>
      <c r="I212">
        <v>611781.56078991201</v>
      </c>
      <c r="J212">
        <v>165.63512842</v>
      </c>
      <c r="K212">
        <v>297525.72199600399</v>
      </c>
      <c r="L212">
        <v>4966057.30908019</v>
      </c>
      <c r="M212">
        <v>25527899</v>
      </c>
      <c r="N212">
        <v>202457.76032992301</v>
      </c>
      <c r="O212">
        <v>54.680154510000001</v>
      </c>
      <c r="P212">
        <v>25952.023888479998</v>
      </c>
      <c r="Q212">
        <v>223949.280904115</v>
      </c>
    </row>
    <row r="213" spans="1:17" x14ac:dyDescent="0.3">
      <c r="A213" s="4">
        <v>43905</v>
      </c>
      <c r="B213" s="6">
        <v>1</v>
      </c>
      <c r="C213">
        <v>598636030.334782</v>
      </c>
      <c r="D213">
        <v>4842160.6092352299</v>
      </c>
      <c r="E213">
        <v>1873.2638320000001</v>
      </c>
      <c r="F213">
        <v>2803088.9572451799</v>
      </c>
      <c r="G213">
        <v>53176671.368048698</v>
      </c>
      <c r="H213">
        <v>87902675</v>
      </c>
      <c r="I213">
        <v>708378.39471351402</v>
      </c>
      <c r="J213">
        <v>163.92349967999999</v>
      </c>
      <c r="K213">
        <v>299334.24682675803</v>
      </c>
      <c r="L213">
        <v>5189909.7313661296</v>
      </c>
      <c r="M213">
        <v>24011171</v>
      </c>
      <c r="N213">
        <v>193498.033685228</v>
      </c>
      <c r="O213">
        <v>51.514128700000001</v>
      </c>
      <c r="P213">
        <v>25749.716426946801</v>
      </c>
      <c r="Q213">
        <v>241363.04593966599</v>
      </c>
    </row>
    <row r="214" spans="1:17" x14ac:dyDescent="0.3">
      <c r="A214" s="4">
        <v>43904</v>
      </c>
      <c r="B214" s="6">
        <v>1</v>
      </c>
      <c r="C214">
        <v>664613777.54712403</v>
      </c>
      <c r="D214">
        <v>4904334.3237478798</v>
      </c>
      <c r="E214">
        <v>1873.0538320000001</v>
      </c>
      <c r="F214">
        <v>2872684.28477675</v>
      </c>
      <c r="G214">
        <v>53177312.541698202</v>
      </c>
      <c r="H214">
        <v>93926849</v>
      </c>
      <c r="I214">
        <v>690790.97595057695</v>
      </c>
      <c r="J214">
        <v>132.54838749000001</v>
      </c>
      <c r="K214">
        <v>307008.90983437799</v>
      </c>
      <c r="L214">
        <v>3464322.4859714899</v>
      </c>
      <c r="M214">
        <v>24915277</v>
      </c>
      <c r="N214">
        <v>183240.98698242201</v>
      </c>
      <c r="O214">
        <v>51.553902170000001</v>
      </c>
      <c r="P214">
        <v>25723.6666414598</v>
      </c>
      <c r="Q214">
        <v>240992.13226515899</v>
      </c>
    </row>
    <row r="215" spans="1:17" x14ac:dyDescent="0.3">
      <c r="A215" s="4">
        <v>43903</v>
      </c>
      <c r="B215" s="6">
        <v>1</v>
      </c>
      <c r="C215">
        <v>562915886.94845402</v>
      </c>
      <c r="D215">
        <v>5167329.9121844098</v>
      </c>
      <c r="E215">
        <v>1871.9638319999999</v>
      </c>
      <c r="F215">
        <v>2917832.1856767498</v>
      </c>
      <c r="G215">
        <v>65441681.5599242</v>
      </c>
      <c r="H215">
        <v>83366275</v>
      </c>
      <c r="I215">
        <v>762589.416392243</v>
      </c>
      <c r="J215">
        <v>153.76552695999999</v>
      </c>
      <c r="K215">
        <v>313944.898279863</v>
      </c>
      <c r="L215">
        <v>3504925.5835541799</v>
      </c>
      <c r="M215">
        <v>19735871</v>
      </c>
      <c r="N215">
        <v>180533.031467252</v>
      </c>
      <c r="O215">
        <v>51.51196513</v>
      </c>
      <c r="P215">
        <v>25552.690721833002</v>
      </c>
      <c r="Q215">
        <v>248062.29633398299</v>
      </c>
    </row>
    <row r="216" spans="1:17" x14ac:dyDescent="0.3">
      <c r="A216" s="4">
        <v>43902</v>
      </c>
      <c r="B216" s="6">
        <v>1</v>
      </c>
      <c r="C216">
        <v>899221594.23507297</v>
      </c>
      <c r="D216">
        <v>4588695.4351362297</v>
      </c>
      <c r="E216">
        <v>1856.873832</v>
      </c>
      <c r="F216">
        <v>2767818.6819346799</v>
      </c>
      <c r="G216">
        <v>80933021.211756706</v>
      </c>
      <c r="H216">
        <v>115859010</v>
      </c>
      <c r="I216">
        <v>588953.89385929203</v>
      </c>
      <c r="J216">
        <v>176.0717612</v>
      </c>
      <c r="K216">
        <v>314710.76161425101</v>
      </c>
      <c r="L216">
        <v>2081964.6978319399</v>
      </c>
      <c r="M216">
        <v>27578054</v>
      </c>
      <c r="N216">
        <v>140189.37576250499</v>
      </c>
      <c r="O216">
        <v>54.666143920000003</v>
      </c>
      <c r="P216">
        <v>25647.405076568401</v>
      </c>
      <c r="Q216">
        <v>196209.15039313701</v>
      </c>
    </row>
    <row r="217" spans="1:17" x14ac:dyDescent="0.3">
      <c r="A217" s="4">
        <v>43901</v>
      </c>
      <c r="B217" s="6">
        <v>1</v>
      </c>
      <c r="C217">
        <v>916398917.07507706</v>
      </c>
      <c r="D217">
        <v>4551205.2199297398</v>
      </c>
      <c r="E217">
        <v>1794.275832</v>
      </c>
      <c r="F217">
        <v>2776048.4373754002</v>
      </c>
      <c r="G217">
        <v>84376057.101925805</v>
      </c>
      <c r="H217">
        <v>119991847</v>
      </c>
      <c r="I217">
        <v>593695.74489139498</v>
      </c>
      <c r="J217">
        <v>172.73691543999999</v>
      </c>
      <c r="K217">
        <v>314452.46457957802</v>
      </c>
      <c r="L217">
        <v>1990721.92948899</v>
      </c>
      <c r="M217">
        <v>27430745</v>
      </c>
      <c r="N217">
        <v>135721.85938350399</v>
      </c>
      <c r="O217">
        <v>53.759343919999999</v>
      </c>
      <c r="P217">
        <v>25618.197101648399</v>
      </c>
      <c r="Q217">
        <v>117656.356696275</v>
      </c>
    </row>
    <row r="218" spans="1:17" x14ac:dyDescent="0.3">
      <c r="A218" s="4">
        <v>43900</v>
      </c>
      <c r="B218" s="6">
        <v>1</v>
      </c>
      <c r="C218">
        <v>936166054.950876</v>
      </c>
      <c r="D218">
        <v>4606763.5333921704</v>
      </c>
      <c r="E218">
        <v>1793.8858319999999</v>
      </c>
      <c r="F218">
        <v>2778737.00135057</v>
      </c>
      <c r="G218">
        <v>82458195.709950194</v>
      </c>
      <c r="H218">
        <v>133493023</v>
      </c>
      <c r="I218">
        <v>654570.08433852997</v>
      </c>
      <c r="J218">
        <v>160.70824617</v>
      </c>
      <c r="K218">
        <v>303513.37697426602</v>
      </c>
      <c r="L218">
        <v>1882158.68311806</v>
      </c>
      <c r="M218">
        <v>27237089</v>
      </c>
      <c r="N218">
        <v>133554.42286947099</v>
      </c>
      <c r="O218">
        <v>51.870614179999997</v>
      </c>
      <c r="P218">
        <v>25127.161282864399</v>
      </c>
      <c r="Q218">
        <v>229168.48676834101</v>
      </c>
    </row>
    <row r="219" spans="1:17" x14ac:dyDescent="0.3">
      <c r="A219" s="4">
        <v>43899</v>
      </c>
      <c r="B219" s="6">
        <v>1</v>
      </c>
      <c r="C219">
        <v>891896028.21796703</v>
      </c>
      <c r="D219">
        <v>4441760.3722084304</v>
      </c>
      <c r="E219">
        <v>1792.6858319999999</v>
      </c>
      <c r="F219">
        <v>2671037.1680094399</v>
      </c>
      <c r="G219">
        <v>85346240.880021393</v>
      </c>
      <c r="H219">
        <v>137463509</v>
      </c>
      <c r="I219">
        <v>682201.03722084302</v>
      </c>
      <c r="J219">
        <v>133.26655941000001</v>
      </c>
      <c r="K219">
        <v>295675.87303878798</v>
      </c>
      <c r="L219">
        <v>1395465.88713877</v>
      </c>
      <c r="M219">
        <v>26274281</v>
      </c>
      <c r="N219">
        <v>130393.454094292</v>
      </c>
      <c r="O219">
        <v>51.10870517</v>
      </c>
      <c r="P219">
        <v>25141.764485245301</v>
      </c>
      <c r="Q219">
        <v>127796.14793335</v>
      </c>
    </row>
    <row r="220" spans="1:17" x14ac:dyDescent="0.3">
      <c r="A220" s="4">
        <v>43898</v>
      </c>
      <c r="B220" s="6">
        <v>1</v>
      </c>
      <c r="C220">
        <v>1029765117.48488</v>
      </c>
      <c r="D220">
        <v>4295148.6408977499</v>
      </c>
      <c r="E220">
        <v>1793.9458319999901</v>
      </c>
      <c r="F220">
        <v>2676778.1655444698</v>
      </c>
      <c r="G220">
        <v>84467249.311182007</v>
      </c>
      <c r="H220">
        <v>160312325</v>
      </c>
      <c r="I220">
        <v>666302.26517040702</v>
      </c>
      <c r="J220">
        <v>133.24457855</v>
      </c>
      <c r="K220">
        <v>297799.51129197801</v>
      </c>
      <c r="L220">
        <v>786637.13941360498</v>
      </c>
      <c r="M220">
        <v>22463695</v>
      </c>
      <c r="N220">
        <v>93365.3158769742</v>
      </c>
      <c r="O220">
        <v>47.165704480000002</v>
      </c>
      <c r="P220">
        <v>31847.032659229</v>
      </c>
      <c r="Q220">
        <v>101320.20148660299</v>
      </c>
    </row>
    <row r="221" spans="1:17" x14ac:dyDescent="0.3">
      <c r="A221" s="4">
        <v>43897</v>
      </c>
      <c r="B221" s="6">
        <v>1</v>
      </c>
      <c r="C221">
        <v>1050724755.2691801</v>
      </c>
      <c r="D221">
        <v>4266463.66248482</v>
      </c>
      <c r="E221">
        <v>1800.7835906600001</v>
      </c>
      <c r="F221">
        <v>2704883.2011647201</v>
      </c>
      <c r="G221">
        <v>84719977.657957703</v>
      </c>
      <c r="H221">
        <v>164764511</v>
      </c>
      <c r="I221">
        <v>666792.84095507895</v>
      </c>
      <c r="J221">
        <v>143.79724143999999</v>
      </c>
      <c r="K221">
        <v>332400.887416379</v>
      </c>
      <c r="L221">
        <v>2141034.6336882301</v>
      </c>
      <c r="M221">
        <v>23768670</v>
      </c>
      <c r="N221">
        <v>96190.489680291299</v>
      </c>
      <c r="O221">
        <v>29.82453765</v>
      </c>
      <c r="P221">
        <v>31510.5193685944</v>
      </c>
      <c r="Q221">
        <v>188268.788385377</v>
      </c>
    </row>
    <row r="222" spans="1:17" x14ac:dyDescent="0.3">
      <c r="A222" s="4">
        <v>43896</v>
      </c>
      <c r="B222" s="6">
        <v>1</v>
      </c>
      <c r="C222">
        <v>994961183.03524494</v>
      </c>
      <c r="D222">
        <v>4340579.5600765003</v>
      </c>
      <c r="E222">
        <v>1763.6258319999999</v>
      </c>
      <c r="F222">
        <v>2714596.9106645002</v>
      </c>
      <c r="G222">
        <v>83429638.914892003</v>
      </c>
      <c r="H222">
        <v>162454594</v>
      </c>
      <c r="I222">
        <v>706201.50408624497</v>
      </c>
      <c r="J222">
        <v>140.22807080999999</v>
      </c>
      <c r="K222">
        <v>382700.53241136699</v>
      </c>
      <c r="L222">
        <v>1113893.6844432701</v>
      </c>
      <c r="M222">
        <v>22989841</v>
      </c>
      <c r="N222">
        <v>99938.449834811297</v>
      </c>
      <c r="O222">
        <v>32.312200939999997</v>
      </c>
      <c r="P222">
        <v>24238.127511031998</v>
      </c>
      <c r="Q222">
        <v>176355.881256136</v>
      </c>
    </row>
    <row r="223" spans="1:17" x14ac:dyDescent="0.3">
      <c r="A223" s="4">
        <v>43895</v>
      </c>
      <c r="B223" s="6">
        <v>1</v>
      </c>
      <c r="C223">
        <v>995888605.36657798</v>
      </c>
      <c r="D223">
        <v>4394151.3932841001</v>
      </c>
      <c r="E223">
        <v>1765.365832</v>
      </c>
      <c r="F223">
        <v>2727667.8177911299</v>
      </c>
      <c r="G223">
        <v>83415446.067451105</v>
      </c>
      <c r="H223">
        <v>163424618</v>
      </c>
      <c r="I223">
        <v>718286.82313642697</v>
      </c>
      <c r="J223">
        <v>174.32975138</v>
      </c>
      <c r="K223">
        <v>388587.53973175498</v>
      </c>
      <c r="L223">
        <v>2050135.57550219</v>
      </c>
      <c r="M223">
        <v>21863168</v>
      </c>
      <c r="N223">
        <v>96093.389592123698</v>
      </c>
      <c r="O223">
        <v>32.357567539999998</v>
      </c>
      <c r="P223">
        <v>23352.302993125999</v>
      </c>
      <c r="Q223">
        <v>127494.861387931</v>
      </c>
    </row>
    <row r="224" spans="1:17" x14ac:dyDescent="0.3">
      <c r="A224" s="4">
        <v>43894</v>
      </c>
      <c r="B224" s="6">
        <v>1</v>
      </c>
      <c r="C224">
        <v>977589920.84205401</v>
      </c>
      <c r="D224">
        <v>4347165.17849233</v>
      </c>
      <c r="E224">
        <v>1768.4758320000001</v>
      </c>
      <c r="F224">
        <v>2655389.9312866102</v>
      </c>
      <c r="G224">
        <v>80837633.624174103</v>
      </c>
      <c r="H224">
        <v>162107032</v>
      </c>
      <c r="I224">
        <v>717986.67729648296</v>
      </c>
      <c r="J224">
        <v>192.40423172000001</v>
      </c>
      <c r="K224">
        <v>332502.42416076298</v>
      </c>
      <c r="L224">
        <v>200800.94298866601</v>
      </c>
      <c r="M224">
        <v>21933848</v>
      </c>
      <c r="N224">
        <v>97146.992647710096</v>
      </c>
      <c r="O224">
        <v>37.902593979999999</v>
      </c>
      <c r="P224">
        <v>22915.959000569401</v>
      </c>
      <c r="Q224">
        <v>69575.862341782195</v>
      </c>
    </row>
    <row r="225" spans="1:17" x14ac:dyDescent="0.3">
      <c r="A225" s="4">
        <v>43893</v>
      </c>
      <c r="B225" s="6">
        <v>1</v>
      </c>
      <c r="C225">
        <v>1017471746.2911299</v>
      </c>
      <c r="D225">
        <v>4360282.0622252496</v>
      </c>
      <c r="E225">
        <v>1771.1858319999999</v>
      </c>
      <c r="F225">
        <v>2717390.2552508102</v>
      </c>
      <c r="G225">
        <v>82968452.221595004</v>
      </c>
      <c r="H225">
        <v>165627671</v>
      </c>
      <c r="I225">
        <v>706874.10268447699</v>
      </c>
      <c r="J225">
        <v>232.43303508</v>
      </c>
      <c r="K225">
        <v>386309.09183174197</v>
      </c>
      <c r="L225">
        <v>3774296.5952713401</v>
      </c>
      <c r="M225">
        <v>21029088</v>
      </c>
      <c r="N225">
        <v>89748.999189108406</v>
      </c>
      <c r="O225">
        <v>29.479685750000002</v>
      </c>
      <c r="P225">
        <v>18031.257634015299</v>
      </c>
      <c r="Q225">
        <v>165400.91555208701</v>
      </c>
    </row>
    <row r="226" spans="1:17" x14ac:dyDescent="0.3">
      <c r="A226" s="4">
        <v>43892</v>
      </c>
      <c r="B226" s="6">
        <v>1</v>
      </c>
      <c r="C226">
        <v>958254227.22212601</v>
      </c>
      <c r="D226">
        <v>4351640.7497851904</v>
      </c>
      <c r="E226">
        <v>1776.4158319999999</v>
      </c>
      <c r="F226">
        <v>2728397.96153002</v>
      </c>
      <c r="G226">
        <v>83459139.918286696</v>
      </c>
      <c r="H226">
        <v>158130713</v>
      </c>
      <c r="I226">
        <v>715102.93944738305</v>
      </c>
      <c r="J226">
        <v>231.72469538999999</v>
      </c>
      <c r="K226">
        <v>392390.98604948597</v>
      </c>
      <c r="L226">
        <v>6878790.0693703797</v>
      </c>
      <c r="M226">
        <v>20519363</v>
      </c>
      <c r="N226">
        <v>92793.212137656505</v>
      </c>
      <c r="O226">
        <v>29.906112270000001</v>
      </c>
      <c r="P226">
        <v>18287.212318949601</v>
      </c>
      <c r="Q226">
        <v>448571.05510698998</v>
      </c>
    </row>
    <row r="227" spans="1:17" x14ac:dyDescent="0.3">
      <c r="A227" s="4">
        <v>43891</v>
      </c>
      <c r="B227" s="6">
        <v>1</v>
      </c>
      <c r="C227">
        <v>981913349.01107895</v>
      </c>
      <c r="D227">
        <v>4431250.2471687896</v>
      </c>
      <c r="E227">
        <v>1778.1860320000001</v>
      </c>
      <c r="F227">
        <v>2835268.1135523398</v>
      </c>
      <c r="G227">
        <v>83476461.701513797</v>
      </c>
      <c r="H227">
        <v>156887405</v>
      </c>
      <c r="I227">
        <v>705048.55743303895</v>
      </c>
      <c r="J227">
        <v>239.17468871</v>
      </c>
      <c r="K227">
        <v>471673.54317383101</v>
      </c>
      <c r="L227">
        <v>5815343.4677627897</v>
      </c>
      <c r="M227">
        <v>20320134</v>
      </c>
      <c r="N227">
        <v>91318.236563005499</v>
      </c>
      <c r="O227">
        <v>27.93721227</v>
      </c>
      <c r="P227">
        <v>18170.707853437802</v>
      </c>
      <c r="Q227">
        <v>351430.15139091102</v>
      </c>
    </row>
    <row r="228" spans="1:17" x14ac:dyDescent="0.3">
      <c r="A228" s="4">
        <v>43890</v>
      </c>
      <c r="B228" s="6">
        <v>1</v>
      </c>
      <c r="C228">
        <v>1002757521.61868</v>
      </c>
      <c r="D228">
        <v>4379992.2233343404</v>
      </c>
      <c r="E228">
        <v>1779.3760319999999</v>
      </c>
      <c r="F228">
        <v>2833091.4152929201</v>
      </c>
      <c r="G228">
        <v>87306539.005204305</v>
      </c>
      <c r="H228">
        <v>160430857</v>
      </c>
      <c r="I228">
        <v>698162.91831672401</v>
      </c>
      <c r="J228">
        <v>206.67168588000001</v>
      </c>
      <c r="K228">
        <v>472504.99422973301</v>
      </c>
      <c r="L228">
        <v>8885878.8914309293</v>
      </c>
      <c r="M228">
        <v>20342783</v>
      </c>
      <c r="N228">
        <v>88527.712259019099</v>
      </c>
      <c r="O228">
        <v>25.643197709999999</v>
      </c>
      <c r="P228">
        <v>17691.102538686901</v>
      </c>
      <c r="Q228">
        <v>943857.02670611604</v>
      </c>
    </row>
    <row r="229" spans="1:17" x14ac:dyDescent="0.3">
      <c r="A229" s="4">
        <v>43889</v>
      </c>
      <c r="B229" s="6">
        <v>1</v>
      </c>
      <c r="C229">
        <v>1007606926.2988501</v>
      </c>
      <c r="D229">
        <v>4394405.07170795</v>
      </c>
      <c r="E229">
        <v>1779.726032</v>
      </c>
      <c r="F229">
        <v>2844408.84403351</v>
      </c>
      <c r="G229">
        <v>86702166.319893196</v>
      </c>
      <c r="H229">
        <v>160979233</v>
      </c>
      <c r="I229">
        <v>699605.53237722698</v>
      </c>
      <c r="J229">
        <v>173.93987849999999</v>
      </c>
      <c r="K229">
        <v>476731.26340031601</v>
      </c>
      <c r="L229">
        <v>8863821.8608955797</v>
      </c>
      <c r="M229">
        <v>19497219</v>
      </c>
      <c r="N229">
        <v>84733.676662320693</v>
      </c>
      <c r="O229">
        <v>25.50001232</v>
      </c>
      <c r="P229">
        <v>17636.961352297301</v>
      </c>
      <c r="Q229">
        <v>213434.4228148</v>
      </c>
    </row>
    <row r="230" spans="1:17" x14ac:dyDescent="0.3">
      <c r="A230" s="4">
        <v>43888</v>
      </c>
      <c r="B230" s="6">
        <v>1</v>
      </c>
      <c r="C230">
        <v>970651358.251701</v>
      </c>
      <c r="D230">
        <v>4327440.7292267997</v>
      </c>
      <c r="E230">
        <v>1779.6160319999999</v>
      </c>
      <c r="F230">
        <v>2849198.5488032401</v>
      </c>
      <c r="G230">
        <v>90470879.005535603</v>
      </c>
      <c r="H230">
        <v>152722117</v>
      </c>
      <c r="I230">
        <v>678252.50699471496</v>
      </c>
      <c r="J230">
        <v>175.00395621000001</v>
      </c>
      <c r="K230">
        <v>478370.72925756202</v>
      </c>
      <c r="L230">
        <v>8929154.2114081793</v>
      </c>
      <c r="M230">
        <v>18634128</v>
      </c>
      <c r="N230">
        <v>82755.820047075496</v>
      </c>
      <c r="O230">
        <v>25.726189640000001</v>
      </c>
      <c r="P230">
        <v>17435.2741439087</v>
      </c>
      <c r="Q230">
        <v>262390.35366927</v>
      </c>
    </row>
    <row r="231" spans="1:17" x14ac:dyDescent="0.3">
      <c r="A231" s="4">
        <v>43887</v>
      </c>
      <c r="B231" s="6">
        <v>1</v>
      </c>
      <c r="C231">
        <v>1049088102.01591</v>
      </c>
      <c r="D231">
        <v>4239368.4969004104</v>
      </c>
      <c r="E231">
        <v>1780.746032</v>
      </c>
      <c r="F231">
        <v>2862902.8841663599</v>
      </c>
      <c r="G231">
        <v>93987300.876341805</v>
      </c>
      <c r="H231">
        <v>167623821</v>
      </c>
      <c r="I231">
        <v>674759.765719346</v>
      </c>
      <c r="J231">
        <v>175.30416588</v>
      </c>
      <c r="K231">
        <v>527861.29845368699</v>
      </c>
      <c r="L231">
        <v>9006594.5793247707</v>
      </c>
      <c r="M231">
        <v>15588551</v>
      </c>
      <c r="N231">
        <v>62750.788986394</v>
      </c>
      <c r="O231">
        <v>25.706755470000001</v>
      </c>
      <c r="P231">
        <v>17330.500019915398</v>
      </c>
      <c r="Q231">
        <v>785349.62335260306</v>
      </c>
    </row>
    <row r="232" spans="1:17" x14ac:dyDescent="0.3">
      <c r="A232" s="4">
        <v>43886</v>
      </c>
      <c r="B232" s="6">
        <v>1</v>
      </c>
      <c r="C232">
        <v>1113973133.7537301</v>
      </c>
      <c r="D232">
        <v>4183394.52177817</v>
      </c>
      <c r="E232">
        <v>1784.3470419999901</v>
      </c>
      <c r="F232">
        <v>2842202.63721865</v>
      </c>
      <c r="G232">
        <v>88913464.377580598</v>
      </c>
      <c r="H232">
        <v>176486612</v>
      </c>
      <c r="I232">
        <v>660404.92441251304</v>
      </c>
      <c r="J232">
        <v>174.25274286999999</v>
      </c>
      <c r="K232">
        <v>526710.44668034394</v>
      </c>
      <c r="L232">
        <v>8884041.6559843104</v>
      </c>
      <c r="M232">
        <v>16508845</v>
      </c>
      <c r="N232">
        <v>61775.3517437509</v>
      </c>
      <c r="O232">
        <v>25.378874589999999</v>
      </c>
      <c r="P232">
        <v>17505.478076936499</v>
      </c>
      <c r="Q232">
        <v>883293.61716010899</v>
      </c>
    </row>
    <row r="233" spans="1:17" x14ac:dyDescent="0.3">
      <c r="A233" s="4">
        <v>43885</v>
      </c>
      <c r="B233" s="6">
        <v>1</v>
      </c>
      <c r="C233">
        <v>1143190417.5720699</v>
      </c>
      <c r="D233">
        <v>4166388.1468569501</v>
      </c>
      <c r="E233">
        <v>1784.3370420000001</v>
      </c>
      <c r="F233">
        <v>2838405.2569121001</v>
      </c>
      <c r="G233">
        <v>87257101.462795004</v>
      </c>
      <c r="H233">
        <v>183374572</v>
      </c>
      <c r="I233">
        <v>665920.65947634005</v>
      </c>
      <c r="J233">
        <v>179.09790975000001</v>
      </c>
      <c r="K233">
        <v>528476.97873762494</v>
      </c>
      <c r="L233">
        <v>8511616.5119096804</v>
      </c>
      <c r="M233">
        <v>16180780</v>
      </c>
      <c r="N233">
        <v>58760.140901332699</v>
      </c>
      <c r="O233">
        <v>22.2075058</v>
      </c>
      <c r="P233">
        <v>17482.036731865999</v>
      </c>
      <c r="Q233">
        <v>198396.09624544901</v>
      </c>
    </row>
    <row r="234" spans="1:17" x14ac:dyDescent="0.3">
      <c r="A234" s="4">
        <v>43884</v>
      </c>
      <c r="B234" s="6">
        <v>1</v>
      </c>
      <c r="C234">
        <v>1105012425.5873699</v>
      </c>
      <c r="D234">
        <v>4188937.5353947198</v>
      </c>
      <c r="E234">
        <v>1784.0870420000001</v>
      </c>
      <c r="F234">
        <v>2802662.7019713698</v>
      </c>
      <c r="G234">
        <v>85888495.483492002</v>
      </c>
      <c r="H234">
        <v>177835848</v>
      </c>
      <c r="I234">
        <v>671408.04168082401</v>
      </c>
      <c r="J234">
        <v>175.49169706000001</v>
      </c>
      <c r="K234">
        <v>527942.60242229502</v>
      </c>
      <c r="L234">
        <v>8157501.62199743</v>
      </c>
      <c r="M234">
        <v>15595441</v>
      </c>
      <c r="N234">
        <v>58879.605089288998</v>
      </c>
      <c r="O234">
        <v>22.45466339</v>
      </c>
      <c r="P234">
        <v>17451.406699803501</v>
      </c>
      <c r="Q234">
        <v>211909.849241989</v>
      </c>
    </row>
    <row r="235" spans="1:17" x14ac:dyDescent="0.3">
      <c r="A235" s="4">
        <v>43883</v>
      </c>
      <c r="B235" s="6">
        <v>1</v>
      </c>
      <c r="C235">
        <v>1114264036.4497001</v>
      </c>
      <c r="D235">
        <v>4191981.0694345501</v>
      </c>
      <c r="E235">
        <v>1784.217042</v>
      </c>
      <c r="F235">
        <v>2815748.2394081098</v>
      </c>
      <c r="G235">
        <v>84232090.988658503</v>
      </c>
      <c r="H235">
        <v>179005084</v>
      </c>
      <c r="I235">
        <v>670757.61232060497</v>
      </c>
      <c r="J235">
        <v>175.45953039</v>
      </c>
      <c r="K235">
        <v>526625.00440334296</v>
      </c>
      <c r="L235">
        <v>6050482.3637412898</v>
      </c>
      <c r="M235">
        <v>15728012</v>
      </c>
      <c r="N235">
        <v>58935.106980926997</v>
      </c>
      <c r="O235">
        <v>22.08945439</v>
      </c>
      <c r="P235">
        <v>17973.9593226834</v>
      </c>
      <c r="Q235">
        <v>193799.88050122699</v>
      </c>
    </row>
    <row r="236" spans="1:17" x14ac:dyDescent="0.3">
      <c r="A236" s="4">
        <v>43882</v>
      </c>
      <c r="B236" s="6">
        <v>1</v>
      </c>
      <c r="C236">
        <v>1082892363.9916899</v>
      </c>
      <c r="D236">
        <v>4204537.8842361597</v>
      </c>
      <c r="E236">
        <v>1783.92704199999</v>
      </c>
      <c r="F236">
        <v>2796646.0165257999</v>
      </c>
      <c r="G236">
        <v>85540880.256370693</v>
      </c>
      <c r="H236">
        <v>174873724</v>
      </c>
      <c r="I236">
        <v>676154.05792058096</v>
      </c>
      <c r="J236">
        <v>176.24253894</v>
      </c>
      <c r="K236">
        <v>507030.07063673501</v>
      </c>
      <c r="L236">
        <v>7283333.7623458495</v>
      </c>
      <c r="M236">
        <v>15248290</v>
      </c>
      <c r="N236">
        <v>58957.932181108103</v>
      </c>
      <c r="O236">
        <v>21.636030130000002</v>
      </c>
      <c r="P236">
        <v>17630.9566809274</v>
      </c>
      <c r="Q236">
        <v>154068.01283808899</v>
      </c>
    </row>
    <row r="237" spans="1:17" x14ac:dyDescent="0.3">
      <c r="A237" s="4">
        <v>43881</v>
      </c>
      <c r="B237" s="6">
        <v>1</v>
      </c>
      <c r="C237">
        <v>1086246428.46788</v>
      </c>
      <c r="D237">
        <v>4199969.1422191402</v>
      </c>
      <c r="E237">
        <v>1783.92704199999</v>
      </c>
      <c r="F237">
        <v>2820173.9430382098</v>
      </c>
      <c r="G237">
        <v>84945274.877961993</v>
      </c>
      <c r="H237">
        <v>172011426</v>
      </c>
      <c r="I237">
        <v>662244.65234465199</v>
      </c>
      <c r="J237">
        <v>173.50750424</v>
      </c>
      <c r="K237">
        <v>505534.73222562502</v>
      </c>
      <c r="L237">
        <v>7399343.9389224602</v>
      </c>
      <c r="M237">
        <v>14582324</v>
      </c>
      <c r="N237">
        <v>56142.003542003498</v>
      </c>
      <c r="O237">
        <v>21.022688120000002</v>
      </c>
      <c r="P237">
        <v>17289.8781570256</v>
      </c>
      <c r="Q237">
        <v>167773.28048096201</v>
      </c>
    </row>
    <row r="238" spans="1:17" x14ac:dyDescent="0.3">
      <c r="A238" s="4">
        <v>43880</v>
      </c>
      <c r="B238" s="6">
        <v>1</v>
      </c>
      <c r="C238">
        <v>1234764133.63956</v>
      </c>
      <c r="D238">
        <v>4389882.4008498499</v>
      </c>
      <c r="E238">
        <v>1783.8570420000001</v>
      </c>
      <c r="F238">
        <v>3081836.5194387198</v>
      </c>
      <c r="G238">
        <v>84173570.578271493</v>
      </c>
      <c r="H238">
        <v>168465801</v>
      </c>
      <c r="I238">
        <v>596550.28682719497</v>
      </c>
      <c r="J238">
        <v>183.25594161000001</v>
      </c>
      <c r="K238">
        <v>510609.94193995098</v>
      </c>
      <c r="L238">
        <v>5711294.3445530403</v>
      </c>
      <c r="M238">
        <v>15371513</v>
      </c>
      <c r="N238">
        <v>54431.703257790301</v>
      </c>
      <c r="O238">
        <v>20.670654559999999</v>
      </c>
      <c r="P238">
        <v>13245.9306291422</v>
      </c>
      <c r="Q238">
        <v>209988.38344531701</v>
      </c>
    </row>
    <row r="239" spans="1:17" x14ac:dyDescent="0.3">
      <c r="A239" s="4">
        <v>43879</v>
      </c>
      <c r="B239" s="6">
        <v>1</v>
      </c>
      <c r="C239">
        <v>1199142249.37976</v>
      </c>
      <c r="D239">
        <v>4495574.8206814099</v>
      </c>
      <c r="E239">
        <v>1783.448783</v>
      </c>
      <c r="F239">
        <v>3098864.2590244501</v>
      </c>
      <c r="G239">
        <v>90242856.078425899</v>
      </c>
      <c r="H239">
        <v>154859668</v>
      </c>
      <c r="I239">
        <v>578525.35863717797</v>
      </c>
      <c r="J239">
        <v>165.48473225999999</v>
      </c>
      <c r="K239">
        <v>487718.81038499199</v>
      </c>
      <c r="L239">
        <v>8736371.0157762393</v>
      </c>
      <c r="M239">
        <v>14566604</v>
      </c>
      <c r="N239">
        <v>54417.976688583301</v>
      </c>
      <c r="O239">
        <v>19.669854310000002</v>
      </c>
      <c r="P239">
        <v>12992.4174511983</v>
      </c>
      <c r="Q239">
        <v>204412.947541011</v>
      </c>
    </row>
    <row r="240" spans="1:17" x14ac:dyDescent="0.3">
      <c r="A240" s="4">
        <v>43878</v>
      </c>
      <c r="B240" s="6">
        <v>1</v>
      </c>
      <c r="C240">
        <v>1168333428.7519901</v>
      </c>
      <c r="D240">
        <v>4523356.7112928703</v>
      </c>
      <c r="E240">
        <v>1783.538783</v>
      </c>
      <c r="F240">
        <v>3145009.3048690702</v>
      </c>
      <c r="G240">
        <v>90664566.701949701</v>
      </c>
      <c r="H240">
        <v>148710302</v>
      </c>
      <c r="I240">
        <v>573750.15239785402</v>
      </c>
      <c r="J240">
        <v>163.67672859999999</v>
      </c>
      <c r="K240">
        <v>486172.372785185</v>
      </c>
      <c r="L240">
        <v>9974578.3064310104</v>
      </c>
      <c r="M240">
        <v>14275359</v>
      </c>
      <c r="N240">
        <v>55076.812377020702</v>
      </c>
      <c r="O240">
        <v>20.340026430000002</v>
      </c>
      <c r="P240">
        <v>12492.354489105801</v>
      </c>
      <c r="Q240">
        <v>192358.369703984</v>
      </c>
    </row>
    <row r="241" spans="1:17" x14ac:dyDescent="0.3">
      <c r="A241" s="4">
        <v>43877</v>
      </c>
      <c r="B241" s="6">
        <v>1</v>
      </c>
      <c r="C241">
        <v>1178640252.6984301</v>
      </c>
      <c r="D241">
        <v>4468851.7935357103</v>
      </c>
      <c r="E241">
        <v>1783.4087829999901</v>
      </c>
      <c r="F241">
        <v>3132350.7576899999</v>
      </c>
      <c r="G241">
        <v>88547353.102349803</v>
      </c>
      <c r="H241">
        <v>150570918</v>
      </c>
      <c r="I241">
        <v>568535.41005890304</v>
      </c>
      <c r="J241">
        <v>164.05571085</v>
      </c>
      <c r="K241">
        <v>484973.25961009902</v>
      </c>
      <c r="L241">
        <v>9773165.21317604</v>
      </c>
      <c r="M241">
        <v>13851130</v>
      </c>
      <c r="N241">
        <v>52299.992448270597</v>
      </c>
      <c r="O241">
        <v>20.01544908</v>
      </c>
      <c r="P241">
        <v>13195.158281278</v>
      </c>
      <c r="Q241">
        <v>183894.53127687101</v>
      </c>
    </row>
    <row r="242" spans="1:17" x14ac:dyDescent="0.3">
      <c r="A242" s="4">
        <v>43876</v>
      </c>
      <c r="B242" s="6">
        <v>1</v>
      </c>
      <c r="C242">
        <v>1266549245.02843</v>
      </c>
      <c r="D242">
        <v>4452384.7134650396</v>
      </c>
      <c r="E242">
        <v>1783.8387829999999</v>
      </c>
      <c r="F242">
        <v>3174078.5382822198</v>
      </c>
      <c r="G242">
        <v>87173201.618802294</v>
      </c>
      <c r="H242">
        <v>161227022</v>
      </c>
      <c r="I242">
        <v>564757.67829620198</v>
      </c>
      <c r="J242">
        <v>163.33327299999999</v>
      </c>
      <c r="K242">
        <v>490665.69375647203</v>
      </c>
      <c r="L242">
        <v>9984489.7902434804</v>
      </c>
      <c r="M242">
        <v>14313984</v>
      </c>
      <c r="N242">
        <v>50140.058848255503</v>
      </c>
      <c r="O242">
        <v>18.723868119999999</v>
      </c>
      <c r="P242">
        <v>13124.233059117099</v>
      </c>
      <c r="Q242">
        <v>188156.394591107</v>
      </c>
    </row>
    <row r="243" spans="1:17" x14ac:dyDescent="0.3">
      <c r="A243" s="4">
        <v>43875</v>
      </c>
      <c r="B243" s="6">
        <v>1</v>
      </c>
      <c r="C243">
        <v>1198212189.0943799</v>
      </c>
      <c r="D243">
        <v>4485055.6438080296</v>
      </c>
      <c r="E243">
        <v>1784.278783</v>
      </c>
      <c r="F243">
        <v>3181965.83679173</v>
      </c>
      <c r="G243">
        <v>85407920.997521996</v>
      </c>
      <c r="H243">
        <v>159528791</v>
      </c>
      <c r="I243">
        <v>594879.33400454896</v>
      </c>
      <c r="J243">
        <v>162.37584953000001</v>
      </c>
      <c r="K243">
        <v>501289.61331480398</v>
      </c>
      <c r="L243">
        <v>9681387.8644061796</v>
      </c>
      <c r="M243">
        <v>12009511</v>
      </c>
      <c r="N243">
        <v>44783.200954618304</v>
      </c>
      <c r="O243">
        <v>18.635398930000001</v>
      </c>
      <c r="P243">
        <v>14070.7539917001</v>
      </c>
      <c r="Q243">
        <v>201447.186136948</v>
      </c>
    </row>
    <row r="244" spans="1:17" x14ac:dyDescent="0.3">
      <c r="A244" s="4">
        <v>43874</v>
      </c>
      <c r="B244" s="6">
        <v>1</v>
      </c>
      <c r="C244">
        <v>1193987422.7049</v>
      </c>
      <c r="D244">
        <v>4510931.9033641899</v>
      </c>
      <c r="E244">
        <v>1783.4387830000001</v>
      </c>
      <c r="F244">
        <v>3192042.1587694902</v>
      </c>
      <c r="G244">
        <v>82485105.746270895</v>
      </c>
      <c r="H244">
        <v>160000949</v>
      </c>
      <c r="I244">
        <v>602095.841800255</v>
      </c>
      <c r="J244">
        <v>175.3077476</v>
      </c>
      <c r="K244">
        <v>500158.556409791</v>
      </c>
      <c r="L244">
        <v>10446637.139207199</v>
      </c>
      <c r="M244">
        <v>11430328</v>
      </c>
      <c r="N244">
        <v>43013.200873033697</v>
      </c>
      <c r="O244">
        <v>18.428657640000001</v>
      </c>
      <c r="P244">
        <v>14594.978101221701</v>
      </c>
      <c r="Q244">
        <v>192184.87993515801</v>
      </c>
    </row>
    <row r="245" spans="1:17" x14ac:dyDescent="0.3">
      <c r="A245" s="4">
        <v>43873</v>
      </c>
      <c r="B245" s="6">
        <v>1</v>
      </c>
      <c r="C245">
        <v>1105126491.5885301</v>
      </c>
      <c r="D245">
        <v>4680449.7659116797</v>
      </c>
      <c r="E245">
        <v>1783.9087829999901</v>
      </c>
      <c r="F245">
        <v>3205824.7711752499</v>
      </c>
      <c r="G245">
        <v>79960081.888956904</v>
      </c>
      <c r="H245">
        <v>148854646</v>
      </c>
      <c r="I245">
        <v>627840.254755578</v>
      </c>
      <c r="J245">
        <v>175.42906271000001</v>
      </c>
      <c r="K245">
        <v>499669.96887835098</v>
      </c>
      <c r="L245">
        <v>10347791.906966699</v>
      </c>
      <c r="M245">
        <v>10978955</v>
      </c>
      <c r="N245">
        <v>46307.119659201097</v>
      </c>
      <c r="O245">
        <v>15.29347941</v>
      </c>
      <c r="P245">
        <v>15856.3383771833</v>
      </c>
      <c r="Q245">
        <v>184379.10477905799</v>
      </c>
    </row>
    <row r="246" spans="1:17" x14ac:dyDescent="0.3">
      <c r="A246" s="4">
        <v>43872</v>
      </c>
      <c r="B246" s="6">
        <v>1</v>
      </c>
      <c r="C246">
        <v>1041542421.19275</v>
      </c>
      <c r="D246">
        <v>4698290.0377290603</v>
      </c>
      <c r="E246">
        <v>1785.998783</v>
      </c>
      <c r="F246">
        <v>3185960.3881528899</v>
      </c>
      <c r="G246">
        <v>78786681.777027696</v>
      </c>
      <c r="H246">
        <v>141855850</v>
      </c>
      <c r="I246">
        <v>637153.47646424698</v>
      </c>
      <c r="J246">
        <v>186.14824476999999</v>
      </c>
      <c r="K246">
        <v>485227.12253611803</v>
      </c>
      <c r="L246">
        <v>10369222.757424301</v>
      </c>
      <c r="M246">
        <v>10146617</v>
      </c>
      <c r="N246">
        <v>45574.097197269097</v>
      </c>
      <c r="O246">
        <v>13.870854270000001</v>
      </c>
      <c r="P246">
        <v>14129.151669736</v>
      </c>
      <c r="Q246">
        <v>144173.510486741</v>
      </c>
    </row>
    <row r="247" spans="1:17" x14ac:dyDescent="0.3">
      <c r="A247" s="4">
        <v>43871</v>
      </c>
      <c r="B247" s="6">
        <v>1</v>
      </c>
      <c r="C247">
        <v>1049383847.00353</v>
      </c>
      <c r="D247">
        <v>4618810.2892199801</v>
      </c>
      <c r="E247">
        <v>1724.6314829999999</v>
      </c>
      <c r="F247">
        <v>3122613.6935776402</v>
      </c>
      <c r="G247">
        <v>80250204.915979207</v>
      </c>
      <c r="H247">
        <v>146037016</v>
      </c>
      <c r="I247">
        <v>639951.866783523</v>
      </c>
      <c r="J247">
        <v>186.55678587</v>
      </c>
      <c r="K247">
        <v>420844.46431140299</v>
      </c>
      <c r="L247">
        <v>11955977.590570601</v>
      </c>
      <c r="M247">
        <v>10128531</v>
      </c>
      <c r="N247">
        <v>44384.447852760699</v>
      </c>
      <c r="O247">
        <v>13.8463379</v>
      </c>
      <c r="P247">
        <v>15377.704959056</v>
      </c>
      <c r="Q247">
        <v>206700.337516564</v>
      </c>
    </row>
    <row r="248" spans="1:17" x14ac:dyDescent="0.3">
      <c r="A248" s="4">
        <v>43870</v>
      </c>
      <c r="B248" s="6">
        <v>1</v>
      </c>
      <c r="C248">
        <v>1052701920.13229</v>
      </c>
      <c r="D248">
        <v>4741620.6305780997</v>
      </c>
      <c r="E248">
        <v>1723.311483</v>
      </c>
      <c r="F248">
        <v>3112875.7915628902</v>
      </c>
      <c r="G248">
        <v>85360118.293111801</v>
      </c>
      <c r="H248">
        <v>143571208</v>
      </c>
      <c r="I248">
        <v>643903.70004933397</v>
      </c>
      <c r="J248">
        <v>177.59027664000001</v>
      </c>
      <c r="K248">
        <v>392657.062186405</v>
      </c>
      <c r="L248">
        <v>15131006.7933277</v>
      </c>
      <c r="M248">
        <v>9278590</v>
      </c>
      <c r="N248">
        <v>41613.625151365603</v>
      </c>
      <c r="O248">
        <v>13.427569950000001</v>
      </c>
      <c r="P248">
        <v>15097.9576600688</v>
      </c>
      <c r="Q248">
        <v>167145.677413244</v>
      </c>
    </row>
    <row r="249" spans="1:17" x14ac:dyDescent="0.3">
      <c r="A249" s="4">
        <v>43869</v>
      </c>
      <c r="B249" s="6">
        <v>1</v>
      </c>
      <c r="C249">
        <v>1048342468.2524</v>
      </c>
      <c r="D249">
        <v>4723758.6163578397</v>
      </c>
      <c r="E249">
        <v>1660.136483</v>
      </c>
      <c r="F249">
        <v>3101462.2507428401</v>
      </c>
      <c r="G249">
        <v>84001428.437782899</v>
      </c>
      <c r="H249">
        <v>141769987</v>
      </c>
      <c r="I249">
        <v>636053.600430705</v>
      </c>
      <c r="J249">
        <v>178.01391967999999</v>
      </c>
      <c r="K249">
        <v>382716.21502011397</v>
      </c>
      <c r="L249">
        <v>15192337.8166168</v>
      </c>
      <c r="M249">
        <v>9296669</v>
      </c>
      <c r="N249">
        <v>41709.672932836802</v>
      </c>
      <c r="O249">
        <v>22.765588279999999</v>
      </c>
      <c r="P249">
        <v>14771.809407693199</v>
      </c>
      <c r="Q249">
        <v>153536.91023650701</v>
      </c>
    </row>
    <row r="250" spans="1:17" x14ac:dyDescent="0.3">
      <c r="A250" s="4">
        <v>43868</v>
      </c>
      <c r="B250" s="6">
        <v>1</v>
      </c>
      <c r="C250">
        <v>1030233822.02421</v>
      </c>
      <c r="D250">
        <v>4855714.86302335</v>
      </c>
      <c r="E250">
        <v>1653.426483</v>
      </c>
      <c r="F250">
        <v>3097520.2102630599</v>
      </c>
      <c r="G250">
        <v>79474305.273869693</v>
      </c>
      <c r="H250">
        <v>136925715</v>
      </c>
      <c r="I250">
        <v>643417.67304168001</v>
      </c>
      <c r="J250">
        <v>22.124132339999999</v>
      </c>
      <c r="K250">
        <v>380535.96208515298</v>
      </c>
      <c r="L250">
        <v>15552529.251512401</v>
      </c>
      <c r="M250">
        <v>8190244</v>
      </c>
      <c r="N250">
        <v>38486.180160706703</v>
      </c>
      <c r="O250">
        <v>15.196830479999999</v>
      </c>
      <c r="P250">
        <v>14495.419666706999</v>
      </c>
      <c r="Q250">
        <v>136335.231020607</v>
      </c>
    </row>
    <row r="251" spans="1:17" x14ac:dyDescent="0.3">
      <c r="A251" s="4">
        <v>43867</v>
      </c>
      <c r="B251" s="6">
        <v>1</v>
      </c>
      <c r="C251">
        <v>1002391434.72475</v>
      </c>
      <c r="D251">
        <v>4939983.3652382996</v>
      </c>
      <c r="E251">
        <v>1641.7164829999999</v>
      </c>
      <c r="F251">
        <v>3108891.1480351002</v>
      </c>
      <c r="G251">
        <v>78651643.017489806</v>
      </c>
      <c r="H251">
        <v>132185806</v>
      </c>
      <c r="I251">
        <v>648828.38069994596</v>
      </c>
      <c r="J251">
        <v>155.75120418</v>
      </c>
      <c r="K251">
        <v>379439.82640571799</v>
      </c>
      <c r="L251">
        <v>14371585.1528365</v>
      </c>
      <c r="M251">
        <v>7741429</v>
      </c>
      <c r="N251">
        <v>37998.473469788398</v>
      </c>
      <c r="O251">
        <v>19.03794323</v>
      </c>
      <c r="P251">
        <v>14510.4624268227</v>
      </c>
      <c r="Q251">
        <v>155711.31468551699</v>
      </c>
    </row>
    <row r="252" spans="1:17" x14ac:dyDescent="0.3">
      <c r="A252" s="4">
        <v>43866</v>
      </c>
      <c r="B252" s="6">
        <v>1</v>
      </c>
      <c r="C252">
        <v>945876544.64964104</v>
      </c>
      <c r="D252">
        <v>5022754.8257443504</v>
      </c>
      <c r="E252">
        <v>1643.7264829999999</v>
      </c>
      <c r="F252">
        <v>3147351.3583193002</v>
      </c>
      <c r="G252">
        <v>78777849.894167706</v>
      </c>
      <c r="H252">
        <v>125063267</v>
      </c>
      <c r="I252">
        <v>661395.45718969801</v>
      </c>
      <c r="J252">
        <v>161.71458754</v>
      </c>
      <c r="K252">
        <v>392238.854283861</v>
      </c>
      <c r="L252">
        <v>14110922.9297406</v>
      </c>
      <c r="M252">
        <v>7038091</v>
      </c>
      <c r="N252">
        <v>37220.852504098497</v>
      </c>
      <c r="O252">
        <v>17.999617189999999</v>
      </c>
      <c r="P252">
        <v>9710.6168979327995</v>
      </c>
      <c r="Q252">
        <v>129667.586164989</v>
      </c>
    </row>
    <row r="253" spans="1:17" x14ac:dyDescent="0.3">
      <c r="A253" s="4">
        <v>43865</v>
      </c>
      <c r="B253" s="6">
        <v>1</v>
      </c>
      <c r="C253">
        <v>930898166.96704996</v>
      </c>
      <c r="D253">
        <v>4928377.0155549599</v>
      </c>
      <c r="E253">
        <v>1637.9864829999999</v>
      </c>
      <c r="F253">
        <v>3140159.32734964</v>
      </c>
      <c r="G253">
        <v>72695829.842846006</v>
      </c>
      <c r="H253">
        <v>123872450</v>
      </c>
      <c r="I253">
        <v>653163.45900342695</v>
      </c>
      <c r="J253">
        <v>148.57291057</v>
      </c>
      <c r="K253">
        <v>393694.163049786</v>
      </c>
      <c r="L253">
        <v>14243702.983955299</v>
      </c>
      <c r="M253">
        <v>6654286</v>
      </c>
      <c r="N253">
        <v>35087.192196150798</v>
      </c>
      <c r="O253">
        <v>18.186569039999998</v>
      </c>
      <c r="P253">
        <v>9242.3214249255998</v>
      </c>
      <c r="Q253">
        <v>122451.34764560701</v>
      </c>
    </row>
    <row r="254" spans="1:17" x14ac:dyDescent="0.3">
      <c r="A254" s="4">
        <v>43864</v>
      </c>
      <c r="B254" s="6">
        <v>1</v>
      </c>
      <c r="C254">
        <v>928359513.835127</v>
      </c>
      <c r="D254">
        <v>4946892.3775147302</v>
      </c>
      <c r="E254">
        <v>1574.858483</v>
      </c>
      <c r="F254">
        <v>3144087.8943324299</v>
      </c>
      <c r="G254">
        <v>74333715.472267702</v>
      </c>
      <c r="H254">
        <v>122404522</v>
      </c>
      <c r="I254">
        <v>649740.01804766699</v>
      </c>
      <c r="J254">
        <v>133.63992185999999</v>
      </c>
      <c r="K254">
        <v>396079.33849715802</v>
      </c>
      <c r="L254">
        <v>14721814.210889401</v>
      </c>
      <c r="M254">
        <v>6232633</v>
      </c>
      <c r="N254">
        <v>33083.672169435697</v>
      </c>
      <c r="O254">
        <v>16.559089839999999</v>
      </c>
      <c r="P254">
        <v>8922.8505531537994</v>
      </c>
      <c r="Q254">
        <v>164013.45608364101</v>
      </c>
    </row>
    <row r="255" spans="1:17" x14ac:dyDescent="0.3">
      <c r="A255" s="4">
        <v>43863</v>
      </c>
      <c r="B255" s="6">
        <v>1</v>
      </c>
      <c r="C255">
        <v>922457940.63747394</v>
      </c>
      <c r="D255">
        <v>5046812.6546405796</v>
      </c>
      <c r="E255">
        <v>1567.32848299999</v>
      </c>
      <c r="F255">
        <v>3198153.2549233502</v>
      </c>
      <c r="G255">
        <v>73260818.064271897</v>
      </c>
      <c r="H255">
        <v>120708174</v>
      </c>
      <c r="I255">
        <v>657846.06245571899</v>
      </c>
      <c r="J255">
        <v>135.59405551</v>
      </c>
      <c r="K255">
        <v>395252.97451549798</v>
      </c>
      <c r="L255">
        <v>14530896.9364723</v>
      </c>
      <c r="M255">
        <v>5840371</v>
      </c>
      <c r="N255">
        <v>31829.369447926299</v>
      </c>
      <c r="O255">
        <v>16.39482791</v>
      </c>
      <c r="P255">
        <v>9072.4176325424996</v>
      </c>
      <c r="Q255">
        <v>101335.64426655399</v>
      </c>
    </row>
    <row r="256" spans="1:17" x14ac:dyDescent="0.3">
      <c r="A256" s="4">
        <v>43862</v>
      </c>
      <c r="B256" s="6">
        <v>1</v>
      </c>
      <c r="C256">
        <v>906305704.21008897</v>
      </c>
      <c r="D256">
        <v>5063880.2805142701</v>
      </c>
      <c r="E256">
        <v>1569.32848299999</v>
      </c>
      <c r="F256">
        <v>3192761.4749686802</v>
      </c>
      <c r="G256">
        <v>73982100.566407502</v>
      </c>
      <c r="H256">
        <v>118217552</v>
      </c>
      <c r="I256">
        <v>657970.45694884995</v>
      </c>
      <c r="J256">
        <v>133.42418678999999</v>
      </c>
      <c r="K256">
        <v>394778.02639643103</v>
      </c>
      <c r="L256">
        <v>15649683.566627899</v>
      </c>
      <c r="M256">
        <v>5501333</v>
      </c>
      <c r="N256">
        <v>30619.096120665599</v>
      </c>
      <c r="O256">
        <v>15.94803368</v>
      </c>
      <c r="P256">
        <v>8613.3762525414004</v>
      </c>
      <c r="Q256">
        <v>92043.402948183197</v>
      </c>
    </row>
    <row r="257" spans="1:17" x14ac:dyDescent="0.3">
      <c r="A257" s="4">
        <v>43861</v>
      </c>
      <c r="B257" s="6">
        <v>1</v>
      </c>
      <c r="C257">
        <v>925204665.48425603</v>
      </c>
      <c r="D257">
        <v>5037973.3402039399</v>
      </c>
      <c r="E257">
        <v>1571.9984829999901</v>
      </c>
      <c r="F257">
        <v>3189986.3588226298</v>
      </c>
      <c r="G257">
        <v>73121235.421790898</v>
      </c>
      <c r="H257">
        <v>121064418</v>
      </c>
      <c r="I257">
        <v>656673.99652853096</v>
      </c>
      <c r="J257">
        <v>131.88575016999999</v>
      </c>
      <c r="K257">
        <v>393310.59821166802</v>
      </c>
      <c r="L257">
        <v>16053228.219595499</v>
      </c>
      <c r="M257">
        <v>5308317</v>
      </c>
      <c r="N257">
        <v>28793.214363202402</v>
      </c>
      <c r="O257">
        <v>16.691304850000002</v>
      </c>
      <c r="P257">
        <v>9415.0115620534998</v>
      </c>
      <c r="Q257">
        <v>98367.562201583802</v>
      </c>
    </row>
    <row r="258" spans="1:17" x14ac:dyDescent="0.3">
      <c r="A258" s="4">
        <v>43860</v>
      </c>
      <c r="B258" s="6">
        <v>1</v>
      </c>
      <c r="C258">
        <v>874576491.74818003</v>
      </c>
      <c r="D258">
        <v>5053882.3261970496</v>
      </c>
      <c r="E258">
        <v>1564.4384829999999</v>
      </c>
      <c r="F258">
        <v>3185142.71305562</v>
      </c>
      <c r="G258">
        <v>71228000.433962703</v>
      </c>
      <c r="H258">
        <v>114705030</v>
      </c>
      <c r="I258">
        <v>660134.84116022103</v>
      </c>
      <c r="J258">
        <v>137.9187033</v>
      </c>
      <c r="K258">
        <v>389641.85797815397</v>
      </c>
      <c r="L258">
        <v>15500604.2233673</v>
      </c>
      <c r="M258">
        <v>4978321</v>
      </c>
      <c r="N258">
        <v>28650.5582412523</v>
      </c>
      <c r="O258">
        <v>24.977307239999998</v>
      </c>
      <c r="P258">
        <v>9523.6008819607996</v>
      </c>
      <c r="Q258">
        <v>97795.093497651498</v>
      </c>
    </row>
    <row r="259" spans="1:17" x14ac:dyDescent="0.3">
      <c r="A259" s="4">
        <v>43859</v>
      </c>
      <c r="B259" s="6">
        <v>1</v>
      </c>
      <c r="C259">
        <v>891278952.62559295</v>
      </c>
      <c r="D259">
        <v>5096040.0569476001</v>
      </c>
      <c r="E259">
        <v>1564.098483</v>
      </c>
      <c r="F259">
        <v>3194766.9452428399</v>
      </c>
      <c r="G259">
        <v>68934613.342984498</v>
      </c>
      <c r="H259">
        <v>115669615</v>
      </c>
      <c r="I259">
        <v>658710.79157175403</v>
      </c>
      <c r="J259">
        <v>149.5783137</v>
      </c>
      <c r="K259">
        <v>391809.37182484497</v>
      </c>
      <c r="L259">
        <v>13970211.966122</v>
      </c>
      <c r="M259">
        <v>5033854</v>
      </c>
      <c r="N259">
        <v>28666.594533029602</v>
      </c>
      <c r="O259">
        <v>24.177318939999999</v>
      </c>
      <c r="P259">
        <v>9371.2621211885998</v>
      </c>
      <c r="Q259">
        <v>79629.187484673806</v>
      </c>
    </row>
    <row r="260" spans="1:17" x14ac:dyDescent="0.3">
      <c r="A260" s="4">
        <v>43858</v>
      </c>
      <c r="B260" s="6">
        <v>1</v>
      </c>
      <c r="C260">
        <v>855228360.78507495</v>
      </c>
      <c r="D260">
        <v>5053352.8958210703</v>
      </c>
      <c r="E260">
        <v>1564.388483</v>
      </c>
      <c r="F260">
        <v>3164976.4433409302</v>
      </c>
      <c r="G260">
        <v>65826228.321038298</v>
      </c>
      <c r="H260">
        <v>114203421</v>
      </c>
      <c r="I260">
        <v>672180.22954679199</v>
      </c>
      <c r="J260">
        <v>149.17793073999999</v>
      </c>
      <c r="K260">
        <v>386063.00740807701</v>
      </c>
      <c r="L260">
        <v>13493519.2947728</v>
      </c>
      <c r="M260">
        <v>4707850</v>
      </c>
      <c r="N260">
        <v>27709.535020600299</v>
      </c>
      <c r="O260">
        <v>23.6954216</v>
      </c>
      <c r="P260">
        <v>8777.9089638002006</v>
      </c>
      <c r="Q260">
        <v>84153.671708786904</v>
      </c>
    </row>
    <row r="261" spans="1:17" x14ac:dyDescent="0.3">
      <c r="A261" s="4">
        <v>43857</v>
      </c>
      <c r="B261" s="6">
        <v>1</v>
      </c>
      <c r="C261">
        <v>834314909.75169098</v>
      </c>
      <c r="D261">
        <v>4980165.9769294802</v>
      </c>
      <c r="E261">
        <v>1493.647483</v>
      </c>
      <c r="F261">
        <v>3154409.7869960498</v>
      </c>
      <c r="G261">
        <v>64125339.317483597</v>
      </c>
      <c r="H261">
        <v>110514288</v>
      </c>
      <c r="I261">
        <v>657119.08669282903</v>
      </c>
      <c r="J261">
        <v>149.04017056000001</v>
      </c>
      <c r="K261">
        <v>379861.904746685</v>
      </c>
      <c r="L261">
        <v>12959964.285309</v>
      </c>
      <c r="M261">
        <v>4481439</v>
      </c>
      <c r="N261">
        <v>26646.682126293199</v>
      </c>
      <c r="O261">
        <v>22.167977969999999</v>
      </c>
      <c r="P261">
        <v>8799.0928592227992</v>
      </c>
      <c r="Q261">
        <v>83547.106115855699</v>
      </c>
    </row>
    <row r="262" spans="1:17" x14ac:dyDescent="0.3">
      <c r="A262" s="4">
        <v>43856</v>
      </c>
      <c r="B262" s="6">
        <v>1</v>
      </c>
      <c r="C262">
        <v>805609275.63002002</v>
      </c>
      <c r="D262">
        <v>4994183.5319542997</v>
      </c>
      <c r="E262">
        <v>1502.4674829999999</v>
      </c>
      <c r="F262">
        <v>3145644.323899</v>
      </c>
      <c r="G262">
        <v>62084430.275296703</v>
      </c>
      <c r="H262">
        <v>107675545</v>
      </c>
      <c r="I262">
        <v>664869.06452608795</v>
      </c>
      <c r="J262">
        <v>150.24777603000001</v>
      </c>
      <c r="K262">
        <v>378922.79896205501</v>
      </c>
      <c r="L262">
        <v>12040679.0266732</v>
      </c>
      <c r="M262">
        <v>4136532</v>
      </c>
      <c r="N262">
        <v>25542.031491200902</v>
      </c>
      <c r="O262">
        <v>21.932580860000002</v>
      </c>
      <c r="P262">
        <v>8620.9108785773005</v>
      </c>
      <c r="Q262">
        <v>81640.686949409297</v>
      </c>
    </row>
    <row r="263" spans="1:17" x14ac:dyDescent="0.3">
      <c r="A263" s="4">
        <v>43855</v>
      </c>
      <c r="B263" s="6">
        <v>1</v>
      </c>
      <c r="C263">
        <v>802232485.81515896</v>
      </c>
      <c r="D263">
        <v>4928728.8433292499</v>
      </c>
      <c r="E263">
        <v>1502.847483</v>
      </c>
      <c r="F263">
        <v>3143762.3619464398</v>
      </c>
      <c r="G263">
        <v>60330793.390622802</v>
      </c>
      <c r="H263">
        <v>108878577</v>
      </c>
      <c r="I263">
        <v>666331.56058751501</v>
      </c>
      <c r="J263">
        <v>123.74744185</v>
      </c>
      <c r="K263">
        <v>379202.39651840599</v>
      </c>
      <c r="L263">
        <v>12404518.513721799</v>
      </c>
      <c r="M263">
        <v>4158881</v>
      </c>
      <c r="N263">
        <v>25452.148102815099</v>
      </c>
      <c r="O263">
        <v>20.54283555</v>
      </c>
      <c r="P263">
        <v>8453.2401807148999</v>
      </c>
      <c r="Q263">
        <v>66955.000199450602</v>
      </c>
    </row>
    <row r="264" spans="1:17" x14ac:dyDescent="0.3">
      <c r="A264" s="4">
        <v>43854</v>
      </c>
      <c r="B264" s="6">
        <v>1</v>
      </c>
      <c r="C264">
        <v>805902544.23632896</v>
      </c>
      <c r="D264">
        <v>4954683.8375796098</v>
      </c>
      <c r="E264">
        <v>1502.6974829999999</v>
      </c>
      <c r="F264">
        <v>3144442.3401757898</v>
      </c>
      <c r="G264">
        <v>58334694.591619797</v>
      </c>
      <c r="H264">
        <v>106755630</v>
      </c>
      <c r="I264">
        <v>653819.390004899</v>
      </c>
      <c r="J264">
        <v>122.64025728999999</v>
      </c>
      <c r="K264">
        <v>382556.449570372</v>
      </c>
      <c r="L264">
        <v>12002698.4029782</v>
      </c>
      <c r="M264">
        <v>3949684</v>
      </c>
      <c r="N264">
        <v>24189.637432631</v>
      </c>
      <c r="O264">
        <v>19.8459298</v>
      </c>
      <c r="P264">
        <v>8258.3199618503004</v>
      </c>
      <c r="Q264">
        <v>69114.152153030707</v>
      </c>
    </row>
    <row r="265" spans="1:17" x14ac:dyDescent="0.3">
      <c r="A265" s="4">
        <v>43853</v>
      </c>
      <c r="B265" s="6">
        <v>1</v>
      </c>
      <c r="C265">
        <v>835327366.22310996</v>
      </c>
      <c r="D265">
        <v>4957135.5639631096</v>
      </c>
      <c r="E265">
        <v>1501.837483</v>
      </c>
      <c r="F265">
        <v>3143984.5333976001</v>
      </c>
      <c r="G265">
        <v>58397491.034168497</v>
      </c>
      <c r="H265">
        <v>109174622</v>
      </c>
      <c r="I265">
        <v>645392.657838732</v>
      </c>
      <c r="J265">
        <v>126.68489311</v>
      </c>
      <c r="K265">
        <v>379754.34819216502</v>
      </c>
      <c r="L265">
        <v>12346537.9738837</v>
      </c>
      <c r="M265">
        <v>4020737</v>
      </c>
      <c r="N265">
        <v>23768.840151336</v>
      </c>
      <c r="O265">
        <v>17.098342509999998</v>
      </c>
      <c r="P265">
        <v>8193.5108421853001</v>
      </c>
      <c r="Q265">
        <v>66261.303315306606</v>
      </c>
    </row>
    <row r="266" spans="1:17" x14ac:dyDescent="0.3">
      <c r="A266" s="4">
        <v>43852</v>
      </c>
      <c r="B266" s="6">
        <v>1</v>
      </c>
      <c r="C266">
        <v>835381958.87070704</v>
      </c>
      <c r="D266">
        <v>4948178.2616392197</v>
      </c>
      <c r="E266">
        <v>1503.607483</v>
      </c>
      <c r="F266">
        <v>3142315.5867319601</v>
      </c>
      <c r="G266">
        <v>57468717.776977301</v>
      </c>
      <c r="H266">
        <v>108497977</v>
      </c>
      <c r="I266">
        <v>640219.37216026406</v>
      </c>
      <c r="J266">
        <v>116.63554784999999</v>
      </c>
      <c r="K266">
        <v>380999.289587887</v>
      </c>
      <c r="L266">
        <v>12075035.7012701</v>
      </c>
      <c r="M266">
        <v>3772805</v>
      </c>
      <c r="N266">
        <v>22262.376821856298</v>
      </c>
      <c r="O266">
        <v>16.98789317</v>
      </c>
      <c r="P266">
        <v>6893.1512316522003</v>
      </c>
      <c r="Q266">
        <v>59181.217170090997</v>
      </c>
    </row>
    <row r="267" spans="1:17" x14ac:dyDescent="0.3">
      <c r="A267" s="4">
        <v>43851</v>
      </c>
      <c r="B267" s="6">
        <v>1</v>
      </c>
      <c r="C267">
        <v>815805975.58963597</v>
      </c>
      <c r="D267">
        <v>4897387.2121538296</v>
      </c>
      <c r="E267">
        <v>1503.5474830000001</v>
      </c>
      <c r="F267">
        <v>3123986.95940554</v>
      </c>
      <c r="G267">
        <v>55145957.107413903</v>
      </c>
      <c r="H267">
        <v>104365142</v>
      </c>
      <c r="I267">
        <v>624230.767390394</v>
      </c>
      <c r="J267">
        <v>118.67830171999999</v>
      </c>
      <c r="K267">
        <v>378283.48725888098</v>
      </c>
      <c r="L267">
        <v>10842763.841252601</v>
      </c>
      <c r="M267">
        <v>3006996</v>
      </c>
      <c r="N267">
        <v>17985.501525210799</v>
      </c>
      <c r="O267">
        <v>17.09666992</v>
      </c>
      <c r="P267">
        <v>6170.6645473709004</v>
      </c>
      <c r="Q267">
        <v>72291.643426295399</v>
      </c>
    </row>
    <row r="268" spans="1:17" x14ac:dyDescent="0.3">
      <c r="A268" s="4">
        <v>43850</v>
      </c>
      <c r="B268" s="6">
        <v>1</v>
      </c>
      <c r="C268">
        <v>824861473.71162903</v>
      </c>
      <c r="D268">
        <v>4948288.1470412398</v>
      </c>
      <c r="E268">
        <v>1508.307483</v>
      </c>
      <c r="F268">
        <v>3118753.5076049301</v>
      </c>
      <c r="G268">
        <v>61449722.293233797</v>
      </c>
      <c r="H268">
        <v>113502236</v>
      </c>
      <c r="I268">
        <v>678435.36162582098</v>
      </c>
      <c r="J268">
        <v>127.09717228</v>
      </c>
      <c r="K268">
        <v>377051.43051915301</v>
      </c>
      <c r="L268">
        <v>10634080.6962093</v>
      </c>
      <c r="M268">
        <v>2956981</v>
      </c>
      <c r="N268">
        <v>17674.722056186401</v>
      </c>
      <c r="O268">
        <v>16.78012841</v>
      </c>
      <c r="P268">
        <v>8078.1170348467003</v>
      </c>
      <c r="Q268">
        <v>58973.322293469202</v>
      </c>
    </row>
    <row r="269" spans="1:17" x14ac:dyDescent="0.3">
      <c r="A269" s="4">
        <v>43849</v>
      </c>
      <c r="B269" s="6">
        <v>1</v>
      </c>
      <c r="C269">
        <v>851162043.45808494</v>
      </c>
      <c r="D269">
        <v>4897264.6792409504</v>
      </c>
      <c r="E269">
        <v>1507.337483</v>
      </c>
      <c r="F269">
        <v>3097048.8933107201</v>
      </c>
      <c r="G269">
        <v>59569886.076147102</v>
      </c>
      <c r="H269">
        <v>119120009</v>
      </c>
      <c r="I269">
        <v>682910.10147336998</v>
      </c>
      <c r="J269">
        <v>129.73027246000001</v>
      </c>
      <c r="K269">
        <v>376359.30559472501</v>
      </c>
      <c r="L269">
        <v>9888720.0607286002</v>
      </c>
      <c r="M269">
        <v>2648338</v>
      </c>
      <c r="N269">
        <v>15182.812589577399</v>
      </c>
      <c r="O269">
        <v>16.437141700000002</v>
      </c>
      <c r="P269">
        <v>7544.9690641568004</v>
      </c>
      <c r="Q269">
        <v>54716.689021946098</v>
      </c>
    </row>
    <row r="270" spans="1:17" x14ac:dyDescent="0.3">
      <c r="A270" s="4">
        <v>43848</v>
      </c>
      <c r="B270" s="6">
        <v>1</v>
      </c>
      <c r="C270">
        <v>840070545.97735405</v>
      </c>
      <c r="D270">
        <v>4964137.2217642199</v>
      </c>
      <c r="E270">
        <v>1509.1494829999999</v>
      </c>
      <c r="F270">
        <v>3088548.7578365998</v>
      </c>
      <c r="G270">
        <v>61903932.260003</v>
      </c>
      <c r="H270">
        <v>119484547</v>
      </c>
      <c r="I270">
        <v>703595.25968672696</v>
      </c>
      <c r="J270">
        <v>119.28424068</v>
      </c>
      <c r="K270">
        <v>376097.00710121798</v>
      </c>
      <c r="L270">
        <v>7324208.3343557296</v>
      </c>
      <c r="M270">
        <v>2518152</v>
      </c>
      <c r="N270">
        <v>14828.3594394064</v>
      </c>
      <c r="O270">
        <v>10.909940150000001</v>
      </c>
      <c r="P270">
        <v>7383.9948425536004</v>
      </c>
      <c r="Q270">
        <v>46275.845833435698</v>
      </c>
    </row>
    <row r="271" spans="1:17" x14ac:dyDescent="0.3">
      <c r="A271" s="4">
        <v>43847</v>
      </c>
      <c r="B271" s="6">
        <v>1</v>
      </c>
      <c r="C271">
        <v>810279916.31387603</v>
      </c>
      <c r="D271">
        <v>4945211.9793250198</v>
      </c>
      <c r="E271">
        <v>1511.079483</v>
      </c>
      <c r="F271">
        <v>3088053.2709054998</v>
      </c>
      <c r="G271">
        <v>56700662.259400897</v>
      </c>
      <c r="H271">
        <v>119525798</v>
      </c>
      <c r="I271">
        <v>726821.51413803594</v>
      </c>
      <c r="J271">
        <v>136.25201616000001</v>
      </c>
      <c r="K271">
        <v>374063.66881833097</v>
      </c>
      <c r="L271">
        <v>6382824.3358974904</v>
      </c>
      <c r="M271">
        <v>2397260</v>
      </c>
      <c r="N271">
        <v>14577.439951352901</v>
      </c>
      <c r="O271">
        <v>10.88668328</v>
      </c>
      <c r="P271">
        <v>6435.9456927255997</v>
      </c>
      <c r="Q271">
        <v>49754.6539462129</v>
      </c>
    </row>
    <row r="272" spans="1:17" x14ac:dyDescent="0.3">
      <c r="A272" s="4">
        <v>43846</v>
      </c>
      <c r="B272" s="6">
        <v>1</v>
      </c>
      <c r="C272">
        <v>807707020.400334</v>
      </c>
      <c r="D272">
        <v>4876860.7374879597</v>
      </c>
      <c r="E272">
        <v>1509.6694829999999</v>
      </c>
      <c r="F272">
        <v>3087685.4645302799</v>
      </c>
      <c r="G272">
        <v>54577562.779015802</v>
      </c>
      <c r="H272">
        <v>120362891</v>
      </c>
      <c r="I272">
        <v>724030.86501443596</v>
      </c>
      <c r="J272">
        <v>136.30338089</v>
      </c>
      <c r="K272">
        <v>373048.05083758401</v>
      </c>
      <c r="L272">
        <v>6541025.7752495697</v>
      </c>
      <c r="M272">
        <v>2217877</v>
      </c>
      <c r="N272">
        <v>13341.416025024</v>
      </c>
      <c r="O272">
        <v>10.538518639999999</v>
      </c>
      <c r="P272">
        <v>6380.3130622028002</v>
      </c>
      <c r="Q272">
        <v>39351.371274887701</v>
      </c>
    </row>
    <row r="273" spans="1:17" x14ac:dyDescent="0.3">
      <c r="A273" s="4">
        <v>43845</v>
      </c>
      <c r="B273" s="6">
        <v>1</v>
      </c>
      <c r="C273">
        <v>808443929.70079994</v>
      </c>
      <c r="D273">
        <v>4892722.0681338497</v>
      </c>
      <c r="E273">
        <v>1509.019483</v>
      </c>
      <c r="F273">
        <v>3079564.3575055599</v>
      </c>
      <c r="G273">
        <v>54706198.515352003</v>
      </c>
      <c r="H273">
        <v>112177380</v>
      </c>
      <c r="I273">
        <v>676378.53482062102</v>
      </c>
      <c r="J273">
        <v>136.37569391</v>
      </c>
      <c r="K273">
        <v>372347.66949338902</v>
      </c>
      <c r="L273">
        <v>5921977.95102676</v>
      </c>
      <c r="M273">
        <v>2037786</v>
      </c>
      <c r="N273">
        <v>12286.921917395201</v>
      </c>
      <c r="O273">
        <v>10.56107375</v>
      </c>
      <c r="P273">
        <v>5235.1405324641</v>
      </c>
      <c r="Q273">
        <v>68655.461905604505</v>
      </c>
    </row>
    <row r="274" spans="1:17" x14ac:dyDescent="0.3">
      <c r="A274" s="4">
        <v>43844</v>
      </c>
      <c r="B274" s="6">
        <v>1</v>
      </c>
      <c r="C274">
        <v>731592695.93072796</v>
      </c>
      <c r="D274">
        <v>5088520.3173723202</v>
      </c>
      <c r="E274">
        <v>1505.7494830000001</v>
      </c>
      <c r="F274">
        <v>3083964.3285936099</v>
      </c>
      <c r="G274">
        <v>52098575.229413703</v>
      </c>
      <c r="H274">
        <v>103271632</v>
      </c>
      <c r="I274">
        <v>715623.53267271805</v>
      </c>
      <c r="J274">
        <v>136.49930405000001</v>
      </c>
      <c r="K274">
        <v>375165.64084367303</v>
      </c>
      <c r="L274">
        <v>5023888.3122418998</v>
      </c>
      <c r="M274">
        <v>2013974</v>
      </c>
      <c r="N274">
        <v>13955.8866329429</v>
      </c>
      <c r="O274">
        <v>10.55925699</v>
      </c>
      <c r="P274">
        <v>5406.5928894579001</v>
      </c>
      <c r="Q274">
        <v>94857.424902533807</v>
      </c>
    </row>
    <row r="275" spans="1:17" x14ac:dyDescent="0.3">
      <c r="A275" s="4">
        <v>43843</v>
      </c>
      <c r="B275" s="6">
        <v>1</v>
      </c>
      <c r="C275">
        <v>714099482.90285099</v>
      </c>
      <c r="D275">
        <v>4876851.5341179604</v>
      </c>
      <c r="E275">
        <v>1502.789483</v>
      </c>
      <c r="F275">
        <v>3075151.4923825902</v>
      </c>
      <c r="G275">
        <v>50119175.349472299</v>
      </c>
      <c r="H275">
        <v>104608762</v>
      </c>
      <c r="I275">
        <v>711672.64439757797</v>
      </c>
      <c r="J275">
        <v>136.94090259999999</v>
      </c>
      <c r="K275">
        <v>369749.07095841801</v>
      </c>
      <c r="L275">
        <v>4738576.6841390198</v>
      </c>
      <c r="M275">
        <v>1145212</v>
      </c>
      <c r="N275">
        <v>7791.0878291040199</v>
      </c>
      <c r="O275">
        <v>13.461574219999999</v>
      </c>
      <c r="P275">
        <v>6310.1303922645002</v>
      </c>
      <c r="Q275">
        <v>115291.700294665</v>
      </c>
    </row>
    <row r="276" spans="1:17" x14ac:dyDescent="0.3">
      <c r="A276" s="4">
        <v>43842</v>
      </c>
      <c r="B276" s="6">
        <v>1</v>
      </c>
      <c r="C276">
        <v>690820229.064147</v>
      </c>
      <c r="D276">
        <v>4851576.6976711601</v>
      </c>
      <c r="E276">
        <v>1477.9093559999999</v>
      </c>
      <c r="F276">
        <v>3070009.3221722399</v>
      </c>
      <c r="G276">
        <v>48519374.258576199</v>
      </c>
      <c r="H276">
        <v>102504054</v>
      </c>
      <c r="I276">
        <v>716861.69662214105</v>
      </c>
      <c r="J276">
        <v>137.00467151999999</v>
      </c>
      <c r="K276">
        <v>370628.93790483498</v>
      </c>
      <c r="L276">
        <v>4516758.0888128104</v>
      </c>
      <c r="M276">
        <v>993936</v>
      </c>
      <c r="N276">
        <v>6951.0874886355596</v>
      </c>
      <c r="O276">
        <v>10.802843210000001</v>
      </c>
      <c r="P276">
        <v>5880.7112173826999</v>
      </c>
      <c r="Q276">
        <v>68608.241155595693</v>
      </c>
    </row>
    <row r="277" spans="1:17" x14ac:dyDescent="0.3">
      <c r="A277" s="4">
        <v>43841</v>
      </c>
      <c r="B277" s="6">
        <v>1</v>
      </c>
      <c r="C277">
        <v>711632937.529302</v>
      </c>
      <c r="D277">
        <v>4918285.1204404598</v>
      </c>
      <c r="E277">
        <v>1474.2273599999901</v>
      </c>
      <c r="F277">
        <v>3064802.08053048</v>
      </c>
      <c r="G277">
        <v>53988201.6702739</v>
      </c>
      <c r="H277">
        <v>102828901</v>
      </c>
      <c r="I277">
        <v>707700.62629043299</v>
      </c>
      <c r="J277">
        <v>146.35055657000001</v>
      </c>
      <c r="K277">
        <v>369963.64662075602</v>
      </c>
      <c r="L277">
        <v>10151711.1027974</v>
      </c>
      <c r="M277">
        <v>812149</v>
      </c>
      <c r="N277">
        <v>5589.4631796283502</v>
      </c>
      <c r="O277">
        <v>10.761041090000001</v>
      </c>
      <c r="P277">
        <v>5273.4176912331995</v>
      </c>
      <c r="Q277">
        <v>85305.452003685903</v>
      </c>
    </row>
    <row r="278" spans="1:17" x14ac:dyDescent="0.3">
      <c r="A278" s="4">
        <v>43840</v>
      </c>
      <c r="B278" s="6">
        <v>1</v>
      </c>
      <c r="C278">
        <v>678348963.78519499</v>
      </c>
      <c r="D278">
        <v>4920893.8511560699</v>
      </c>
      <c r="E278">
        <v>1468.77736</v>
      </c>
      <c r="F278">
        <v>3075359.8307192801</v>
      </c>
      <c r="G278">
        <v>51818750.6283025</v>
      </c>
      <c r="H278">
        <v>97924702</v>
      </c>
      <c r="I278">
        <v>707548.42485549103</v>
      </c>
      <c r="J278">
        <v>129.94275668</v>
      </c>
      <c r="K278">
        <v>388206.71579017001</v>
      </c>
      <c r="L278">
        <v>9520787.2498820797</v>
      </c>
      <c r="M278">
        <v>429423</v>
      </c>
      <c r="N278">
        <v>3102.76734104046</v>
      </c>
      <c r="O278">
        <v>10.54463962</v>
      </c>
      <c r="P278">
        <v>3352.5255308000001</v>
      </c>
      <c r="Q278">
        <v>63915.420224248199</v>
      </c>
    </row>
    <row r="279" spans="1:17" x14ac:dyDescent="0.3">
      <c r="A279" s="4">
        <v>43839</v>
      </c>
      <c r="B279" s="6">
        <v>1</v>
      </c>
      <c r="C279">
        <v>693900864.25332999</v>
      </c>
      <c r="D279">
        <v>4940913.2633520104</v>
      </c>
      <c r="E279">
        <v>1465.33736</v>
      </c>
      <c r="F279">
        <v>3073818.4503471302</v>
      </c>
      <c r="G279">
        <v>51529669.193986699</v>
      </c>
      <c r="H279">
        <v>99646159</v>
      </c>
      <c r="I279">
        <v>706760.47237392701</v>
      </c>
      <c r="J279">
        <v>126.08004694</v>
      </c>
      <c r="K279">
        <v>386738.16415182198</v>
      </c>
      <c r="L279">
        <v>9746581.6026593801</v>
      </c>
      <c r="M279">
        <v>319620</v>
      </c>
      <c r="N279">
        <v>2266.9692886020198</v>
      </c>
      <c r="O279">
        <v>10.63406863</v>
      </c>
      <c r="P279">
        <v>3075.6707508699001</v>
      </c>
      <c r="Q279">
        <v>31636.222237784099</v>
      </c>
    </row>
    <row r="280" spans="1:17" x14ac:dyDescent="0.3">
      <c r="A280" s="4">
        <v>43838</v>
      </c>
      <c r="B280" s="6">
        <v>1</v>
      </c>
      <c r="C280">
        <v>714984363.95116699</v>
      </c>
      <c r="D280">
        <v>5012848.0689992299</v>
      </c>
      <c r="E280">
        <v>1461.36736</v>
      </c>
      <c r="F280">
        <v>3067090.06918708</v>
      </c>
      <c r="G280">
        <v>51120569.257112399</v>
      </c>
      <c r="H280">
        <v>107245970</v>
      </c>
      <c r="I280">
        <v>748976.67434876703</v>
      </c>
      <c r="J280">
        <v>132.69398581999999</v>
      </c>
      <c r="K280">
        <v>398751.34174400399</v>
      </c>
      <c r="L280">
        <v>9536958.09229514</v>
      </c>
      <c r="M280">
        <v>0</v>
      </c>
      <c r="N280">
        <v>0</v>
      </c>
      <c r="O280">
        <v>9.5019211299999995</v>
      </c>
      <c r="P280">
        <v>3047.0701177797</v>
      </c>
      <c r="Q280">
        <v>34807.762277594098</v>
      </c>
    </row>
    <row r="281" spans="1:17" x14ac:dyDescent="0.3">
      <c r="A281" s="4">
        <v>43837</v>
      </c>
      <c r="B281" s="6">
        <v>1</v>
      </c>
      <c r="C281">
        <v>697381206.60791397</v>
      </c>
      <c r="D281">
        <v>4835451.6510085603</v>
      </c>
      <c r="E281">
        <v>1465.60736</v>
      </c>
      <c r="F281">
        <v>3053952.9660549699</v>
      </c>
      <c r="G281">
        <v>48222869.098017201</v>
      </c>
      <c r="H281">
        <v>104588579</v>
      </c>
      <c r="I281">
        <v>722496.40093948599</v>
      </c>
      <c r="J281">
        <v>123.99240847</v>
      </c>
      <c r="K281">
        <v>398381.672834742</v>
      </c>
      <c r="L281">
        <v>9361077.2505361103</v>
      </c>
      <c r="M281">
        <v>0</v>
      </c>
      <c r="N281">
        <v>0</v>
      </c>
      <c r="O281">
        <v>7.6455682999999999</v>
      </c>
      <c r="P281">
        <v>2056.2298257391999</v>
      </c>
      <c r="Q281">
        <v>26423.3911243154</v>
      </c>
    </row>
    <row r="282" spans="1:17" x14ac:dyDescent="0.3">
      <c r="A282" s="4">
        <v>43836</v>
      </c>
      <c r="B282" s="6">
        <v>1</v>
      </c>
      <c r="C282">
        <v>695533643.33686996</v>
      </c>
      <c r="D282">
        <v>5113365.2699435903</v>
      </c>
      <c r="E282">
        <v>1464.7193600000001</v>
      </c>
      <c r="F282">
        <v>3037345.8848767499</v>
      </c>
      <c r="G282">
        <v>47844137.116392002</v>
      </c>
      <c r="H282">
        <v>101296603</v>
      </c>
      <c r="I282">
        <v>742045.29338509997</v>
      </c>
      <c r="J282">
        <v>123.00686498</v>
      </c>
      <c r="K282">
        <v>394247.17614266102</v>
      </c>
      <c r="L282">
        <v>10208277.051191101</v>
      </c>
    </row>
    <row r="283" spans="1:17" x14ac:dyDescent="0.3">
      <c r="A283" s="4">
        <v>43835</v>
      </c>
      <c r="B283" s="6">
        <v>1</v>
      </c>
      <c r="C283">
        <v>693610956.11588001</v>
      </c>
      <c r="D283">
        <v>5139240.3721204903</v>
      </c>
      <c r="E283">
        <v>1465.03936</v>
      </c>
      <c r="F283">
        <v>3021374.23623678</v>
      </c>
      <c r="G283">
        <v>47923341.562719502</v>
      </c>
      <c r="H283">
        <v>100300938</v>
      </c>
      <c r="I283">
        <v>740556.246308328</v>
      </c>
      <c r="J283">
        <v>135.22203106000001</v>
      </c>
      <c r="K283">
        <v>392381.16084333602</v>
      </c>
      <c r="L283">
        <v>10427646.2924807</v>
      </c>
    </row>
    <row r="284" spans="1:17" x14ac:dyDescent="0.3">
      <c r="A284" s="4">
        <v>43834</v>
      </c>
      <c r="B284" s="6">
        <v>1</v>
      </c>
      <c r="C284">
        <v>687953918.67841995</v>
      </c>
      <c r="D284">
        <v>5115169.4924045904</v>
      </c>
      <c r="E284">
        <v>1461.6993600000001</v>
      </c>
      <c r="F284">
        <v>3020495.9354057</v>
      </c>
      <c r="G284">
        <v>46492610.799171999</v>
      </c>
      <c r="H284">
        <v>99057259</v>
      </c>
      <c r="I284">
        <v>734029.33679140406</v>
      </c>
      <c r="J284">
        <v>125.12473129</v>
      </c>
      <c r="K284">
        <v>392181.883717124</v>
      </c>
      <c r="L284">
        <v>10020080.049456101</v>
      </c>
    </row>
    <row r="285" spans="1:17" x14ac:dyDescent="0.3">
      <c r="A285" s="4">
        <v>43833</v>
      </c>
      <c r="B285" s="6">
        <v>1</v>
      </c>
      <c r="C285">
        <v>662535238.59031999</v>
      </c>
      <c r="D285">
        <v>5162573.8661074797</v>
      </c>
      <c r="E285">
        <v>1460.76936</v>
      </c>
      <c r="F285">
        <v>2987374.2019544002</v>
      </c>
      <c r="G285">
        <v>46260319.761244297</v>
      </c>
      <c r="H285">
        <v>96663742</v>
      </c>
      <c r="I285">
        <v>750728.03665734699</v>
      </c>
      <c r="J285">
        <v>125.32136056</v>
      </c>
      <c r="K285">
        <v>392379.30851021298</v>
      </c>
      <c r="L285">
        <v>9753838.5531086009</v>
      </c>
    </row>
    <row r="286" spans="1:17" x14ac:dyDescent="0.3">
      <c r="A286" s="4">
        <v>43832</v>
      </c>
      <c r="B286" s="6">
        <v>1</v>
      </c>
      <c r="C286">
        <v>691339534.30904996</v>
      </c>
      <c r="D286">
        <v>5221211.4339480596</v>
      </c>
      <c r="E286">
        <v>1461.5993599999999</v>
      </c>
      <c r="F286">
        <v>2977149.3778143399</v>
      </c>
      <c r="G286">
        <v>45078671.621542796</v>
      </c>
      <c r="H286">
        <v>97042860</v>
      </c>
      <c r="I286">
        <v>730469.40158072999</v>
      </c>
      <c r="J286">
        <v>124.58288604000001</v>
      </c>
      <c r="K286">
        <v>391727.72018128901</v>
      </c>
      <c r="L286">
        <v>9281070.2160994709</v>
      </c>
    </row>
    <row r="287" spans="1:17" x14ac:dyDescent="0.3">
      <c r="A287" s="4">
        <v>43831</v>
      </c>
      <c r="B287" s="6">
        <v>1</v>
      </c>
      <c r="C287">
        <v>675924822.10917199</v>
      </c>
      <c r="D287">
        <v>5169792.0878115697</v>
      </c>
      <c r="E287">
        <v>1455.6793600000001</v>
      </c>
      <c r="F287">
        <v>2942732.4751902199</v>
      </c>
      <c r="G287">
        <v>44466449.049377099</v>
      </c>
      <c r="H287">
        <v>95616373</v>
      </c>
      <c r="I287">
        <v>728838.88253677799</v>
      </c>
      <c r="J287">
        <v>124.67273222</v>
      </c>
      <c r="K287">
        <v>367197.55132772803</v>
      </c>
      <c r="L287">
        <v>9601080.7488180008</v>
      </c>
    </row>
    <row r="288" spans="1:17" x14ac:dyDescent="0.3">
      <c r="A288" s="4">
        <v>43830</v>
      </c>
      <c r="B288" s="6">
        <v>1</v>
      </c>
      <c r="C288">
        <v>679581425.302472</v>
      </c>
      <c r="D288">
        <v>5136154.2941087801</v>
      </c>
      <c r="E288">
        <v>1454.31936</v>
      </c>
      <c r="F288">
        <v>2930382.0401982102</v>
      </c>
      <c r="G288">
        <v>44170379.1353442</v>
      </c>
      <c r="H288">
        <v>95883417</v>
      </c>
      <c r="I288">
        <v>722340.04068103002</v>
      </c>
      <c r="J288">
        <v>119.28943452</v>
      </c>
      <c r="K288">
        <v>368578.42890971602</v>
      </c>
      <c r="L288">
        <v>9718336.5110288095</v>
      </c>
    </row>
    <row r="289" spans="1:12" x14ac:dyDescent="0.3">
      <c r="A289" s="4">
        <v>43829</v>
      </c>
      <c r="B289" s="6">
        <v>1</v>
      </c>
      <c r="C289">
        <v>697561452.67480004</v>
      </c>
      <c r="D289">
        <v>5143067.8427048801</v>
      </c>
      <c r="E289">
        <v>1452.8893599999999</v>
      </c>
      <c r="F289">
        <v>2951302.8590799998</v>
      </c>
      <c r="G289">
        <v>45782434.088134803</v>
      </c>
      <c r="H289">
        <v>99096789</v>
      </c>
      <c r="I289">
        <v>728385.07166482904</v>
      </c>
      <c r="J289">
        <v>119.36432349</v>
      </c>
      <c r="K289">
        <v>392396.81095739902</v>
      </c>
      <c r="L289">
        <v>11493822.9565775</v>
      </c>
    </row>
    <row r="290" spans="1:12" x14ac:dyDescent="0.3">
      <c r="A290" s="4">
        <v>43828</v>
      </c>
      <c r="B290" s="6">
        <v>1</v>
      </c>
      <c r="C290">
        <v>673881993.91085696</v>
      </c>
      <c r="D290">
        <v>5221312.5531093096</v>
      </c>
      <c r="E290">
        <v>1452.8313599999999</v>
      </c>
      <c r="F290">
        <v>2919159.6080879299</v>
      </c>
      <c r="G290">
        <v>45471389.304989703</v>
      </c>
      <c r="H290">
        <v>101103701</v>
      </c>
      <c r="I290">
        <v>781025.11394360696</v>
      </c>
      <c r="J290">
        <v>119.66324253000001</v>
      </c>
      <c r="K290">
        <v>369487.092252595</v>
      </c>
      <c r="L290">
        <v>10998843.7450301</v>
      </c>
    </row>
    <row r="291" spans="1:12" x14ac:dyDescent="0.3">
      <c r="A291" s="4">
        <v>43827</v>
      </c>
      <c r="B291" s="6">
        <v>1</v>
      </c>
      <c r="C291">
        <v>666722643.98417699</v>
      </c>
      <c r="D291">
        <v>5249621.9265190698</v>
      </c>
      <c r="E291">
        <v>1451.8113599999999</v>
      </c>
      <c r="F291">
        <v>2902903.8777253702</v>
      </c>
      <c r="G291">
        <v>45877412.597323798</v>
      </c>
      <c r="H291">
        <v>97440802</v>
      </c>
      <c r="I291">
        <v>764961.54812372394</v>
      </c>
      <c r="J291">
        <v>119.75700793999999</v>
      </c>
      <c r="K291">
        <v>366690.39077083103</v>
      </c>
      <c r="L291">
        <v>10915285.955540899</v>
      </c>
    </row>
    <row r="292" spans="1:12" x14ac:dyDescent="0.3">
      <c r="A292" s="4">
        <v>43826</v>
      </c>
      <c r="B292" s="6">
        <v>1</v>
      </c>
      <c r="C292">
        <v>659901530.66681898</v>
      </c>
      <c r="D292">
        <v>5239836.1801487999</v>
      </c>
      <c r="E292">
        <v>1451.0813599999999</v>
      </c>
      <c r="F292">
        <v>2902235.7994943601</v>
      </c>
      <c r="G292">
        <v>43409606.092045501</v>
      </c>
      <c r="H292">
        <v>99342276</v>
      </c>
      <c r="I292">
        <v>786308.975779642</v>
      </c>
      <c r="J292">
        <v>125.22304302000001</v>
      </c>
      <c r="K292">
        <v>368147.61238802999</v>
      </c>
      <c r="L292">
        <v>10535079.0546657</v>
      </c>
    </row>
    <row r="293" spans="1:12" x14ac:dyDescent="0.3">
      <c r="A293" s="4">
        <v>43825</v>
      </c>
      <c r="B293" s="6">
        <v>1</v>
      </c>
      <c r="C293">
        <v>663900194.61581004</v>
      </c>
      <c r="D293">
        <v>5276777.9987323703</v>
      </c>
      <c r="E293">
        <v>1452.5513599999999</v>
      </c>
      <c r="F293">
        <v>2909388.2256102199</v>
      </c>
      <c r="G293">
        <v>42965909.782366797</v>
      </c>
      <c r="H293">
        <v>97407415</v>
      </c>
      <c r="I293">
        <v>771727.26192362502</v>
      </c>
      <c r="J293">
        <v>126.7494489</v>
      </c>
      <c r="K293">
        <v>365739.55019174202</v>
      </c>
      <c r="L293">
        <v>10190628.902096501</v>
      </c>
    </row>
    <row r="294" spans="1:12" x14ac:dyDescent="0.3">
      <c r="A294" s="4">
        <v>43824</v>
      </c>
      <c r="B294" s="6">
        <v>1</v>
      </c>
      <c r="C294">
        <v>668346943.75158501</v>
      </c>
      <c r="D294">
        <v>5201087.0840120995</v>
      </c>
      <c r="E294">
        <v>1452.0913599999999</v>
      </c>
      <c r="F294">
        <v>2903216.0671241898</v>
      </c>
      <c r="G294">
        <v>42246635.812206097</v>
      </c>
      <c r="H294">
        <v>98251640</v>
      </c>
      <c r="I294">
        <v>762172.36831898196</v>
      </c>
      <c r="J294">
        <v>128.90336665000001</v>
      </c>
      <c r="K294">
        <v>366758.04372085002</v>
      </c>
      <c r="L294">
        <v>10462788.071433701</v>
      </c>
    </row>
    <row r="295" spans="1:12" x14ac:dyDescent="0.3">
      <c r="A295" s="4">
        <v>43823</v>
      </c>
      <c r="B295" s="6">
        <v>1</v>
      </c>
      <c r="C295">
        <v>670638586.91557801</v>
      </c>
      <c r="D295">
        <v>5220941.1609498598</v>
      </c>
      <c r="E295">
        <v>1452.5913599999999</v>
      </c>
      <c r="F295">
        <v>2889123.6303680898</v>
      </c>
      <c r="G295">
        <v>42381814.305400699</v>
      </c>
      <c r="H295">
        <v>99093142</v>
      </c>
      <c r="I295">
        <v>768998.46344870399</v>
      </c>
      <c r="J295">
        <v>129.07574681</v>
      </c>
      <c r="K295">
        <v>351275.94848080201</v>
      </c>
      <c r="L295">
        <v>10363045.7120442</v>
      </c>
    </row>
    <row r="296" spans="1:12" x14ac:dyDescent="0.3">
      <c r="A296" s="4">
        <v>43822</v>
      </c>
      <c r="B296" s="6">
        <v>1</v>
      </c>
      <c r="C296">
        <v>690076553.39504802</v>
      </c>
      <c r="D296">
        <v>5204081.7245526901</v>
      </c>
      <c r="E296">
        <v>1452.2913599999999</v>
      </c>
      <c r="F296">
        <v>2910302.1596328998</v>
      </c>
      <c r="G296">
        <v>41893855.266846001</v>
      </c>
      <c r="H296">
        <v>100441617</v>
      </c>
      <c r="I296">
        <v>755086.58096526796</v>
      </c>
      <c r="J296">
        <v>132.22257515000001</v>
      </c>
      <c r="K296">
        <v>351161.82453060098</v>
      </c>
      <c r="L296">
        <v>10114988.054271501</v>
      </c>
    </row>
    <row r="297" spans="1:12" x14ac:dyDescent="0.3">
      <c r="A297" s="4">
        <v>43821</v>
      </c>
      <c r="B297" s="6">
        <v>1</v>
      </c>
      <c r="C297">
        <v>675692240.66143596</v>
      </c>
      <c r="D297">
        <v>5218295.8044649698</v>
      </c>
      <c r="E297">
        <v>1452.01136</v>
      </c>
      <c r="F297">
        <v>2897333.9837203799</v>
      </c>
      <c r="G297">
        <v>41342745.520287097</v>
      </c>
      <c r="H297">
        <v>99063583</v>
      </c>
      <c r="I297">
        <v>762614.18783679698</v>
      </c>
      <c r="J297">
        <v>132.81888559999999</v>
      </c>
      <c r="K297">
        <v>349569.00469193899</v>
      </c>
      <c r="L297">
        <v>9521232.6092538498</v>
      </c>
    </row>
    <row r="298" spans="1:12" x14ac:dyDescent="0.3">
      <c r="A298" s="4">
        <v>43820</v>
      </c>
      <c r="B298" s="6">
        <v>1</v>
      </c>
      <c r="C298">
        <v>672390843.22187603</v>
      </c>
      <c r="D298">
        <v>5210993.16285537</v>
      </c>
      <c r="E298">
        <v>1451.6513599999901</v>
      </c>
      <c r="F298">
        <v>2897641.8871306898</v>
      </c>
      <c r="G298">
        <v>41493654.780532897</v>
      </c>
      <c r="H298">
        <v>98964332</v>
      </c>
      <c r="I298">
        <v>764557.57107540104</v>
      </c>
      <c r="J298">
        <v>131.84472722000001</v>
      </c>
      <c r="K298">
        <v>349641.16882258502</v>
      </c>
      <c r="L298">
        <v>9437380.1016724501</v>
      </c>
    </row>
    <row r="299" spans="1:12" x14ac:dyDescent="0.3">
      <c r="A299" s="4">
        <v>43819</v>
      </c>
      <c r="B299" s="6">
        <v>1</v>
      </c>
      <c r="C299">
        <v>657451062.24105203</v>
      </c>
      <c r="D299">
        <v>5109823.5977688199</v>
      </c>
      <c r="E299">
        <v>1451.1013600000001</v>
      </c>
      <c r="F299">
        <v>2931788.7116813902</v>
      </c>
      <c r="G299">
        <v>34334404.236519799</v>
      </c>
      <c r="H299">
        <v>96368323</v>
      </c>
      <c r="I299">
        <v>746578.26929036202</v>
      </c>
      <c r="J299">
        <v>131.84392722000001</v>
      </c>
      <c r="K299">
        <v>381265.76028595498</v>
      </c>
      <c r="L299">
        <v>9431040.69343514</v>
      </c>
    </row>
    <row r="300" spans="1:12" x14ac:dyDescent="0.3">
      <c r="A300" s="4">
        <v>43818</v>
      </c>
      <c r="B300" s="6">
        <v>1</v>
      </c>
      <c r="C300">
        <v>665875988.27598405</v>
      </c>
      <c r="D300">
        <v>5007599.0704647601</v>
      </c>
      <c r="E300">
        <v>1450.00136</v>
      </c>
      <c r="F300">
        <v>2859655.0321279401</v>
      </c>
      <c r="G300">
        <v>33291858.290174302</v>
      </c>
      <c r="H300">
        <v>98266263</v>
      </c>
      <c r="I300">
        <v>736628.65817091404</v>
      </c>
      <c r="J300">
        <v>135.21429491000001</v>
      </c>
      <c r="K300">
        <v>357945.33405702602</v>
      </c>
      <c r="L300">
        <v>9393366.1360199396</v>
      </c>
    </row>
    <row r="301" spans="1:12" x14ac:dyDescent="0.3">
      <c r="A301" s="4">
        <v>43817</v>
      </c>
      <c r="B301" s="6">
        <v>1</v>
      </c>
      <c r="C301">
        <v>615563116.43700397</v>
      </c>
      <c r="D301">
        <v>5031464.5237513203</v>
      </c>
      <c r="E301">
        <v>1450.2813599999999</v>
      </c>
      <c r="F301">
        <v>2867871.99951819</v>
      </c>
      <c r="G301">
        <v>31903935.735194501</v>
      </c>
      <c r="H301">
        <v>89471133</v>
      </c>
      <c r="I301">
        <v>729007.84649230004</v>
      </c>
      <c r="J301">
        <v>134.84951647</v>
      </c>
      <c r="K301">
        <v>379792.81616330601</v>
      </c>
      <c r="L301">
        <v>8024457.3797398498</v>
      </c>
    </row>
    <row r="302" spans="1:12" x14ac:dyDescent="0.3">
      <c r="A302" s="4">
        <v>43816</v>
      </c>
      <c r="B302" s="6">
        <v>1</v>
      </c>
      <c r="C302">
        <v>650159674.43517399</v>
      </c>
      <c r="D302">
        <v>4858474.0053643202</v>
      </c>
      <c r="E302">
        <v>1449.52136</v>
      </c>
      <c r="F302">
        <v>2803343.1461056801</v>
      </c>
      <c r="G302">
        <v>33258424.480416998</v>
      </c>
      <c r="H302">
        <v>94497065</v>
      </c>
      <c r="I302">
        <v>704046.08106094401</v>
      </c>
      <c r="J302">
        <v>134.84951647</v>
      </c>
      <c r="K302">
        <v>357241.851039186</v>
      </c>
      <c r="L302">
        <v>8188980.8597243102</v>
      </c>
    </row>
    <row r="303" spans="1:12" x14ac:dyDescent="0.3">
      <c r="A303" s="4">
        <v>43815</v>
      </c>
      <c r="B303" s="6">
        <v>1</v>
      </c>
      <c r="C303">
        <v>665686860.69010794</v>
      </c>
      <c r="D303">
        <v>4636726.7967502195</v>
      </c>
      <c r="E303">
        <v>1448.44135999999</v>
      </c>
      <c r="F303">
        <v>2733872.2989214002</v>
      </c>
      <c r="G303">
        <v>31658443.861471001</v>
      </c>
      <c r="H303">
        <v>98950329</v>
      </c>
      <c r="I303">
        <v>687107.34671203396</v>
      </c>
      <c r="J303">
        <v>134.43324623999999</v>
      </c>
      <c r="K303">
        <v>356751.20508512598</v>
      </c>
      <c r="L303">
        <v>7940465.1979166102</v>
      </c>
    </row>
    <row r="304" spans="1:12" x14ac:dyDescent="0.3">
      <c r="A304" s="4">
        <v>43814</v>
      </c>
      <c r="B304" s="6">
        <v>1</v>
      </c>
      <c r="C304">
        <v>664568681.52999103</v>
      </c>
      <c r="D304">
        <v>4640078.1413156902</v>
      </c>
      <c r="E304">
        <v>1447.75136</v>
      </c>
      <c r="F304">
        <v>2734363.4291006201</v>
      </c>
      <c r="G304">
        <v>31123165.842943098</v>
      </c>
      <c r="H304">
        <v>98964074</v>
      </c>
      <c r="I304">
        <v>688924.98433692998</v>
      </c>
      <c r="J304">
        <v>128.98992605000001</v>
      </c>
      <c r="K304">
        <v>358372.79955951701</v>
      </c>
      <c r="L304">
        <v>7843642.2265464896</v>
      </c>
    </row>
    <row r="305" spans="1:12" x14ac:dyDescent="0.3">
      <c r="A305" s="4">
        <v>43813</v>
      </c>
      <c r="B305" s="6">
        <v>1</v>
      </c>
      <c r="C305">
        <v>669403849.69247794</v>
      </c>
      <c r="D305">
        <v>4606194.5183863901</v>
      </c>
      <c r="E305">
        <v>1449.1413600000001</v>
      </c>
      <c r="F305">
        <v>2733514.7358159702</v>
      </c>
      <c r="G305">
        <v>30850276.138524301</v>
      </c>
      <c r="H305">
        <v>99732003</v>
      </c>
      <c r="I305">
        <v>684220.65724478604</v>
      </c>
      <c r="J305">
        <v>128.99820242000001</v>
      </c>
      <c r="K305">
        <v>357960.11888964003</v>
      </c>
      <c r="L305">
        <v>7596128.9637957998</v>
      </c>
    </row>
    <row r="306" spans="1:12" x14ac:dyDescent="0.3">
      <c r="A306" s="4">
        <v>43812</v>
      </c>
      <c r="B306" s="6">
        <v>1</v>
      </c>
      <c r="C306">
        <v>662377302.44543004</v>
      </c>
      <c r="D306">
        <v>4549872.6407341398</v>
      </c>
      <c r="E306">
        <v>1451.42135999999</v>
      </c>
      <c r="F306">
        <v>2729792.3982996</v>
      </c>
      <c r="G306">
        <v>30345062.4504303</v>
      </c>
      <c r="H306">
        <v>99477630</v>
      </c>
      <c r="I306">
        <v>681260.30680728599</v>
      </c>
      <c r="J306">
        <v>129.97683144999999</v>
      </c>
      <c r="K306">
        <v>357162.92221082101</v>
      </c>
      <c r="L306">
        <v>7575521.0499819797</v>
      </c>
    </row>
    <row r="307" spans="1:12" x14ac:dyDescent="0.3">
      <c r="A307" s="4">
        <v>43811</v>
      </c>
      <c r="B307" s="6">
        <v>1</v>
      </c>
      <c r="C307">
        <v>660797221.312047</v>
      </c>
      <c r="D307">
        <v>4573161.9911687505</v>
      </c>
      <c r="E307">
        <v>1448.8913600000001</v>
      </c>
      <c r="F307">
        <v>2716932.1730080699</v>
      </c>
      <c r="G307">
        <v>30812007.591074102</v>
      </c>
      <c r="H307">
        <v>98072680</v>
      </c>
      <c r="I307">
        <v>676643.30067614105</v>
      </c>
      <c r="J307">
        <v>130.9669744</v>
      </c>
      <c r="K307">
        <v>353500.54845119</v>
      </c>
      <c r="L307">
        <v>7510696.9209902696</v>
      </c>
    </row>
    <row r="308" spans="1:12" x14ac:dyDescent="0.3">
      <c r="A308" s="4">
        <v>43810</v>
      </c>
      <c r="B308" s="6">
        <v>1</v>
      </c>
      <c r="C308">
        <v>657198312.43877995</v>
      </c>
      <c r="D308">
        <v>4487469.8638529601</v>
      </c>
      <c r="E308">
        <v>1449.26136</v>
      </c>
      <c r="F308">
        <v>2712667.1145875198</v>
      </c>
      <c r="G308">
        <v>26566189.377506901</v>
      </c>
      <c r="H308">
        <v>98578819</v>
      </c>
      <c r="I308">
        <v>671060.71477195295</v>
      </c>
      <c r="J308">
        <v>130.93252620999999</v>
      </c>
      <c r="K308">
        <v>352987.85576027801</v>
      </c>
      <c r="L308">
        <v>5076871.6258166796</v>
      </c>
    </row>
    <row r="309" spans="1:12" x14ac:dyDescent="0.3">
      <c r="A309" s="4">
        <v>43809</v>
      </c>
      <c r="B309" s="6">
        <v>1</v>
      </c>
      <c r="C309">
        <v>671928089.64436996</v>
      </c>
      <c r="D309">
        <v>4552411.5974332904</v>
      </c>
      <c r="E309">
        <v>1449.77136</v>
      </c>
      <c r="F309">
        <v>2740819.69185455</v>
      </c>
      <c r="G309">
        <v>23018202.279070102</v>
      </c>
      <c r="H309">
        <v>102144390</v>
      </c>
      <c r="I309">
        <v>689931.71225937095</v>
      </c>
      <c r="J309">
        <v>135.76471137999999</v>
      </c>
      <c r="K309">
        <v>352022.34830961598</v>
      </c>
      <c r="L309">
        <v>5042453.2534183497</v>
      </c>
    </row>
    <row r="310" spans="1:12" x14ac:dyDescent="0.3">
      <c r="A310" s="4">
        <v>43808</v>
      </c>
      <c r="B310" s="6">
        <v>1</v>
      </c>
      <c r="C310">
        <v>674953140.48380494</v>
      </c>
      <c r="D310">
        <v>4451085.5893761003</v>
      </c>
      <c r="E310">
        <v>1448.8313599999999</v>
      </c>
      <c r="F310">
        <v>2728854.5594338402</v>
      </c>
      <c r="G310">
        <v>21241087.687729999</v>
      </c>
      <c r="H310">
        <v>97794378</v>
      </c>
      <c r="I310">
        <v>642918.795608441</v>
      </c>
      <c r="J310">
        <v>128.78660893</v>
      </c>
      <c r="K310">
        <v>349027.52681962203</v>
      </c>
      <c r="L310">
        <v>5784651.2608519597</v>
      </c>
    </row>
    <row r="311" spans="1:12" x14ac:dyDescent="0.3">
      <c r="A311" s="4">
        <v>43807</v>
      </c>
      <c r="B311" s="6">
        <v>1</v>
      </c>
      <c r="C311">
        <v>668181986.15633798</v>
      </c>
      <c r="D311">
        <v>4495547.5385647202</v>
      </c>
      <c r="E311">
        <v>1448.0913599999999</v>
      </c>
      <c r="F311">
        <v>2717305.03817613</v>
      </c>
      <c r="G311">
        <v>19866184.2122779</v>
      </c>
      <c r="H311">
        <v>97456868</v>
      </c>
      <c r="I311">
        <v>653634.258886653</v>
      </c>
      <c r="J311">
        <v>128.90486530000001</v>
      </c>
      <c r="K311">
        <v>345572.32256743702</v>
      </c>
      <c r="L311">
        <v>5806930.7362178303</v>
      </c>
    </row>
    <row r="312" spans="1:12" x14ac:dyDescent="0.3">
      <c r="A312" s="4">
        <v>43806</v>
      </c>
      <c r="B312" s="6">
        <v>1</v>
      </c>
      <c r="C312">
        <v>660404121.81371796</v>
      </c>
      <c r="D312">
        <v>4434369.8038690602</v>
      </c>
      <c r="E312">
        <v>1448.8813599999901</v>
      </c>
      <c r="F312">
        <v>2681507.18469935</v>
      </c>
      <c r="G312">
        <v>19709998.829479299</v>
      </c>
      <c r="H312">
        <v>100213517</v>
      </c>
      <c r="I312">
        <v>670818.10696833802</v>
      </c>
      <c r="J312">
        <v>129.69619417999999</v>
      </c>
      <c r="K312">
        <v>350066.31567407597</v>
      </c>
      <c r="L312">
        <v>6004100.4890700402</v>
      </c>
    </row>
    <row r="313" spans="1:12" x14ac:dyDescent="0.3">
      <c r="A313" s="4">
        <v>43805</v>
      </c>
      <c r="B313" s="6">
        <v>1</v>
      </c>
      <c r="C313">
        <v>652756855.02014005</v>
      </c>
      <c r="D313">
        <v>4402363.1950514298</v>
      </c>
      <c r="E313">
        <v>1446.19135999999</v>
      </c>
      <c r="F313">
        <v>2690097.1553773498</v>
      </c>
      <c r="G313">
        <v>17103207.422762901</v>
      </c>
      <c r="H313">
        <v>99554113</v>
      </c>
      <c r="I313">
        <v>669361.34606333601</v>
      </c>
      <c r="J313">
        <v>128.76817782000001</v>
      </c>
      <c r="K313">
        <v>350070.08843965997</v>
      </c>
      <c r="L313">
        <v>6137786.04665842</v>
      </c>
    </row>
    <row r="314" spans="1:12" x14ac:dyDescent="0.3">
      <c r="A314" s="4">
        <v>43804</v>
      </c>
      <c r="B314" s="6">
        <v>1</v>
      </c>
      <c r="C314">
        <v>648507862.96450996</v>
      </c>
      <c r="D314">
        <v>4449582.4680210603</v>
      </c>
      <c r="E314">
        <v>1446.0913599999999</v>
      </c>
      <c r="F314">
        <v>2678110.5055095698</v>
      </c>
      <c r="G314">
        <v>15257308.319893001</v>
      </c>
      <c r="H314">
        <v>100728053</v>
      </c>
      <c r="I314">
        <v>689021.49941856402</v>
      </c>
      <c r="J314">
        <v>128.64756524000001</v>
      </c>
      <c r="K314">
        <v>344790.09811493801</v>
      </c>
      <c r="L314">
        <v>6351247.0306131802</v>
      </c>
    </row>
    <row r="315" spans="1:12" x14ac:dyDescent="0.3">
      <c r="A315" s="4">
        <v>43803</v>
      </c>
      <c r="B315" s="6">
        <v>1</v>
      </c>
      <c r="C315">
        <v>664290124.93194997</v>
      </c>
      <c r="D315">
        <v>4491320.5190428002</v>
      </c>
      <c r="E315">
        <v>663.017556149999</v>
      </c>
      <c r="F315">
        <v>2674640.0611375798</v>
      </c>
      <c r="G315">
        <v>14895919.0692279</v>
      </c>
      <c r="H315">
        <v>100597297</v>
      </c>
      <c r="I315">
        <v>678107.83282777201</v>
      </c>
      <c r="J315">
        <v>128.28645785000001</v>
      </c>
      <c r="K315">
        <v>343538.41823055601</v>
      </c>
      <c r="L315">
        <v>6290185.4952350101</v>
      </c>
    </row>
    <row r="316" spans="1:12" x14ac:dyDescent="0.3">
      <c r="A316" s="4">
        <v>43802</v>
      </c>
      <c r="B316" s="6">
        <v>1</v>
      </c>
      <c r="C316">
        <v>657487113.72978497</v>
      </c>
      <c r="D316">
        <v>4400005.6445156103</v>
      </c>
      <c r="E316">
        <v>1444.8013599999999</v>
      </c>
      <c r="F316">
        <v>2655276.2775122598</v>
      </c>
      <c r="G316">
        <v>16091453.785811899</v>
      </c>
      <c r="H316">
        <v>97785062</v>
      </c>
      <c r="I316">
        <v>652422.35121430398</v>
      </c>
      <c r="J316">
        <v>125.99225237</v>
      </c>
      <c r="K316">
        <v>321362.46959800401</v>
      </c>
      <c r="L316">
        <v>6964353.7681895802</v>
      </c>
    </row>
    <row r="317" spans="1:12" x14ac:dyDescent="0.3">
      <c r="A317" s="4">
        <v>43801</v>
      </c>
      <c r="B317" s="6">
        <v>1</v>
      </c>
      <c r="C317">
        <v>654379798.64568603</v>
      </c>
      <c r="D317">
        <v>4322312.2151982002</v>
      </c>
      <c r="E317">
        <v>1443.9113600000001</v>
      </c>
      <c r="F317">
        <v>2632033.6274768999</v>
      </c>
      <c r="G317">
        <v>16655097.122562099</v>
      </c>
      <c r="H317">
        <v>99250942</v>
      </c>
      <c r="I317">
        <v>653568.69485052</v>
      </c>
      <c r="J317">
        <v>125.73852705</v>
      </c>
      <c r="K317">
        <v>322225.01626877702</v>
      </c>
      <c r="L317">
        <v>7430979.33678653</v>
      </c>
    </row>
    <row r="318" spans="1:12" x14ac:dyDescent="0.3">
      <c r="A318" s="4">
        <v>43800</v>
      </c>
      <c r="B318" s="6">
        <v>1</v>
      </c>
      <c r="C318">
        <v>673384782.09669304</v>
      </c>
      <c r="D318">
        <v>4414511.0188876502</v>
      </c>
      <c r="E318">
        <v>1439.3913600000001</v>
      </c>
      <c r="F318">
        <v>2642014.1993695502</v>
      </c>
      <c r="G318">
        <v>16978817.694625199</v>
      </c>
      <c r="H318">
        <v>100403778</v>
      </c>
      <c r="I318">
        <v>656190.95483955299</v>
      </c>
      <c r="J318">
        <v>125.60437347</v>
      </c>
      <c r="K318">
        <v>333126.58247296</v>
      </c>
      <c r="L318">
        <v>8037246.2963920003</v>
      </c>
    </row>
    <row r="319" spans="1:12" x14ac:dyDescent="0.3">
      <c r="A319" s="4">
        <v>43799</v>
      </c>
      <c r="B319" s="6">
        <v>1</v>
      </c>
      <c r="C319">
        <v>677374482.85053897</v>
      </c>
      <c r="D319">
        <v>4367890.8325297302</v>
      </c>
      <c r="E319">
        <v>1440.21135999999</v>
      </c>
      <c r="F319">
        <v>2625766.98853403</v>
      </c>
      <c r="G319">
        <v>10425908.3979642</v>
      </c>
      <c r="H319">
        <v>101741613</v>
      </c>
      <c r="I319">
        <v>654076.58630665299</v>
      </c>
      <c r="J319">
        <v>125.78503095000001</v>
      </c>
      <c r="K319">
        <v>323380.40710598399</v>
      </c>
      <c r="L319">
        <v>1312454.3562278</v>
      </c>
    </row>
    <row r="320" spans="1:12" x14ac:dyDescent="0.3">
      <c r="A320" s="4">
        <v>43798</v>
      </c>
      <c r="B320" s="6">
        <v>1</v>
      </c>
      <c r="C320">
        <v>668153161.31585896</v>
      </c>
      <c r="D320">
        <v>4412254.64542042</v>
      </c>
      <c r="E320">
        <v>1443.1413600000001</v>
      </c>
      <c r="F320">
        <v>2637370.2085316</v>
      </c>
      <c r="G320">
        <v>11030821.0438834</v>
      </c>
      <c r="H320">
        <v>98974828</v>
      </c>
      <c r="I320">
        <v>651707.56568117405</v>
      </c>
      <c r="J320">
        <v>125.32134126</v>
      </c>
      <c r="K320">
        <v>322237.75840488297</v>
      </c>
      <c r="L320">
        <v>1401809.7577881301</v>
      </c>
    </row>
    <row r="321" spans="1:12" x14ac:dyDescent="0.3">
      <c r="A321" s="4">
        <v>43797</v>
      </c>
      <c r="B321" s="6">
        <v>1</v>
      </c>
      <c r="C321">
        <v>676831585.85342002</v>
      </c>
      <c r="D321">
        <v>4403207.2457187297</v>
      </c>
      <c r="E321">
        <v>1442.3513600000001</v>
      </c>
      <c r="F321">
        <v>2649729.1655378202</v>
      </c>
      <c r="G321">
        <v>11805455.0455976</v>
      </c>
      <c r="H321">
        <v>99382916</v>
      </c>
      <c r="I321">
        <v>644673.81940840604</v>
      </c>
      <c r="J321">
        <v>124.98352140999999</v>
      </c>
      <c r="K321">
        <v>352343.173403333</v>
      </c>
      <c r="L321">
        <v>1811848.22924535</v>
      </c>
    </row>
    <row r="322" spans="1:12" x14ac:dyDescent="0.3">
      <c r="A322" s="4">
        <v>43796</v>
      </c>
      <c r="B322" s="6">
        <v>1</v>
      </c>
      <c r="C322">
        <v>652119689.44021797</v>
      </c>
      <c r="D322">
        <v>4393778.4212294202</v>
      </c>
      <c r="E322">
        <v>1439.6613600000001</v>
      </c>
      <c r="F322">
        <v>2646025.83349186</v>
      </c>
      <c r="G322">
        <v>10774105.2000481</v>
      </c>
      <c r="H322">
        <v>98247471</v>
      </c>
      <c r="I322">
        <v>660043.47329526301</v>
      </c>
      <c r="J322">
        <v>126.12395607000001</v>
      </c>
      <c r="K322">
        <v>350635.76034474099</v>
      </c>
      <c r="L322">
        <v>1214691.7227262</v>
      </c>
    </row>
    <row r="323" spans="1:12" x14ac:dyDescent="0.3">
      <c r="A323" s="4">
        <v>43795</v>
      </c>
      <c r="B323" s="6">
        <v>1</v>
      </c>
      <c r="C323">
        <v>645123431.583022</v>
      </c>
      <c r="D323">
        <v>4400288.2140913997</v>
      </c>
      <c r="E323">
        <v>1436.67135999999</v>
      </c>
      <c r="F323">
        <v>2652461.8000529502</v>
      </c>
      <c r="G323">
        <v>10758993.300961999</v>
      </c>
      <c r="H323">
        <v>95808761</v>
      </c>
      <c r="I323">
        <v>651582.97742110898</v>
      </c>
      <c r="J323">
        <v>128.05403607</v>
      </c>
      <c r="K323">
        <v>350011.23962605302</v>
      </c>
      <c r="L323">
        <v>1382444.8863766601</v>
      </c>
    </row>
    <row r="324" spans="1:12" x14ac:dyDescent="0.3">
      <c r="A324" s="4">
        <v>43794</v>
      </c>
      <c r="B324" s="6">
        <v>1</v>
      </c>
      <c r="C324">
        <v>611071909.00489998</v>
      </c>
      <c r="D324">
        <v>4322118.9280677</v>
      </c>
      <c r="E324">
        <v>1433.48136</v>
      </c>
      <c r="F324">
        <v>2607029.2177797402</v>
      </c>
      <c r="G324">
        <v>10845573.7794888</v>
      </c>
      <c r="H324">
        <v>94428653</v>
      </c>
      <c r="I324">
        <v>665928.44146685395</v>
      </c>
      <c r="J324">
        <v>129.13591996</v>
      </c>
      <c r="K324">
        <v>348787.654374754</v>
      </c>
      <c r="L324">
        <v>1542281.4929438101</v>
      </c>
    </row>
    <row r="325" spans="1:12" x14ac:dyDescent="0.3">
      <c r="A325" s="4">
        <v>43793</v>
      </c>
      <c r="B325" s="6">
        <v>1</v>
      </c>
      <c r="C325">
        <v>637724604.78132999</v>
      </c>
      <c r="D325">
        <v>4151499.0977541199</v>
      </c>
      <c r="E325">
        <v>1423.45136</v>
      </c>
      <c r="F325">
        <v>2609883.3144963798</v>
      </c>
      <c r="G325">
        <v>9714650.9054198097</v>
      </c>
      <c r="H325">
        <v>100769067</v>
      </c>
      <c r="I325">
        <v>654089.75074646203</v>
      </c>
      <c r="J325">
        <v>126.72531854</v>
      </c>
      <c r="K325">
        <v>349649.28050234797</v>
      </c>
      <c r="L325">
        <v>522939.61915710999</v>
      </c>
    </row>
    <row r="326" spans="1:12" x14ac:dyDescent="0.3">
      <c r="A326" s="4">
        <v>43792</v>
      </c>
      <c r="B326" s="6">
        <v>1</v>
      </c>
      <c r="C326">
        <v>621940895.10278201</v>
      </c>
      <c r="D326">
        <v>4127004.0296433498</v>
      </c>
      <c r="E326">
        <v>1421.77136</v>
      </c>
      <c r="F326">
        <v>2611784.8272707998</v>
      </c>
      <c r="G326">
        <v>7715195.7982550198</v>
      </c>
      <c r="H326">
        <v>96855394</v>
      </c>
      <c r="I326">
        <v>640874.703897306</v>
      </c>
      <c r="J326">
        <v>122.90340748</v>
      </c>
      <c r="K326">
        <v>350536.16804283502</v>
      </c>
      <c r="L326">
        <v>604776.28622735594</v>
      </c>
    </row>
    <row r="327" spans="1:12" x14ac:dyDescent="0.3">
      <c r="A327" s="4">
        <v>43791</v>
      </c>
      <c r="B327" s="6">
        <v>1</v>
      </c>
      <c r="C327">
        <v>627607116.93348801</v>
      </c>
      <c r="D327">
        <v>3894328.8418708201</v>
      </c>
      <c r="E327">
        <v>1420.8013599999999</v>
      </c>
      <c r="F327">
        <v>2533576.5950183701</v>
      </c>
      <c r="G327">
        <v>7141470.1432582997</v>
      </c>
      <c r="H327">
        <v>97279113</v>
      </c>
      <c r="I327">
        <v>601825.74239049701</v>
      </c>
      <c r="J327">
        <v>122.88119837000001</v>
      </c>
      <c r="K327">
        <v>351043.87170377298</v>
      </c>
      <c r="L327">
        <v>259921.54858131401</v>
      </c>
    </row>
    <row r="328" spans="1:12" x14ac:dyDescent="0.3">
      <c r="A328" s="4">
        <v>43790</v>
      </c>
      <c r="B328" s="6">
        <v>1</v>
      </c>
      <c r="C328">
        <v>664480053.85790002</v>
      </c>
      <c r="D328">
        <v>3792435.2469276199</v>
      </c>
      <c r="E328">
        <v>1419.8513600000001</v>
      </c>
      <c r="F328">
        <v>2498022.1753229001</v>
      </c>
      <c r="G328">
        <v>8483159.4635760002</v>
      </c>
      <c r="H328">
        <v>102014354</v>
      </c>
      <c r="I328">
        <v>580418.49112426001</v>
      </c>
      <c r="J328">
        <v>122.684545</v>
      </c>
      <c r="K328">
        <v>354616.95669700502</v>
      </c>
      <c r="L328">
        <v>257567.187598602</v>
      </c>
    </row>
    <row r="329" spans="1:12" x14ac:dyDescent="0.3">
      <c r="A329" s="4">
        <v>43789</v>
      </c>
      <c r="B329" s="6">
        <v>1</v>
      </c>
      <c r="C329">
        <v>654921872.03868198</v>
      </c>
      <c r="D329">
        <v>3714802.4084124798</v>
      </c>
      <c r="E329">
        <v>663.017556149999</v>
      </c>
      <c r="F329">
        <v>2507367.2134638401</v>
      </c>
      <c r="G329">
        <v>6552525.0891633201</v>
      </c>
      <c r="H329">
        <v>101219838</v>
      </c>
      <c r="I329">
        <v>572251.45861601003</v>
      </c>
      <c r="J329">
        <v>128.37956083</v>
      </c>
      <c r="K329">
        <v>351951.19968839199</v>
      </c>
      <c r="L329">
        <v>78929.801334560601</v>
      </c>
    </row>
    <row r="330" spans="1:12" x14ac:dyDescent="0.3">
      <c r="A330" s="4">
        <v>43788</v>
      </c>
      <c r="B330" s="6">
        <v>1</v>
      </c>
      <c r="C330">
        <v>646549879.11956894</v>
      </c>
      <c r="D330">
        <v>3619265.8241267698</v>
      </c>
      <c r="E330">
        <v>1421.7813599999999</v>
      </c>
      <c r="F330">
        <v>2468556.4130216199</v>
      </c>
      <c r="G330">
        <v>6435371.0149539402</v>
      </c>
      <c r="H330">
        <v>100964509</v>
      </c>
      <c r="I330">
        <v>563355.14451512101</v>
      </c>
      <c r="J330">
        <v>127.31538616</v>
      </c>
      <c r="K330">
        <v>348724.649592011</v>
      </c>
      <c r="L330">
        <v>0</v>
      </c>
    </row>
    <row r="331" spans="1:12" x14ac:dyDescent="0.3">
      <c r="A331" s="4">
        <v>43787</v>
      </c>
      <c r="B331" s="6">
        <v>1</v>
      </c>
      <c r="C331">
        <v>662888810.51704705</v>
      </c>
      <c r="D331">
        <v>3573487.4805222698</v>
      </c>
      <c r="E331">
        <v>1419.4113600000001</v>
      </c>
      <c r="F331">
        <v>2460851.9994332902</v>
      </c>
      <c r="G331">
        <v>6560845.3964896696</v>
      </c>
      <c r="H331">
        <v>106034182</v>
      </c>
      <c r="I331">
        <v>569739.30471226596</v>
      </c>
      <c r="J331">
        <v>127.37793422</v>
      </c>
      <c r="K331">
        <v>345536.208774345</v>
      </c>
      <c r="L331">
        <v>0</v>
      </c>
    </row>
    <row r="332" spans="1:12" x14ac:dyDescent="0.3">
      <c r="A332" s="4">
        <v>43786</v>
      </c>
      <c r="B332" s="6">
        <v>1</v>
      </c>
      <c r="C332">
        <v>643565610.67556798</v>
      </c>
      <c r="D332">
        <v>3498124.7805829402</v>
      </c>
      <c r="E332">
        <v>1422.5713599999999</v>
      </c>
      <c r="F332">
        <v>2445288.6822613599</v>
      </c>
      <c r="G332">
        <v>7984506.1535022501</v>
      </c>
      <c r="H332">
        <v>105374717</v>
      </c>
      <c r="I332">
        <v>570889.13750135398</v>
      </c>
      <c r="J332">
        <v>126.54272054</v>
      </c>
      <c r="K332">
        <v>340570.27194183797</v>
      </c>
      <c r="L332">
        <v>0</v>
      </c>
    </row>
    <row r="333" spans="1:12" x14ac:dyDescent="0.3">
      <c r="A333" s="4">
        <v>43785</v>
      </c>
      <c r="B333" s="6">
        <v>1</v>
      </c>
      <c r="C333">
        <v>631733794.09069002</v>
      </c>
      <c r="D333">
        <v>3502428.5682709799</v>
      </c>
      <c r="E333">
        <v>1421.25136</v>
      </c>
      <c r="F333">
        <v>2442837.8201370998</v>
      </c>
      <c r="G333">
        <v>8843492.1751840897</v>
      </c>
      <c r="H333">
        <v>104064718</v>
      </c>
      <c r="I333">
        <v>575038.50361938402</v>
      </c>
      <c r="J333">
        <v>127.28668347999999</v>
      </c>
      <c r="K333">
        <v>344331.45790649002</v>
      </c>
      <c r="L333">
        <v>0</v>
      </c>
    </row>
    <row r="334" spans="1:12" x14ac:dyDescent="0.3">
      <c r="A334" s="4">
        <v>43784</v>
      </c>
      <c r="B334" s="6">
        <v>1</v>
      </c>
      <c r="C334">
        <v>638549221.26777005</v>
      </c>
      <c r="D334">
        <v>3448349.32207037</v>
      </c>
      <c r="E334">
        <v>1420.95136</v>
      </c>
      <c r="F334">
        <v>2448343.67255995</v>
      </c>
      <c r="G334">
        <v>8779794.8517802805</v>
      </c>
      <c r="H334">
        <v>102457745</v>
      </c>
      <c r="I334">
        <v>551263.020553104</v>
      </c>
      <c r="J334">
        <v>128.43893774</v>
      </c>
      <c r="K334">
        <v>349797.05981510802</v>
      </c>
      <c r="L334">
        <v>0</v>
      </c>
    </row>
    <row r="335" spans="1:12" x14ac:dyDescent="0.3">
      <c r="A335" s="4">
        <v>43783</v>
      </c>
      <c r="B335" s="6">
        <v>1</v>
      </c>
      <c r="C335">
        <v>648429797.09060705</v>
      </c>
      <c r="D335">
        <v>3438495.9266694798</v>
      </c>
      <c r="E335">
        <v>1419.6513599999901</v>
      </c>
      <c r="F335">
        <v>2474566.7474058201</v>
      </c>
      <c r="G335">
        <v>6211247.5916363103</v>
      </c>
      <c r="H335">
        <v>103705899</v>
      </c>
      <c r="I335">
        <v>547896.76141166501</v>
      </c>
      <c r="J335">
        <v>130.83804282</v>
      </c>
      <c r="K335">
        <v>347970.36042847199</v>
      </c>
      <c r="L335">
        <v>0</v>
      </c>
    </row>
    <row r="336" spans="1:12" x14ac:dyDescent="0.3">
      <c r="A336" s="4">
        <v>43782</v>
      </c>
      <c r="B336" s="6">
        <v>1</v>
      </c>
      <c r="C336">
        <v>647507812.53931797</v>
      </c>
      <c r="D336">
        <v>3459482.5001330902</v>
      </c>
      <c r="E336">
        <v>1417.1518590000001</v>
      </c>
      <c r="F336">
        <v>2434497.1999752601</v>
      </c>
      <c r="G336">
        <v>6733393.37682827</v>
      </c>
      <c r="H336">
        <v>110441604</v>
      </c>
      <c r="I336">
        <v>587987.03082574601</v>
      </c>
      <c r="J336">
        <v>123.66927599</v>
      </c>
      <c r="K336">
        <v>317184.14959291701</v>
      </c>
      <c r="L336">
        <v>0</v>
      </c>
    </row>
    <row r="337" spans="1:12" x14ac:dyDescent="0.3">
      <c r="A337" s="4">
        <v>43781</v>
      </c>
      <c r="B337" s="6">
        <v>1</v>
      </c>
      <c r="C337">
        <v>640022500.05653095</v>
      </c>
      <c r="D337">
        <v>3459133.2507539801</v>
      </c>
      <c r="E337">
        <v>1417.0518589999999</v>
      </c>
      <c r="F337">
        <v>2417926.3592163599</v>
      </c>
      <c r="G337">
        <v>6963787.44314152</v>
      </c>
      <c r="H337">
        <v>112931714</v>
      </c>
      <c r="I337">
        <v>608206.12882378197</v>
      </c>
      <c r="J337">
        <v>123.212464</v>
      </c>
      <c r="K337">
        <v>316679.99271083798</v>
      </c>
      <c r="L337">
        <v>0</v>
      </c>
    </row>
    <row r="338" spans="1:12" x14ac:dyDescent="0.3">
      <c r="A338" s="4">
        <v>43780</v>
      </c>
      <c r="B338" s="6">
        <v>1</v>
      </c>
      <c r="C338">
        <v>644966145.37255096</v>
      </c>
      <c r="D338">
        <v>3401239.5891346601</v>
      </c>
      <c r="E338">
        <v>1415.5318589999999</v>
      </c>
      <c r="F338">
        <v>2440965.5781401601</v>
      </c>
      <c r="G338">
        <v>6275340.0283240499</v>
      </c>
      <c r="H338">
        <v>115149915</v>
      </c>
      <c r="I338">
        <v>605001.39231860405</v>
      </c>
      <c r="J338">
        <v>123.37540962</v>
      </c>
      <c r="K338">
        <v>324611.01493500499</v>
      </c>
      <c r="L338">
        <v>0</v>
      </c>
    </row>
    <row r="339" spans="1:12" x14ac:dyDescent="0.3">
      <c r="A339" s="4">
        <v>43779</v>
      </c>
      <c r="B339" s="6">
        <v>1</v>
      </c>
      <c r="C339">
        <v>643638265.16894197</v>
      </c>
      <c r="D339">
        <v>3453555.8246458098</v>
      </c>
      <c r="E339">
        <v>1408.6418590000001</v>
      </c>
      <c r="F339">
        <v>2435131.4742632401</v>
      </c>
      <c r="G339">
        <v>6162224.5658309897</v>
      </c>
      <c r="H339">
        <v>114839461</v>
      </c>
      <c r="I339">
        <v>613950.60678962804</v>
      </c>
      <c r="J339">
        <v>122.8178391</v>
      </c>
      <c r="K339">
        <v>319417.95552681503</v>
      </c>
      <c r="L339">
        <v>0</v>
      </c>
    </row>
    <row r="340" spans="1:12" x14ac:dyDescent="0.3">
      <c r="A340" s="4">
        <v>43778</v>
      </c>
      <c r="B340" s="6">
        <v>1</v>
      </c>
      <c r="C340">
        <v>635487628.13431501</v>
      </c>
      <c r="D340">
        <v>3456298.99750731</v>
      </c>
      <c r="E340">
        <v>1409.3418590000001</v>
      </c>
      <c r="F340">
        <v>2437164.6939010099</v>
      </c>
      <c r="G340">
        <v>6050654.4290676499</v>
      </c>
      <c r="H340">
        <v>114438157</v>
      </c>
      <c r="I340">
        <v>620126.56876557902</v>
      </c>
      <c r="J340">
        <v>125.91088231000001</v>
      </c>
      <c r="K340">
        <v>322846.80084868497</v>
      </c>
      <c r="L340">
        <v>0</v>
      </c>
    </row>
    <row r="341" spans="1:12" x14ac:dyDescent="0.3">
      <c r="A341" s="4">
        <v>43777</v>
      </c>
      <c r="B341" s="6">
        <v>1</v>
      </c>
      <c r="C341">
        <v>638624867.94518995</v>
      </c>
      <c r="D341">
        <v>3415754.69416027</v>
      </c>
      <c r="E341">
        <v>1408.8518589999901</v>
      </c>
      <c r="F341">
        <v>2406894.7593510798</v>
      </c>
      <c r="G341">
        <v>6603806.1922620898</v>
      </c>
      <c r="H341">
        <v>116025768</v>
      </c>
      <c r="I341">
        <v>618210.61381074099</v>
      </c>
      <c r="J341">
        <v>123.39132459</v>
      </c>
      <c r="K341">
        <v>322703.16698353901</v>
      </c>
      <c r="L341">
        <v>0</v>
      </c>
    </row>
    <row r="342" spans="1:12" x14ac:dyDescent="0.3">
      <c r="A342" s="4">
        <v>43776</v>
      </c>
      <c r="B342" s="6">
        <v>1</v>
      </c>
      <c r="C342">
        <v>649802010.75176001</v>
      </c>
      <c r="D342">
        <v>3389045.36007482</v>
      </c>
      <c r="E342">
        <v>1408.661859</v>
      </c>
      <c r="F342">
        <v>2407698.5700564301</v>
      </c>
      <c r="G342">
        <v>6947940.6514031002</v>
      </c>
      <c r="H342">
        <v>119162440</v>
      </c>
      <c r="I342">
        <v>619154.31778031797</v>
      </c>
      <c r="J342">
        <v>122.57351885</v>
      </c>
      <c r="K342">
        <v>323728.74040329299</v>
      </c>
      <c r="L342">
        <v>0</v>
      </c>
    </row>
    <row r="343" spans="1:12" x14ac:dyDescent="0.3">
      <c r="A343" s="4">
        <v>43775</v>
      </c>
      <c r="B343" s="6">
        <v>1</v>
      </c>
      <c r="C343">
        <v>637193431.53419602</v>
      </c>
      <c r="D343">
        <v>3362352.9937444101</v>
      </c>
      <c r="E343">
        <v>1408.001859</v>
      </c>
      <c r="F343">
        <v>2371211.02663913</v>
      </c>
      <c r="G343">
        <v>7584511.44326986</v>
      </c>
      <c r="H343">
        <v>122282255</v>
      </c>
      <c r="I343">
        <v>642812.67413131404</v>
      </c>
      <c r="J343">
        <v>122.34859938</v>
      </c>
      <c r="K343">
        <v>322721.19825867802</v>
      </c>
      <c r="L343">
        <v>0</v>
      </c>
    </row>
    <row r="344" spans="1:12" x14ac:dyDescent="0.3">
      <c r="A344" s="4">
        <v>43774</v>
      </c>
      <c r="B344" s="6">
        <v>1</v>
      </c>
      <c r="C344">
        <v>626373963.83374202</v>
      </c>
      <c r="D344">
        <v>3361295.7932435302</v>
      </c>
      <c r="E344">
        <v>1397.347749</v>
      </c>
      <c r="F344">
        <v>2347624.0779872802</v>
      </c>
      <c r="G344">
        <v>8207342.0930987597</v>
      </c>
      <c r="H344">
        <v>125657888</v>
      </c>
      <c r="I344">
        <v>671679.96579003602</v>
      </c>
      <c r="J344">
        <v>122.25275661000001</v>
      </c>
      <c r="K344">
        <v>321998.81202925998</v>
      </c>
      <c r="L344">
        <v>0</v>
      </c>
    </row>
    <row r="345" spans="1:12" x14ac:dyDescent="0.3">
      <c r="A345" s="4">
        <v>43773</v>
      </c>
      <c r="B345" s="6">
        <v>1</v>
      </c>
      <c r="C345">
        <v>607745548.43347502</v>
      </c>
      <c r="D345">
        <v>3313111.1973934202</v>
      </c>
      <c r="E345">
        <v>1396.327749</v>
      </c>
      <c r="F345">
        <v>2294488.3409423698</v>
      </c>
      <c r="G345">
        <v>8099332.80515341</v>
      </c>
      <c r="H345">
        <v>124864798</v>
      </c>
      <c r="I345">
        <v>678060.26608742797</v>
      </c>
      <c r="J345">
        <v>121.05932101000001</v>
      </c>
      <c r="K345">
        <v>324180.79762416502</v>
      </c>
      <c r="L345">
        <v>0</v>
      </c>
    </row>
    <row r="346" spans="1:12" x14ac:dyDescent="0.3">
      <c r="A346" s="4">
        <v>43772</v>
      </c>
      <c r="B346" s="6">
        <v>1</v>
      </c>
      <c r="C346">
        <v>612265117.02691698</v>
      </c>
      <c r="D346">
        <v>3310058.5397372302</v>
      </c>
      <c r="E346">
        <v>1396.2477490000001</v>
      </c>
      <c r="F346">
        <v>2283160.9038212299</v>
      </c>
      <c r="G346">
        <v>8028378.6058168299</v>
      </c>
      <c r="H346">
        <v>127412750</v>
      </c>
      <c r="I346">
        <v>686047.54469093203</v>
      </c>
      <c r="J346">
        <v>123.54255148</v>
      </c>
      <c r="K346">
        <v>325753.76267092902</v>
      </c>
      <c r="L346">
        <v>0</v>
      </c>
    </row>
    <row r="347" spans="1:12" x14ac:dyDescent="0.3">
      <c r="A347" s="4">
        <v>43771</v>
      </c>
      <c r="B347" s="6">
        <v>1</v>
      </c>
      <c r="C347">
        <v>609224888.89630497</v>
      </c>
      <c r="D347">
        <v>3310432.5089295302</v>
      </c>
      <c r="E347">
        <v>1395.367749</v>
      </c>
      <c r="F347">
        <v>2291943.0405418901</v>
      </c>
      <c r="G347">
        <v>7910555.5698286397</v>
      </c>
      <c r="H347">
        <v>126515782</v>
      </c>
      <c r="I347">
        <v>684683.30988202104</v>
      </c>
      <c r="J347">
        <v>123.53210163999999</v>
      </c>
      <c r="K347">
        <v>336768.376827478</v>
      </c>
      <c r="L347">
        <v>0</v>
      </c>
    </row>
    <row r="348" spans="1:12" x14ac:dyDescent="0.3">
      <c r="A348" s="4">
        <v>43770</v>
      </c>
      <c r="B348" s="6">
        <v>1</v>
      </c>
      <c r="C348">
        <v>602322010.98400903</v>
      </c>
      <c r="D348">
        <v>3302147.8351078299</v>
      </c>
      <c r="E348">
        <v>1396.2777489999901</v>
      </c>
      <c r="F348">
        <v>2293741.6053406699</v>
      </c>
      <c r="G348">
        <v>7737432.2420905102</v>
      </c>
      <c r="H348">
        <v>124355071</v>
      </c>
      <c r="I348">
        <v>678979.36663936602</v>
      </c>
      <c r="J348">
        <v>123.85062635</v>
      </c>
      <c r="K348">
        <v>339009.11617073102</v>
      </c>
      <c r="L348">
        <v>0</v>
      </c>
    </row>
    <row r="349" spans="1:12" x14ac:dyDescent="0.3">
      <c r="A349" s="4">
        <v>43769</v>
      </c>
      <c r="B349" s="6">
        <v>1</v>
      </c>
      <c r="C349">
        <v>608196061.08397603</v>
      </c>
      <c r="D349">
        <v>3309680.50617819</v>
      </c>
      <c r="E349">
        <v>1395.407749</v>
      </c>
      <c r="F349">
        <v>2303922.5820209002</v>
      </c>
      <c r="G349">
        <v>8330769.9890455296</v>
      </c>
      <c r="H349">
        <v>125987651</v>
      </c>
      <c r="I349">
        <v>682785.88228918205</v>
      </c>
      <c r="J349">
        <v>124.19654917</v>
      </c>
      <c r="K349">
        <v>338872.19149735197</v>
      </c>
      <c r="L349">
        <v>0</v>
      </c>
    </row>
    <row r="350" spans="1:12" x14ac:dyDescent="0.3">
      <c r="A350" s="4">
        <v>43768</v>
      </c>
      <c r="B350" s="6">
        <v>1</v>
      </c>
      <c r="C350">
        <v>628391540.50535297</v>
      </c>
      <c r="D350">
        <v>3294583.4682262</v>
      </c>
      <c r="E350">
        <v>1394.9677489999999</v>
      </c>
      <c r="F350">
        <v>2312974.9290386899</v>
      </c>
      <c r="G350">
        <v>8048923.6522479001</v>
      </c>
      <c r="H350">
        <v>128340915</v>
      </c>
      <c r="I350">
        <v>670152.550780638</v>
      </c>
      <c r="J350">
        <v>121.74759014</v>
      </c>
      <c r="K350">
        <v>343824.39547405898</v>
      </c>
      <c r="L350">
        <v>0</v>
      </c>
    </row>
    <row r="351" spans="1:12" x14ac:dyDescent="0.3">
      <c r="A351" s="4">
        <v>43767</v>
      </c>
      <c r="B351" s="6">
        <v>1</v>
      </c>
      <c r="C351">
        <v>600339503.06944597</v>
      </c>
      <c r="D351">
        <v>3299304.6232970301</v>
      </c>
      <c r="E351">
        <v>1395.137749</v>
      </c>
      <c r="F351">
        <v>2296868.9201877299</v>
      </c>
      <c r="G351">
        <v>6866603.1787153101</v>
      </c>
      <c r="H351">
        <v>124099809</v>
      </c>
      <c r="I351">
        <v>678994.41374404903</v>
      </c>
      <c r="J351">
        <v>122.1112689</v>
      </c>
      <c r="K351">
        <v>340403.93246852898</v>
      </c>
      <c r="L351">
        <v>0</v>
      </c>
    </row>
    <row r="352" spans="1:12" x14ac:dyDescent="0.3">
      <c r="A352" s="4">
        <v>43766</v>
      </c>
      <c r="B352" s="6">
        <v>1</v>
      </c>
      <c r="C352">
        <v>605973606.53217399</v>
      </c>
      <c r="D352">
        <v>3297620.8256582501</v>
      </c>
      <c r="E352">
        <v>1390.088348</v>
      </c>
      <c r="F352">
        <v>2302326.21530595</v>
      </c>
      <c r="G352">
        <v>6656682.0882336097</v>
      </c>
      <c r="H352">
        <v>124890962</v>
      </c>
      <c r="I352">
        <v>676622.39679271798</v>
      </c>
      <c r="J352">
        <v>121.34607552999999</v>
      </c>
      <c r="K352">
        <v>356816.390512963</v>
      </c>
      <c r="L352">
        <v>0</v>
      </c>
    </row>
    <row r="353" spans="1:12" x14ac:dyDescent="0.3">
      <c r="A353" s="4">
        <v>43765</v>
      </c>
      <c r="B353" s="6">
        <v>1</v>
      </c>
      <c r="C353">
        <v>589015565.97226703</v>
      </c>
      <c r="D353">
        <v>3285209.0066077998</v>
      </c>
      <c r="E353">
        <v>1390.7383479999901</v>
      </c>
      <c r="F353">
        <v>2335399.6071984698</v>
      </c>
      <c r="G353">
        <v>5872667.0076811304</v>
      </c>
      <c r="H353">
        <v>122141653</v>
      </c>
      <c r="I353">
        <v>678225.62607584998</v>
      </c>
      <c r="J353">
        <v>120.18491206</v>
      </c>
      <c r="K353">
        <v>388857.00603970699</v>
      </c>
      <c r="L353">
        <v>0</v>
      </c>
    </row>
    <row r="354" spans="1:12" x14ac:dyDescent="0.3">
      <c r="A354" s="4">
        <v>43764</v>
      </c>
      <c r="B354" s="6">
        <v>1</v>
      </c>
      <c r="C354">
        <v>597705632.84961402</v>
      </c>
      <c r="D354">
        <v>3291026.3518701298</v>
      </c>
      <c r="E354">
        <v>1392.027051</v>
      </c>
      <c r="F354">
        <v>2341718.4204782401</v>
      </c>
      <c r="G354">
        <v>5905591.3534744298</v>
      </c>
      <c r="H354">
        <v>124240612</v>
      </c>
      <c r="I354">
        <v>681367.84029834298</v>
      </c>
      <c r="J354">
        <v>120.08430042000001</v>
      </c>
      <c r="K354">
        <v>420494.09677941399</v>
      </c>
      <c r="L354">
        <v>0</v>
      </c>
    </row>
    <row r="355" spans="1:12" x14ac:dyDescent="0.3">
      <c r="A355" s="4">
        <v>43763</v>
      </c>
      <c r="B355" s="6">
        <v>1</v>
      </c>
      <c r="C355">
        <v>538631738.92133605</v>
      </c>
      <c r="D355">
        <v>3307938.2030723998</v>
      </c>
      <c r="E355">
        <v>1396.1570509999999</v>
      </c>
      <c r="F355">
        <v>2339977.8728926</v>
      </c>
      <c r="G355">
        <v>5813230.9720055796</v>
      </c>
      <c r="H355">
        <v>114067080</v>
      </c>
      <c r="I355">
        <v>698127.66999204305</v>
      </c>
      <c r="J355">
        <v>119.83109785000001</v>
      </c>
      <c r="K355">
        <v>431563.37314895401</v>
      </c>
      <c r="L355">
        <v>0</v>
      </c>
    </row>
    <row r="356" spans="1:12" x14ac:dyDescent="0.3">
      <c r="A356" s="4">
        <v>43762</v>
      </c>
      <c r="B356" s="6">
        <v>1</v>
      </c>
      <c r="C356">
        <v>533694049.42466199</v>
      </c>
      <c r="D356">
        <v>3273286.3814180898</v>
      </c>
      <c r="E356">
        <v>1394.4270509999999</v>
      </c>
      <c r="F356">
        <v>2336762.64557146</v>
      </c>
      <c r="G356">
        <v>5559462.7898809602</v>
      </c>
      <c r="H356">
        <v>111182693</v>
      </c>
      <c r="I356">
        <v>679600.81295843504</v>
      </c>
      <c r="J356">
        <v>114.91304341</v>
      </c>
      <c r="K356">
        <v>435981.98708901898</v>
      </c>
      <c r="L356">
        <v>0</v>
      </c>
    </row>
    <row r="357" spans="1:12" x14ac:dyDescent="0.3">
      <c r="A357" s="4">
        <v>43761</v>
      </c>
      <c r="B357" s="6">
        <v>1</v>
      </c>
      <c r="C357">
        <v>537204557.05477703</v>
      </c>
      <c r="D357">
        <v>3110538.81260096</v>
      </c>
      <c r="E357">
        <v>1396.9870510000001</v>
      </c>
      <c r="F357">
        <v>2226546.96928831</v>
      </c>
      <c r="G357">
        <v>6240997.5112227602</v>
      </c>
      <c r="H357">
        <v>116851667</v>
      </c>
      <c r="I357">
        <v>674196.09393030195</v>
      </c>
      <c r="J357">
        <v>112.76724673</v>
      </c>
      <c r="K357">
        <v>428349.57425761898</v>
      </c>
      <c r="L357">
        <v>0</v>
      </c>
    </row>
    <row r="358" spans="1:12" x14ac:dyDescent="0.3">
      <c r="A358" s="4">
        <v>43760</v>
      </c>
      <c r="B358" s="6">
        <v>1</v>
      </c>
      <c r="C358">
        <v>543729112.42454696</v>
      </c>
      <c r="D358">
        <v>3091812.8937230902</v>
      </c>
      <c r="E358">
        <v>1398.26705099999</v>
      </c>
      <c r="F358">
        <v>2222848.9397564102</v>
      </c>
      <c r="G358">
        <v>6110756.8858159399</v>
      </c>
      <c r="H358">
        <v>119901582</v>
      </c>
      <c r="I358">
        <v>679252.10740992497</v>
      </c>
      <c r="J358">
        <v>110.80941147999999</v>
      </c>
      <c r="K358">
        <v>428290.61648619903</v>
      </c>
      <c r="L358">
        <v>0</v>
      </c>
    </row>
    <row r="359" spans="1:12" x14ac:dyDescent="0.3">
      <c r="A359" s="4">
        <v>43759</v>
      </c>
      <c r="B359" s="6">
        <v>1</v>
      </c>
      <c r="C359">
        <v>544281899.38154101</v>
      </c>
      <c r="D359">
        <v>3067221.91342428</v>
      </c>
      <c r="E359">
        <v>1397.9170710000001</v>
      </c>
      <c r="F359">
        <v>2224603.66426097</v>
      </c>
      <c r="G359">
        <v>5557835.5999916904</v>
      </c>
      <c r="H359">
        <v>120012980</v>
      </c>
      <c r="I359">
        <v>673813.82291842101</v>
      </c>
      <c r="J359">
        <v>111.55806822</v>
      </c>
      <c r="K359">
        <v>422444.10816477903</v>
      </c>
      <c r="L359">
        <v>0</v>
      </c>
    </row>
    <row r="360" spans="1:12" x14ac:dyDescent="0.3">
      <c r="A360" s="4">
        <v>43758</v>
      </c>
      <c r="B360" s="6">
        <v>1</v>
      </c>
      <c r="C360">
        <v>535591514.20523798</v>
      </c>
      <c r="D360">
        <v>3065498.6712289699</v>
      </c>
      <c r="E360">
        <v>1396.457071</v>
      </c>
      <c r="F360">
        <v>2227529.3683633599</v>
      </c>
      <c r="G360">
        <v>5475816.6577786701</v>
      </c>
      <c r="H360">
        <v>118701996</v>
      </c>
      <c r="I360">
        <v>676943.23353293398</v>
      </c>
      <c r="J360">
        <v>112.40823146</v>
      </c>
      <c r="K360">
        <v>427881.75246738101</v>
      </c>
      <c r="L360">
        <v>0</v>
      </c>
    </row>
    <row r="361" spans="1:12" x14ac:dyDescent="0.3">
      <c r="A361" s="4">
        <v>43757</v>
      </c>
      <c r="B361" s="6">
        <v>1</v>
      </c>
      <c r="C361">
        <v>530439906.90617299</v>
      </c>
      <c r="D361">
        <v>3043240.4722428601</v>
      </c>
      <c r="E361">
        <v>1395.9270710000001</v>
      </c>
      <c r="F361">
        <v>2226065.41539717</v>
      </c>
      <c r="G361">
        <v>5590237.1134792697</v>
      </c>
      <c r="H361">
        <v>117421982</v>
      </c>
      <c r="I361">
        <v>671328.00869018305</v>
      </c>
      <c r="J361">
        <v>112.38859186000001</v>
      </c>
      <c r="K361">
        <v>430081.23465179303</v>
      </c>
      <c r="L361">
        <v>0</v>
      </c>
    </row>
    <row r="362" spans="1:12" x14ac:dyDescent="0.3">
      <c r="A362" s="4">
        <v>43756</v>
      </c>
      <c r="B362" s="6">
        <v>1</v>
      </c>
      <c r="C362">
        <v>543702954.55558705</v>
      </c>
      <c r="D362">
        <v>3026951.7503467398</v>
      </c>
      <c r="E362">
        <v>1394.1470710000001</v>
      </c>
      <c r="F362">
        <v>2224659.5201988402</v>
      </c>
      <c r="G362">
        <v>5859645.5024452601</v>
      </c>
      <c r="H362">
        <v>119919216</v>
      </c>
      <c r="I362">
        <v>665293.84743411897</v>
      </c>
      <c r="J362">
        <v>112.67068359</v>
      </c>
      <c r="K362">
        <v>431788.86864495598</v>
      </c>
      <c r="L362">
        <v>0</v>
      </c>
    </row>
    <row r="363" spans="1:12" x14ac:dyDescent="0.3">
      <c r="A363" s="4">
        <v>43755</v>
      </c>
      <c r="B363" s="6">
        <v>1</v>
      </c>
      <c r="C363">
        <v>530452946.47152197</v>
      </c>
      <c r="D363">
        <v>2994109.85883808</v>
      </c>
      <c r="E363">
        <v>1395.4070710000001</v>
      </c>
      <c r="F363">
        <v>2213003.8727241098</v>
      </c>
      <c r="G363">
        <v>5823020.4385069599</v>
      </c>
      <c r="H363">
        <v>118553845</v>
      </c>
      <c r="I363">
        <v>666744.53067881404</v>
      </c>
      <c r="J363">
        <v>116.14399782</v>
      </c>
      <c r="K363">
        <v>427882.42223345698</v>
      </c>
      <c r="L363">
        <v>0</v>
      </c>
    </row>
    <row r="364" spans="1:12" x14ac:dyDescent="0.3">
      <c r="A364" s="4">
        <v>43754</v>
      </c>
      <c r="B364" s="6">
        <v>1</v>
      </c>
      <c r="C364">
        <v>538920241.54449904</v>
      </c>
      <c r="D364">
        <v>2966583.1733669699</v>
      </c>
      <c r="E364">
        <v>1394.1870710000001</v>
      </c>
      <c r="F364">
        <v>2208011.48861088</v>
      </c>
      <c r="G364">
        <v>6389182.2226843601</v>
      </c>
      <c r="H364">
        <v>120055337</v>
      </c>
      <c r="I364">
        <v>658450.81445730198</v>
      </c>
      <c r="J364">
        <v>119.48099135</v>
      </c>
      <c r="K364">
        <v>426663.59763971402</v>
      </c>
      <c r="L364">
        <v>0</v>
      </c>
    </row>
    <row r="365" spans="1:12" x14ac:dyDescent="0.3">
      <c r="A365" s="4">
        <v>43753</v>
      </c>
      <c r="B365" s="6">
        <v>1</v>
      </c>
      <c r="C365">
        <v>558179841.350124</v>
      </c>
      <c r="D365">
        <v>2958089.75604604</v>
      </c>
      <c r="E365">
        <v>1395.8870710000001</v>
      </c>
      <c r="F365">
        <v>2216165.6664348701</v>
      </c>
      <c r="G365">
        <v>6072344.2551488504</v>
      </c>
      <c r="H365">
        <v>123821825</v>
      </c>
      <c r="I365">
        <v>653827.35769352596</v>
      </c>
      <c r="J365">
        <v>118.57284136</v>
      </c>
      <c r="K365">
        <v>428661.87176203798</v>
      </c>
      <c r="L365">
        <v>0</v>
      </c>
    </row>
    <row r="366" spans="1:12" x14ac:dyDescent="0.3">
      <c r="A366" s="4">
        <v>43752</v>
      </c>
      <c r="B366" s="6">
        <v>1</v>
      </c>
      <c r="C366">
        <v>547138228.60370803</v>
      </c>
      <c r="D366">
        <v>2978323.3973315898</v>
      </c>
      <c r="E366">
        <v>1396.5770709999999</v>
      </c>
      <c r="F366">
        <v>2224225.7620484098</v>
      </c>
      <c r="G366">
        <v>6037392.1216091001</v>
      </c>
      <c r="H366">
        <v>121777971</v>
      </c>
      <c r="I366">
        <v>660472.77904328005</v>
      </c>
      <c r="J366">
        <v>117.09212055</v>
      </c>
      <c r="K366">
        <v>432760.50311024702</v>
      </c>
      <c r="L366">
        <v>0</v>
      </c>
    </row>
    <row r="367" spans="1:12" x14ac:dyDescent="0.3">
      <c r="A367" s="4">
        <v>43751</v>
      </c>
      <c r="B367" s="6">
        <v>1</v>
      </c>
      <c r="C367">
        <v>543253706.64733803</v>
      </c>
      <c r="D367">
        <v>2962331.2652795101</v>
      </c>
      <c r="E367">
        <v>1390.777071</v>
      </c>
      <c r="F367">
        <v>2220241.3835311402</v>
      </c>
      <c r="G367">
        <v>5923986.1761876503</v>
      </c>
      <c r="H367">
        <v>121841770</v>
      </c>
      <c r="I367">
        <v>661931.71076220996</v>
      </c>
      <c r="J367">
        <v>115.1734807</v>
      </c>
      <c r="K367">
        <v>431192.05675565102</v>
      </c>
      <c r="L367">
        <v>0</v>
      </c>
    </row>
    <row r="368" spans="1:12" x14ac:dyDescent="0.3">
      <c r="A368" s="4">
        <v>43750</v>
      </c>
      <c r="B368" s="6">
        <v>1</v>
      </c>
      <c r="C368">
        <v>537670114.256006</v>
      </c>
      <c r="D368">
        <v>2960857.8670177702</v>
      </c>
      <c r="E368">
        <v>1392.307071</v>
      </c>
      <c r="F368">
        <v>2220219.3816328798</v>
      </c>
      <c r="G368">
        <v>5856082.1177262496</v>
      </c>
      <c r="H368">
        <v>119892348</v>
      </c>
      <c r="I368">
        <v>657737.26135615504</v>
      </c>
      <c r="J368">
        <v>116.09989662</v>
      </c>
      <c r="K368">
        <v>430748.05544237199</v>
      </c>
      <c r="L368">
        <v>0</v>
      </c>
    </row>
    <row r="369" spans="1:12" x14ac:dyDescent="0.3">
      <c r="A369" s="4">
        <v>43749</v>
      </c>
      <c r="B369" s="6">
        <v>1</v>
      </c>
      <c r="C369">
        <v>566672247.16715205</v>
      </c>
      <c r="D369">
        <v>2936307.8201620802</v>
      </c>
      <c r="E369">
        <v>1391.007071</v>
      </c>
      <c r="F369">
        <v>2233946.5726268999</v>
      </c>
      <c r="G369">
        <v>5760330.9578002403</v>
      </c>
      <c r="H369">
        <v>125692451</v>
      </c>
      <c r="I369">
        <v>648802.20409848704</v>
      </c>
      <c r="J369">
        <v>119.50060954999999</v>
      </c>
      <c r="K369">
        <v>431028.839495497</v>
      </c>
      <c r="L369">
        <v>0</v>
      </c>
    </row>
    <row r="370" spans="1:12" x14ac:dyDescent="0.3">
      <c r="A370" s="4">
        <v>43748</v>
      </c>
      <c r="B370" s="6">
        <v>1</v>
      </c>
      <c r="C370">
        <v>565464082.76610303</v>
      </c>
      <c r="D370">
        <v>2920584.79703657</v>
      </c>
      <c r="E370">
        <v>1388.3370709999999</v>
      </c>
      <c r="F370">
        <v>2227045.4396211701</v>
      </c>
      <c r="G370">
        <v>5917419.4708252298</v>
      </c>
      <c r="H370">
        <v>124756238</v>
      </c>
      <c r="I370">
        <v>641849.24628286203</v>
      </c>
      <c r="J370">
        <v>119.23721935</v>
      </c>
      <c r="K370">
        <v>431123.617003922</v>
      </c>
      <c r="L370">
        <v>0</v>
      </c>
    </row>
    <row r="371" spans="1:12" x14ac:dyDescent="0.3">
      <c r="A371" s="4">
        <v>43747</v>
      </c>
      <c r="B371" s="6">
        <v>1</v>
      </c>
      <c r="C371">
        <v>529776307.40027899</v>
      </c>
      <c r="D371">
        <v>2914021.0454221601</v>
      </c>
      <c r="E371">
        <v>1387.307071</v>
      </c>
      <c r="F371">
        <v>2201247.1278369101</v>
      </c>
      <c r="G371">
        <v>5828920.8212819602</v>
      </c>
      <c r="H371">
        <v>117989567</v>
      </c>
      <c r="I371">
        <v>646482.75163004699</v>
      </c>
      <c r="J371">
        <v>115.77711567999999</v>
      </c>
      <c r="K371">
        <v>430652.06434362498</v>
      </c>
      <c r="L371">
        <v>0</v>
      </c>
    </row>
    <row r="372" spans="1:12" x14ac:dyDescent="0.3">
      <c r="A372" s="4">
        <v>43746</v>
      </c>
      <c r="B372" s="6">
        <v>1</v>
      </c>
      <c r="C372">
        <v>522109141.88407201</v>
      </c>
      <c r="D372">
        <v>2887718.8959894199</v>
      </c>
      <c r="E372">
        <v>1388.0670709999999</v>
      </c>
      <c r="F372">
        <v>2194608.6965647298</v>
      </c>
      <c r="G372">
        <v>5764877.48977827</v>
      </c>
      <c r="H372">
        <v>113304609</v>
      </c>
      <c r="I372">
        <v>624199.03591890703</v>
      </c>
      <c r="J372">
        <v>116.03292576</v>
      </c>
      <c r="K372">
        <v>430098.64928765601</v>
      </c>
      <c r="L372">
        <v>0</v>
      </c>
    </row>
    <row r="373" spans="1:12" x14ac:dyDescent="0.3">
      <c r="A373" s="4">
        <v>43745</v>
      </c>
      <c r="B373" s="6">
        <v>1</v>
      </c>
      <c r="C373">
        <v>500868280.87794799</v>
      </c>
      <c r="D373">
        <v>2909786.1705820998</v>
      </c>
      <c r="E373">
        <v>1389.5770709999999</v>
      </c>
      <c r="F373">
        <v>2198160.6221882901</v>
      </c>
      <c r="G373">
        <v>5846617.5476512602</v>
      </c>
      <c r="H373">
        <v>111513894</v>
      </c>
      <c r="I373">
        <v>645260.35181113298</v>
      </c>
      <c r="J373">
        <v>113.86038089</v>
      </c>
      <c r="K373">
        <v>431011.61786250299</v>
      </c>
      <c r="L373">
        <v>0</v>
      </c>
    </row>
    <row r="374" spans="1:12" x14ac:dyDescent="0.3">
      <c r="A374" s="4">
        <v>43744</v>
      </c>
      <c r="B374" s="6">
        <v>1</v>
      </c>
      <c r="C374">
        <v>523394897.50924999</v>
      </c>
      <c r="D374">
        <v>2907485.9466637098</v>
      </c>
      <c r="E374">
        <v>1389.0870709999999</v>
      </c>
      <c r="F374">
        <v>2199634.5859687999</v>
      </c>
      <c r="G374">
        <v>5812768.0992907397</v>
      </c>
      <c r="H374">
        <v>115557980</v>
      </c>
      <c r="I374">
        <v>639360.296558592</v>
      </c>
      <c r="J374">
        <v>113.88415207</v>
      </c>
      <c r="K374">
        <v>430628.14696701599</v>
      </c>
      <c r="L374">
        <v>0</v>
      </c>
    </row>
    <row r="375" spans="1:12" x14ac:dyDescent="0.3">
      <c r="A375" s="4">
        <v>43743</v>
      </c>
      <c r="B375" s="6">
        <v>1</v>
      </c>
      <c r="C375">
        <v>515601942.49395001</v>
      </c>
      <c r="D375">
        <v>2914712.0326576498</v>
      </c>
      <c r="E375">
        <v>1388.757071</v>
      </c>
      <c r="F375">
        <v>2206271.6096470901</v>
      </c>
      <c r="G375">
        <v>5814670.9317349903</v>
      </c>
      <c r="H375">
        <v>113248519</v>
      </c>
      <c r="I375">
        <v>637660.57995495503</v>
      </c>
      <c r="J375">
        <v>113.78052116000001</v>
      </c>
      <c r="K375">
        <v>432365.16571924603</v>
      </c>
      <c r="L375">
        <v>0</v>
      </c>
    </row>
    <row r="376" spans="1:12" x14ac:dyDescent="0.3">
      <c r="A376" s="4">
        <v>43742</v>
      </c>
      <c r="B376" s="6">
        <v>1</v>
      </c>
      <c r="C376">
        <v>508363404.73322898</v>
      </c>
      <c r="D376">
        <v>2889779.2560720099</v>
      </c>
      <c r="E376">
        <v>1390.3870710000001</v>
      </c>
      <c r="F376">
        <v>2200844.5277230898</v>
      </c>
      <c r="G376">
        <v>5667792.12418688</v>
      </c>
      <c r="H376">
        <v>112033952</v>
      </c>
      <c r="I376">
        <v>634286.08956575894</v>
      </c>
      <c r="J376">
        <v>111.78701719</v>
      </c>
      <c r="K376">
        <v>433151.17379115702</v>
      </c>
      <c r="L376">
        <v>0</v>
      </c>
    </row>
    <row r="377" spans="1:12" x14ac:dyDescent="0.3">
      <c r="A377" s="4">
        <v>43741</v>
      </c>
      <c r="B377" s="6">
        <v>1</v>
      </c>
      <c r="C377">
        <v>526386337.87814701</v>
      </c>
      <c r="D377">
        <v>2893046.8997975099</v>
      </c>
      <c r="E377">
        <v>1388.787071</v>
      </c>
      <c r="F377">
        <v>2202912.2668769001</v>
      </c>
      <c r="G377">
        <v>6456989.5079685701</v>
      </c>
      <c r="H377">
        <v>114925314</v>
      </c>
      <c r="I377">
        <v>628935.11738630699</v>
      </c>
      <c r="J377">
        <v>108.82941934</v>
      </c>
      <c r="K377">
        <v>434058.257995172</v>
      </c>
      <c r="L377">
        <v>0</v>
      </c>
    </row>
    <row r="378" spans="1:12" x14ac:dyDescent="0.3">
      <c r="A378" s="4">
        <v>43740</v>
      </c>
      <c r="B378" s="6">
        <v>1</v>
      </c>
      <c r="C378">
        <v>508986277.08790398</v>
      </c>
      <c r="D378">
        <v>2883062.4943591999</v>
      </c>
      <c r="E378">
        <v>1387.307071</v>
      </c>
      <c r="F378">
        <v>2198740.5671629799</v>
      </c>
      <c r="G378">
        <v>6209439.0667279903</v>
      </c>
      <c r="H378">
        <v>113380508</v>
      </c>
      <c r="I378">
        <v>639556.11462093797</v>
      </c>
      <c r="J378">
        <v>108.79153268</v>
      </c>
      <c r="K378">
        <v>429596.58198499703</v>
      </c>
      <c r="L378">
        <v>0</v>
      </c>
    </row>
    <row r="379" spans="1:12" x14ac:dyDescent="0.3">
      <c r="A379" s="4">
        <v>43739</v>
      </c>
      <c r="B379" s="6">
        <v>1</v>
      </c>
      <c r="C379">
        <v>519425533.41152102</v>
      </c>
      <c r="D379">
        <v>2864928.8931612102</v>
      </c>
      <c r="E379">
        <v>1385.8970710000001</v>
      </c>
      <c r="F379">
        <v>2202139.10743191</v>
      </c>
      <c r="G379">
        <v>5564506.3351142304</v>
      </c>
      <c r="H379">
        <v>114982077</v>
      </c>
      <c r="I379">
        <v>631596.13842351001</v>
      </c>
      <c r="J379">
        <v>109.23367457000001</v>
      </c>
      <c r="K379">
        <v>431918.90055488597</v>
      </c>
      <c r="L379">
        <v>0</v>
      </c>
    </row>
    <row r="380" spans="1:12" x14ac:dyDescent="0.3">
      <c r="A380" s="4">
        <v>43738</v>
      </c>
      <c r="B380" s="6">
        <v>1</v>
      </c>
      <c r="C380">
        <v>499060296.493945</v>
      </c>
      <c r="D380">
        <v>2908698.2934757299</v>
      </c>
      <c r="E380">
        <v>1385.9370710000001</v>
      </c>
      <c r="F380">
        <v>2193128.2058984698</v>
      </c>
      <c r="G380">
        <v>5217851.0260090902</v>
      </c>
      <c r="H380">
        <v>113170821</v>
      </c>
      <c r="I380">
        <v>656900.51660088205</v>
      </c>
      <c r="J380">
        <v>110.98228407000001</v>
      </c>
      <c r="K380">
        <v>433659.92445197399</v>
      </c>
      <c r="L380">
        <v>0</v>
      </c>
    </row>
    <row r="381" spans="1:12" x14ac:dyDescent="0.3">
      <c r="A381" s="4">
        <v>43737</v>
      </c>
      <c r="B381" s="6">
        <v>1</v>
      </c>
      <c r="C381">
        <v>511350671.27576602</v>
      </c>
      <c r="D381">
        <v>2904848.8032592</v>
      </c>
      <c r="E381">
        <v>1385.5770709999999</v>
      </c>
      <c r="F381">
        <v>2191896.38896249</v>
      </c>
      <c r="G381">
        <v>5145820.2294729901</v>
      </c>
      <c r="H381">
        <v>115363311</v>
      </c>
      <c r="I381">
        <v>652765.86318112304</v>
      </c>
      <c r="J381">
        <v>111.24456204000001</v>
      </c>
      <c r="K381">
        <v>434536.20721760602</v>
      </c>
      <c r="L381">
        <v>0</v>
      </c>
    </row>
    <row r="382" spans="1:12" x14ac:dyDescent="0.3">
      <c r="A382" s="4">
        <v>43736</v>
      </c>
      <c r="B382" s="6">
        <v>1</v>
      </c>
      <c r="C382">
        <v>508082511.84053802</v>
      </c>
      <c r="D382">
        <v>2896580.2373786098</v>
      </c>
      <c r="E382">
        <v>1381.987071</v>
      </c>
      <c r="F382">
        <v>2196022.35360975</v>
      </c>
      <c r="G382">
        <v>4995564.2545785597</v>
      </c>
      <c r="H382">
        <v>113938870</v>
      </c>
      <c r="I382">
        <v>647049.06581861502</v>
      </c>
      <c r="J382">
        <v>109.40619264</v>
      </c>
      <c r="K382">
        <v>436559.001790985</v>
      </c>
      <c r="L382">
        <v>0</v>
      </c>
    </row>
    <row r="383" spans="1:12" x14ac:dyDescent="0.3">
      <c r="A383" s="4">
        <v>43735</v>
      </c>
      <c r="B383" s="6">
        <v>1</v>
      </c>
      <c r="C383">
        <v>482039302.75743198</v>
      </c>
      <c r="D383">
        <v>2896678.4919210002</v>
      </c>
      <c r="E383">
        <v>1383.487071</v>
      </c>
      <c r="F383">
        <v>2185064.7099368698</v>
      </c>
      <c r="G383">
        <v>5326969.2054749401</v>
      </c>
      <c r="H383">
        <v>106662637</v>
      </c>
      <c r="I383">
        <v>638316.19988031103</v>
      </c>
      <c r="J383">
        <v>109.10078308</v>
      </c>
      <c r="K383">
        <v>434177.901702045</v>
      </c>
      <c r="L383">
        <v>0</v>
      </c>
    </row>
    <row r="384" spans="1:12" x14ac:dyDescent="0.3">
      <c r="A384" s="4">
        <v>43734</v>
      </c>
      <c r="B384" s="6">
        <v>1</v>
      </c>
      <c r="C384">
        <v>480315985.66768199</v>
      </c>
      <c r="D384">
        <v>2816668.2978102099</v>
      </c>
      <c r="E384">
        <v>1384.977071</v>
      </c>
      <c r="F384">
        <v>2155621.3751480598</v>
      </c>
      <c r="G384">
        <v>5217254.6207024902</v>
      </c>
      <c r="H384">
        <v>108063346</v>
      </c>
      <c r="I384">
        <v>631026.83795620396</v>
      </c>
      <c r="J384">
        <v>104.43081905</v>
      </c>
      <c r="K384">
        <v>432325.21961130598</v>
      </c>
      <c r="L384">
        <v>0</v>
      </c>
    </row>
    <row r="385" spans="1:12" x14ac:dyDescent="0.3">
      <c r="A385" s="4">
        <v>43733</v>
      </c>
      <c r="B385" s="6">
        <v>1</v>
      </c>
      <c r="C385">
        <v>466138107.92625803</v>
      </c>
      <c r="D385">
        <v>2800874.6275800099</v>
      </c>
      <c r="E385">
        <v>1384.777071</v>
      </c>
      <c r="F385">
        <v>2161782.8095591199</v>
      </c>
      <c r="G385">
        <v>5050323.3144791601</v>
      </c>
      <c r="H385">
        <v>105265761</v>
      </c>
      <c r="I385">
        <v>629768.23810948199</v>
      </c>
      <c r="J385">
        <v>102.48471094</v>
      </c>
      <c r="K385">
        <v>433207.48322692199</v>
      </c>
      <c r="L385">
        <v>0</v>
      </c>
    </row>
    <row r="386" spans="1:12" x14ac:dyDescent="0.3">
      <c r="A386" s="4">
        <v>43732</v>
      </c>
      <c r="B386" s="6">
        <v>1</v>
      </c>
      <c r="C386">
        <v>549528047.10305798</v>
      </c>
      <c r="D386">
        <v>2718443.00423687</v>
      </c>
      <c r="E386">
        <v>1384.5870709999999</v>
      </c>
      <c r="F386">
        <v>2165468.2485647402</v>
      </c>
      <c r="G386">
        <v>4911467.7247122396</v>
      </c>
      <c r="H386">
        <v>119440711</v>
      </c>
      <c r="I386">
        <v>588435.86067592795</v>
      </c>
      <c r="J386">
        <v>102.27657551</v>
      </c>
      <c r="K386">
        <v>431814.28679778602</v>
      </c>
      <c r="L386">
        <v>0</v>
      </c>
    </row>
    <row r="387" spans="1:12" x14ac:dyDescent="0.3">
      <c r="A387" s="4">
        <v>43731</v>
      </c>
      <c r="B387" s="6">
        <v>1</v>
      </c>
      <c r="C387">
        <v>578330238.825176</v>
      </c>
      <c r="D387">
        <v>2722688.0198809002</v>
      </c>
      <c r="E387">
        <v>1392.557071</v>
      </c>
      <c r="F387">
        <v>2170799.9298804798</v>
      </c>
      <c r="G387">
        <v>4865836.7121475404</v>
      </c>
      <c r="H387">
        <v>125037039</v>
      </c>
      <c r="I387">
        <v>586285.173723449</v>
      </c>
      <c r="J387">
        <v>101.92636029000001</v>
      </c>
      <c r="K387">
        <v>432880.62657455401</v>
      </c>
      <c r="L387">
        <v>0</v>
      </c>
    </row>
    <row r="388" spans="1:12" x14ac:dyDescent="0.3">
      <c r="A388" s="4">
        <v>43730</v>
      </c>
      <c r="B388" s="6">
        <v>1</v>
      </c>
      <c r="C388">
        <v>584742271.31368101</v>
      </c>
      <c r="D388">
        <v>2702596.89744061</v>
      </c>
      <c r="E388">
        <v>1392.717071</v>
      </c>
      <c r="F388">
        <v>2167640.5598317198</v>
      </c>
      <c r="G388">
        <v>4974723.1826881003</v>
      </c>
      <c r="H388">
        <v>127097171</v>
      </c>
      <c r="I388">
        <v>585054.18431228097</v>
      </c>
      <c r="J388">
        <v>102.4265209</v>
      </c>
      <c r="K388">
        <v>436635.14219955401</v>
      </c>
      <c r="L388">
        <v>0</v>
      </c>
    </row>
    <row r="389" spans="1:12" x14ac:dyDescent="0.3">
      <c r="A389" s="4">
        <v>43729</v>
      </c>
      <c r="B389" s="6">
        <v>1</v>
      </c>
      <c r="C389">
        <v>590145972.03208005</v>
      </c>
      <c r="D389">
        <v>2699713.4299120698</v>
      </c>
      <c r="E389">
        <v>1387.0110709999999</v>
      </c>
      <c r="F389">
        <v>2170638.9861301701</v>
      </c>
      <c r="G389">
        <v>5148989.8540799301</v>
      </c>
      <c r="H389">
        <v>127786988</v>
      </c>
      <c r="I389">
        <v>582146.54457655596</v>
      </c>
      <c r="J389">
        <v>110.44077247</v>
      </c>
      <c r="K389">
        <v>439878.21922260203</v>
      </c>
      <c r="L389">
        <v>0</v>
      </c>
    </row>
    <row r="390" spans="1:12" x14ac:dyDescent="0.3">
      <c r="A390" s="4">
        <v>43728</v>
      </c>
      <c r="B390" s="6">
        <v>1</v>
      </c>
      <c r="C390">
        <v>598969167.01609695</v>
      </c>
      <c r="D390">
        <v>2707974.2791493898</v>
      </c>
      <c r="E390">
        <v>1388.141071</v>
      </c>
      <c r="F390">
        <v>2175829.4382009101</v>
      </c>
      <c r="G390">
        <v>5042162.2747072801</v>
      </c>
      <c r="H390">
        <v>128318594</v>
      </c>
      <c r="I390">
        <v>578115.84970264905</v>
      </c>
      <c r="J390">
        <v>74.408639820000005</v>
      </c>
      <c r="K390">
        <v>444380.16778991697</v>
      </c>
      <c r="L390">
        <v>0</v>
      </c>
    </row>
    <row r="391" spans="1:12" x14ac:dyDescent="0.3">
      <c r="A391" s="4">
        <v>43727</v>
      </c>
      <c r="B391" s="6">
        <v>1</v>
      </c>
      <c r="C391">
        <v>575758493.50810599</v>
      </c>
      <c r="D391">
        <v>2731911.01763009</v>
      </c>
      <c r="E391">
        <v>1398.0410710000001</v>
      </c>
      <c r="F391">
        <v>2172886.14304573</v>
      </c>
      <c r="G391">
        <v>6305764.2987193698</v>
      </c>
      <c r="H391">
        <v>123685568</v>
      </c>
      <c r="I391">
        <v>584608.25258779596</v>
      </c>
      <c r="J391">
        <v>94.179617359999995</v>
      </c>
      <c r="K391">
        <v>441905.67698305403</v>
      </c>
      <c r="L391">
        <v>0</v>
      </c>
    </row>
    <row r="392" spans="1:12" x14ac:dyDescent="0.3">
      <c r="A392" s="4">
        <v>43726</v>
      </c>
      <c r="B392" s="6">
        <v>1</v>
      </c>
      <c r="C392">
        <v>567694731.44622505</v>
      </c>
      <c r="D392">
        <v>2721228.4786553299</v>
      </c>
      <c r="E392">
        <v>1398.121071</v>
      </c>
      <c r="F392">
        <v>2173445.5221591098</v>
      </c>
      <c r="G392">
        <v>5327885.8465438001</v>
      </c>
      <c r="H392">
        <v>123351393</v>
      </c>
      <c r="I392">
        <v>589014.38735555299</v>
      </c>
      <c r="J392">
        <v>89.481739709999999</v>
      </c>
      <c r="K392">
        <v>443683.30792540399</v>
      </c>
      <c r="L392">
        <v>0</v>
      </c>
    </row>
    <row r="393" spans="1:12" x14ac:dyDescent="0.3">
      <c r="A393" s="4">
        <v>43725</v>
      </c>
      <c r="B393" s="6">
        <v>1</v>
      </c>
      <c r="C393">
        <v>545639352.92337203</v>
      </c>
      <c r="D393">
        <v>2744891.82742897</v>
      </c>
      <c r="E393">
        <v>1398.201071</v>
      </c>
      <c r="F393">
        <v>2155088.1100888401</v>
      </c>
      <c r="G393">
        <v>5206721.3235896798</v>
      </c>
      <c r="H393">
        <v>120057437</v>
      </c>
      <c r="I393">
        <v>601580.58325399598</v>
      </c>
      <c r="J393">
        <v>94.527645089999993</v>
      </c>
      <c r="K393">
        <v>432467.76143544202</v>
      </c>
      <c r="L393">
        <v>0</v>
      </c>
    </row>
    <row r="394" spans="1:12" x14ac:dyDescent="0.3">
      <c r="A394" s="4">
        <v>43724</v>
      </c>
      <c r="B394" s="6">
        <v>1</v>
      </c>
      <c r="C394">
        <v>528638159.44595301</v>
      </c>
      <c r="D394">
        <v>2760767.5890767202</v>
      </c>
      <c r="E394">
        <v>1397.9910709999999</v>
      </c>
      <c r="F394">
        <v>2139179.2215201901</v>
      </c>
      <c r="G394">
        <v>5130941.6450094897</v>
      </c>
      <c r="H394">
        <v>120611800</v>
      </c>
      <c r="I394">
        <v>627369.57087126095</v>
      </c>
      <c r="J394">
        <v>95.422375819999999</v>
      </c>
      <c r="K394">
        <v>427118.05778419197</v>
      </c>
      <c r="L394">
        <v>0</v>
      </c>
    </row>
    <row r="395" spans="1:12" x14ac:dyDescent="0.3">
      <c r="A395" s="4">
        <v>43723</v>
      </c>
      <c r="B395" s="6">
        <v>1</v>
      </c>
      <c r="C395">
        <v>519187908.838067</v>
      </c>
      <c r="D395">
        <v>2740553.9504809901</v>
      </c>
      <c r="E395">
        <v>1395.941071</v>
      </c>
      <c r="F395">
        <v>2051905.1188888999</v>
      </c>
      <c r="G395">
        <v>5743736.09251328</v>
      </c>
      <c r="H395">
        <v>127613513</v>
      </c>
      <c r="I395">
        <v>670838.00136676605</v>
      </c>
      <c r="J395">
        <v>97.057672060000002</v>
      </c>
      <c r="K395">
        <v>399119.79990459699</v>
      </c>
      <c r="L395">
        <v>0</v>
      </c>
    </row>
    <row r="396" spans="1:12" x14ac:dyDescent="0.3">
      <c r="A396" s="4">
        <v>43722</v>
      </c>
      <c r="B396" s="6">
        <v>1</v>
      </c>
      <c r="C396">
        <v>503921291.65903199</v>
      </c>
      <c r="D396">
        <v>2774962.52605023</v>
      </c>
      <c r="E396">
        <v>1399.0110709999999</v>
      </c>
      <c r="F396">
        <v>2049653.9387373501</v>
      </c>
      <c r="G396">
        <v>5772366.1264165798</v>
      </c>
      <c r="H396">
        <v>123016852</v>
      </c>
      <c r="I396">
        <v>674656.42206866201</v>
      </c>
      <c r="J396">
        <v>96.98848151</v>
      </c>
      <c r="K396">
        <v>401343.91490648198</v>
      </c>
      <c r="L396">
        <v>0</v>
      </c>
    </row>
    <row r="397" spans="1:12" x14ac:dyDescent="0.3">
      <c r="A397" s="4">
        <v>43721</v>
      </c>
      <c r="B397" s="6">
        <v>1</v>
      </c>
      <c r="C397">
        <v>503002716.99359101</v>
      </c>
      <c r="D397">
        <v>2778912.8473177399</v>
      </c>
      <c r="E397">
        <v>1401.2710709999999</v>
      </c>
      <c r="F397">
        <v>2050833.5018978899</v>
      </c>
      <c r="G397">
        <v>6076151.8419836396</v>
      </c>
      <c r="H397">
        <v>122998597</v>
      </c>
      <c r="I397">
        <v>676746.06327372696</v>
      </c>
      <c r="J397">
        <v>97.051895759999994</v>
      </c>
      <c r="K397">
        <v>400951.96533991402</v>
      </c>
      <c r="L397">
        <v>0</v>
      </c>
    </row>
    <row r="398" spans="1:12" x14ac:dyDescent="0.3">
      <c r="A398" s="4">
        <v>43720</v>
      </c>
      <c r="B398" s="6">
        <v>1</v>
      </c>
      <c r="C398">
        <v>491681168.49749798</v>
      </c>
      <c r="D398">
        <v>2753228.9649788002</v>
      </c>
      <c r="E398">
        <v>1402.601071</v>
      </c>
      <c r="F398">
        <v>2040405.7900841199</v>
      </c>
      <c r="G398">
        <v>5898355.9797073696</v>
      </c>
      <c r="H398">
        <v>120281331</v>
      </c>
      <c r="I398">
        <v>670763.61253624805</v>
      </c>
      <c r="J398">
        <v>97.782323079999998</v>
      </c>
      <c r="K398">
        <v>400386.12751198502</v>
      </c>
      <c r="L398">
        <v>0</v>
      </c>
    </row>
    <row r="399" spans="1:12" x14ac:dyDescent="0.3">
      <c r="A399" s="4">
        <v>43719</v>
      </c>
      <c r="B399" s="6">
        <v>1</v>
      </c>
      <c r="C399">
        <v>493520496.19410098</v>
      </c>
      <c r="D399">
        <v>2735086.56320759</v>
      </c>
      <c r="E399">
        <v>1399.681071</v>
      </c>
      <c r="F399">
        <v>2042609.8391201899</v>
      </c>
      <c r="G399">
        <v>5653552.0091323499</v>
      </c>
      <c r="H399">
        <v>120924578</v>
      </c>
      <c r="I399">
        <v>667833.31308333797</v>
      </c>
      <c r="J399">
        <v>98.222315359999996</v>
      </c>
      <c r="K399">
        <v>401606.97909382801</v>
      </c>
      <c r="L399">
        <v>0</v>
      </c>
    </row>
    <row r="400" spans="1:12" x14ac:dyDescent="0.3">
      <c r="A400" s="4">
        <v>43718</v>
      </c>
      <c r="B400" s="6">
        <v>1</v>
      </c>
      <c r="C400">
        <v>494462891.365053</v>
      </c>
      <c r="D400">
        <v>2732757.7101002298</v>
      </c>
      <c r="E400">
        <v>1399.4610709999999</v>
      </c>
      <c r="F400">
        <v>2035180.2160339199</v>
      </c>
      <c r="G400">
        <v>5676800.8257667702</v>
      </c>
      <c r="H400">
        <v>121371620</v>
      </c>
      <c r="I400">
        <v>668419.53959687101</v>
      </c>
      <c r="J400">
        <v>96.896582989999999</v>
      </c>
      <c r="K400">
        <v>401140.07925778301</v>
      </c>
      <c r="L400">
        <v>0</v>
      </c>
    </row>
    <row r="401" spans="1:12" x14ac:dyDescent="0.3">
      <c r="A401" s="4">
        <v>43717</v>
      </c>
      <c r="B401" s="6">
        <v>1</v>
      </c>
      <c r="C401">
        <v>495729099.871984</v>
      </c>
      <c r="D401">
        <v>2722229.8878248902</v>
      </c>
      <c r="E401">
        <v>1400.8410709999901</v>
      </c>
      <c r="F401">
        <v>2034403.08965796</v>
      </c>
      <c r="G401">
        <v>5516929.0207420103</v>
      </c>
      <c r="H401">
        <v>123041841</v>
      </c>
      <c r="I401">
        <v>673279.56771545799</v>
      </c>
      <c r="J401">
        <v>97.291637919999999</v>
      </c>
      <c r="K401">
        <v>399453.39549573598</v>
      </c>
      <c r="L401">
        <v>0</v>
      </c>
    </row>
    <row r="402" spans="1:12" x14ac:dyDescent="0.3">
      <c r="A402" s="4">
        <v>43716</v>
      </c>
      <c r="B402" s="6">
        <v>1</v>
      </c>
      <c r="C402">
        <v>484931316.90103</v>
      </c>
      <c r="D402">
        <v>2712912.35785953</v>
      </c>
      <c r="E402">
        <v>1400.7610709999999</v>
      </c>
      <c r="F402">
        <v>2033040.5799686899</v>
      </c>
      <c r="G402">
        <v>5806220.9623298896</v>
      </c>
      <c r="H402">
        <v>121413872</v>
      </c>
      <c r="I402">
        <v>676777.43589743495</v>
      </c>
      <c r="J402">
        <v>95.959140099999999</v>
      </c>
      <c r="K402">
        <v>401981.94214392197</v>
      </c>
      <c r="L402">
        <v>0</v>
      </c>
    </row>
    <row r="403" spans="1:12" x14ac:dyDescent="0.3">
      <c r="A403" s="4">
        <v>43715</v>
      </c>
      <c r="B403" s="6">
        <v>1</v>
      </c>
      <c r="C403">
        <v>465220286.15724403</v>
      </c>
      <c r="D403">
        <v>2747456.41070903</v>
      </c>
      <c r="E403">
        <v>1400.0310709999901</v>
      </c>
      <c r="F403">
        <v>2033622.4963982599</v>
      </c>
      <c r="G403">
        <v>5140998.4205514798</v>
      </c>
      <c r="H403">
        <v>117999179</v>
      </c>
      <c r="I403">
        <v>694317.02853780496</v>
      </c>
      <c r="J403">
        <v>95.096306630000001</v>
      </c>
      <c r="K403">
        <v>401568.28255107102</v>
      </c>
      <c r="L403">
        <v>0</v>
      </c>
    </row>
    <row r="404" spans="1:12" x14ac:dyDescent="0.3">
      <c r="A404" s="4">
        <v>43714</v>
      </c>
      <c r="B404" s="6">
        <v>1</v>
      </c>
      <c r="C404">
        <v>476913891.52145302</v>
      </c>
      <c r="D404">
        <v>2739151.6479743598</v>
      </c>
      <c r="E404">
        <v>1399.3310710000001</v>
      </c>
      <c r="F404">
        <v>2094863.62340482</v>
      </c>
      <c r="G404">
        <v>4957061.9942388805</v>
      </c>
      <c r="H404">
        <v>118446049</v>
      </c>
      <c r="I404">
        <v>677764.07072556601</v>
      </c>
      <c r="J404">
        <v>95.424109150000007</v>
      </c>
      <c r="K404">
        <v>465246.602767448</v>
      </c>
      <c r="L404">
        <v>0</v>
      </c>
    </row>
    <row r="405" spans="1:12" x14ac:dyDescent="0.3">
      <c r="A405" s="4">
        <v>43713</v>
      </c>
      <c r="B405" s="6">
        <v>1</v>
      </c>
      <c r="C405">
        <v>480142649.99064702</v>
      </c>
      <c r="D405">
        <v>2744068.7048106999</v>
      </c>
      <c r="E405">
        <v>1396.7210709999999</v>
      </c>
      <c r="F405">
        <v>2092098.40787198</v>
      </c>
      <c r="G405">
        <v>5056310.9080772102</v>
      </c>
      <c r="H405">
        <v>118151445</v>
      </c>
      <c r="I405">
        <v>672652.69000853901</v>
      </c>
      <c r="J405">
        <v>95.690834899999999</v>
      </c>
      <c r="K405">
        <v>464217.32558974798</v>
      </c>
      <c r="L405">
        <v>0</v>
      </c>
    </row>
    <row r="406" spans="1:12" x14ac:dyDescent="0.3">
      <c r="A406" s="4">
        <v>43712</v>
      </c>
      <c r="B406" s="6">
        <v>1</v>
      </c>
      <c r="C406">
        <v>482916925.05999202</v>
      </c>
      <c r="D406">
        <v>2702908.0559736802</v>
      </c>
      <c r="E406">
        <v>1399.121071</v>
      </c>
      <c r="F406">
        <v>2090975.4124832</v>
      </c>
      <c r="G406">
        <v>5382438.5388727803</v>
      </c>
      <c r="H406">
        <v>120958264</v>
      </c>
      <c r="I406">
        <v>674350.58259463601</v>
      </c>
      <c r="J406">
        <v>95.927459150000004</v>
      </c>
      <c r="K406">
        <v>465790.109087096</v>
      </c>
      <c r="L406">
        <v>0</v>
      </c>
    </row>
    <row r="407" spans="1:12" x14ac:dyDescent="0.3">
      <c r="A407" s="4">
        <v>43711</v>
      </c>
      <c r="B407" s="6">
        <v>1</v>
      </c>
      <c r="C407">
        <v>479079183.98811901</v>
      </c>
      <c r="D407">
        <v>2686580.47690847</v>
      </c>
      <c r="E407">
        <v>1398.151071</v>
      </c>
      <c r="F407">
        <v>2084884.6704819901</v>
      </c>
      <c r="G407">
        <v>5284120.0641047601</v>
      </c>
      <c r="H407">
        <v>120591919</v>
      </c>
      <c r="I407">
        <v>673434.51722789905</v>
      </c>
      <c r="J407">
        <v>95.753189829999997</v>
      </c>
      <c r="K407">
        <v>466377.28199470101</v>
      </c>
      <c r="L407">
        <v>0</v>
      </c>
    </row>
    <row r="408" spans="1:12" x14ac:dyDescent="0.3">
      <c r="A408" s="4">
        <v>43710</v>
      </c>
      <c r="B408" s="6">
        <v>1</v>
      </c>
      <c r="C408">
        <v>461024258.10069799</v>
      </c>
      <c r="D408">
        <v>2690122.0582253402</v>
      </c>
      <c r="E408">
        <v>1404.7510709999999</v>
      </c>
      <c r="F408">
        <v>2082113.9159375699</v>
      </c>
      <c r="G408">
        <v>4983260.30668448</v>
      </c>
      <c r="H408">
        <v>116217271</v>
      </c>
      <c r="I408">
        <v>675328.43860770494</v>
      </c>
      <c r="J408">
        <v>95.709598110000002</v>
      </c>
      <c r="K408">
        <v>466288.54262969003</v>
      </c>
      <c r="L408">
        <v>0</v>
      </c>
    </row>
    <row r="409" spans="1:12" x14ac:dyDescent="0.3">
      <c r="A409" s="4">
        <v>43709</v>
      </c>
      <c r="B409" s="6">
        <v>1</v>
      </c>
      <c r="C409">
        <v>463110126.60058701</v>
      </c>
      <c r="D409">
        <v>2672000.35049413</v>
      </c>
      <c r="E409">
        <v>1413.7110709999999</v>
      </c>
      <c r="F409">
        <v>2084499.88306979</v>
      </c>
      <c r="G409">
        <v>4801620.3850339698</v>
      </c>
      <c r="H409">
        <v>115321256</v>
      </c>
      <c r="I409">
        <v>662613.51413468097</v>
      </c>
      <c r="J409">
        <v>96.228350199999994</v>
      </c>
      <c r="K409">
        <v>466345.20565040101</v>
      </c>
      <c r="L409">
        <v>0</v>
      </c>
    </row>
    <row r="410" spans="1:12" x14ac:dyDescent="0.3">
      <c r="A410" s="4">
        <v>43708</v>
      </c>
      <c r="B410" s="6">
        <v>1</v>
      </c>
      <c r="C410">
        <v>454402412.94327801</v>
      </c>
      <c r="D410">
        <v>2693490.44330322</v>
      </c>
      <c r="E410">
        <v>1414.5310709999901</v>
      </c>
      <c r="F410">
        <v>2079780.9978674699</v>
      </c>
      <c r="G410">
        <v>4502743.2750145802</v>
      </c>
      <c r="H410">
        <v>113696268</v>
      </c>
      <c r="I410">
        <v>671130.79511244898</v>
      </c>
      <c r="J410">
        <v>96.621384969999994</v>
      </c>
      <c r="K410">
        <v>464472.28078928002</v>
      </c>
      <c r="L410">
        <v>0</v>
      </c>
    </row>
    <row r="411" spans="1:12" x14ac:dyDescent="0.3">
      <c r="A411" s="4">
        <v>43707</v>
      </c>
      <c r="B411" s="6">
        <v>1</v>
      </c>
      <c r="C411">
        <v>448104538.025446</v>
      </c>
      <c r="D411">
        <v>2650481.2039818498</v>
      </c>
      <c r="E411">
        <v>1411.651071</v>
      </c>
      <c r="F411">
        <v>2071105.0892652399</v>
      </c>
      <c r="G411">
        <v>4858049.2713835696</v>
      </c>
      <c r="H411">
        <v>107265065</v>
      </c>
      <c r="I411">
        <v>631825.79372091603</v>
      </c>
      <c r="J411">
        <v>97.766440110000005</v>
      </c>
      <c r="K411">
        <v>466260.62774488202</v>
      </c>
      <c r="L411">
        <v>0</v>
      </c>
    </row>
    <row r="412" spans="1:12" x14ac:dyDescent="0.3">
      <c r="A412" s="4">
        <v>43706</v>
      </c>
      <c r="B412" s="6">
        <v>1</v>
      </c>
      <c r="C412">
        <v>453141736.67756301</v>
      </c>
      <c r="D412">
        <v>2616667.65382403</v>
      </c>
      <c r="E412">
        <v>1408.3010709999901</v>
      </c>
      <c r="F412">
        <v>2072280.7740078601</v>
      </c>
      <c r="G412">
        <v>4422764.2620203197</v>
      </c>
      <c r="H412">
        <v>107827469</v>
      </c>
      <c r="I412">
        <v>620054.45083381201</v>
      </c>
      <c r="J412">
        <v>97.780830109999997</v>
      </c>
      <c r="K412">
        <v>474187.02847237198</v>
      </c>
      <c r="L412">
        <v>0</v>
      </c>
    </row>
    <row r="413" spans="1:12" x14ac:dyDescent="0.3">
      <c r="A413" s="4">
        <v>43705</v>
      </c>
      <c r="B413" s="6">
        <v>1</v>
      </c>
      <c r="C413">
        <v>477932657.220855</v>
      </c>
      <c r="D413">
        <v>2545831.2274559699</v>
      </c>
      <c r="E413">
        <v>1404.8410709999901</v>
      </c>
      <c r="F413">
        <v>2054983.9193805601</v>
      </c>
      <c r="G413">
        <v>4617877.5330637498</v>
      </c>
      <c r="H413">
        <v>116037079</v>
      </c>
      <c r="I413">
        <v>615516.014215998</v>
      </c>
      <c r="J413">
        <v>97.683101949999994</v>
      </c>
      <c r="K413">
        <v>474238.60456753202</v>
      </c>
      <c r="L413">
        <v>0</v>
      </c>
    </row>
    <row r="414" spans="1:12" x14ac:dyDescent="0.3">
      <c r="A414" s="4">
        <v>43704</v>
      </c>
      <c r="B414" s="6">
        <v>1</v>
      </c>
      <c r="C414">
        <v>473950464.144445</v>
      </c>
      <c r="D414">
        <v>2522739.3269740301</v>
      </c>
      <c r="E414">
        <v>1413.0610710000001</v>
      </c>
      <c r="F414">
        <v>2043383.83224269</v>
      </c>
      <c r="G414">
        <v>4563009.42036507</v>
      </c>
      <c r="H414">
        <v>116371900</v>
      </c>
      <c r="I414">
        <v>616703.23264440906</v>
      </c>
      <c r="J414">
        <v>98.693534270000001</v>
      </c>
      <c r="K414">
        <v>474288.13817504299</v>
      </c>
      <c r="L414">
        <v>0</v>
      </c>
    </row>
    <row r="415" spans="1:12" x14ac:dyDescent="0.3">
      <c r="A415" s="4">
        <v>43703</v>
      </c>
      <c r="B415" s="6">
        <v>1</v>
      </c>
      <c r="C415">
        <v>468524381.88884699</v>
      </c>
      <c r="D415">
        <v>2507937.5812813099</v>
      </c>
      <c r="E415">
        <v>1413.3310710000001</v>
      </c>
      <c r="F415">
        <v>2044591.98893019</v>
      </c>
      <c r="G415">
        <v>4554830.7321592104</v>
      </c>
      <c r="H415">
        <v>115409397</v>
      </c>
      <c r="I415">
        <v>615123.10521266295</v>
      </c>
      <c r="J415">
        <v>99.750033650000006</v>
      </c>
      <c r="K415">
        <v>477707.02154971199</v>
      </c>
      <c r="L415">
        <v>0</v>
      </c>
    </row>
    <row r="416" spans="1:12" x14ac:dyDescent="0.3">
      <c r="A416" s="4">
        <v>43702</v>
      </c>
      <c r="B416" s="6">
        <v>1</v>
      </c>
      <c r="C416">
        <v>476465658.20808101</v>
      </c>
      <c r="D416">
        <v>2492798.8224260099</v>
      </c>
      <c r="E416">
        <v>1411.141071</v>
      </c>
      <c r="F416">
        <v>2053361.8842984899</v>
      </c>
      <c r="G416">
        <v>4120488.3930138098</v>
      </c>
      <c r="H416">
        <v>117288613</v>
      </c>
      <c r="I416">
        <v>611132.83138807805</v>
      </c>
      <c r="J416">
        <v>98.042934459999998</v>
      </c>
      <c r="K416">
        <v>484563.36068354303</v>
      </c>
      <c r="L416">
        <v>0</v>
      </c>
    </row>
    <row r="417" spans="1:12" x14ac:dyDescent="0.3">
      <c r="A417" s="4">
        <v>43701</v>
      </c>
      <c r="B417" s="6">
        <v>1</v>
      </c>
      <c r="C417">
        <v>484586654.25405997</v>
      </c>
      <c r="D417">
        <v>2489242.9170716698</v>
      </c>
      <c r="E417">
        <v>1415.7710709999999</v>
      </c>
      <c r="F417">
        <v>2051159.59749132</v>
      </c>
      <c r="G417">
        <v>3993577.2430652301</v>
      </c>
      <c r="H417">
        <v>118117237</v>
      </c>
      <c r="I417">
        <v>604272.96771883103</v>
      </c>
      <c r="J417">
        <v>96.429635959999999</v>
      </c>
      <c r="K417">
        <v>484767.10633163201</v>
      </c>
      <c r="L417">
        <v>0</v>
      </c>
    </row>
    <row r="418" spans="1:12" x14ac:dyDescent="0.3">
      <c r="A418" s="4">
        <v>43700</v>
      </c>
      <c r="B418" s="6">
        <v>1</v>
      </c>
      <c r="C418">
        <v>474053487.711097</v>
      </c>
      <c r="D418">
        <v>2489707.6424125098</v>
      </c>
      <c r="E418">
        <v>1420.2710709999999</v>
      </c>
      <c r="F418">
        <v>2052112.28094139</v>
      </c>
      <c r="G418">
        <v>3962089.1798391701</v>
      </c>
      <c r="H418">
        <v>114939837</v>
      </c>
      <c r="I418">
        <v>601244.11256996298</v>
      </c>
      <c r="J418">
        <v>95.046519340000003</v>
      </c>
      <c r="K418">
        <v>481506.19396388897</v>
      </c>
      <c r="L418">
        <v>0</v>
      </c>
    </row>
    <row r="419" spans="1:12" x14ac:dyDescent="0.3">
      <c r="A419" s="4">
        <v>43699</v>
      </c>
      <c r="B419" s="6">
        <v>1</v>
      </c>
      <c r="C419">
        <v>467192839.42572701</v>
      </c>
      <c r="D419">
        <v>2500410.8842812199</v>
      </c>
      <c r="E419">
        <v>1420.151071</v>
      </c>
      <c r="F419">
        <v>2057745.87799604</v>
      </c>
      <c r="G419">
        <v>4091608.0504091098</v>
      </c>
      <c r="H419">
        <v>113094436</v>
      </c>
      <c r="I419">
        <v>602816.67288524006</v>
      </c>
      <c r="J419">
        <v>94.050355659999994</v>
      </c>
      <c r="K419">
        <v>489104.200513863</v>
      </c>
      <c r="L419">
        <v>0</v>
      </c>
    </row>
    <row r="420" spans="1:12" x14ac:dyDescent="0.3">
      <c r="A420" s="4">
        <v>43698</v>
      </c>
      <c r="B420" s="6">
        <v>1</v>
      </c>
      <c r="C420">
        <v>483506940.56125599</v>
      </c>
      <c r="D420">
        <v>2465816.1588462298</v>
      </c>
      <c r="E420">
        <v>1419.36107099999</v>
      </c>
      <c r="F420">
        <v>2022900.3660044</v>
      </c>
      <c r="G420">
        <v>3470714.8642268898</v>
      </c>
      <c r="H420">
        <v>117325717</v>
      </c>
      <c r="I420">
        <v>595803.96607759502</v>
      </c>
      <c r="J420">
        <v>94.97795825</v>
      </c>
      <c r="K420">
        <v>455845.34256226901</v>
      </c>
      <c r="L420">
        <v>0</v>
      </c>
    </row>
    <row r="421" spans="1:12" x14ac:dyDescent="0.3">
      <c r="A421" s="4">
        <v>43697</v>
      </c>
      <c r="B421" s="6">
        <v>1</v>
      </c>
      <c r="C421">
        <v>493566007.00617301</v>
      </c>
      <c r="D421">
        <v>2439934.06674542</v>
      </c>
      <c r="E421">
        <v>1417.2410709999999</v>
      </c>
      <c r="F421">
        <v>2001884.87004359</v>
      </c>
      <c r="G421">
        <v>4240179.4624047503</v>
      </c>
      <c r="H421">
        <v>117514504</v>
      </c>
      <c r="I421">
        <v>578433.27426658699</v>
      </c>
      <c r="J421">
        <v>97.613481719999996</v>
      </c>
      <c r="K421">
        <v>445651.00633702299</v>
      </c>
      <c r="L421">
        <v>0</v>
      </c>
    </row>
    <row r="422" spans="1:12" x14ac:dyDescent="0.3">
      <c r="A422" s="4">
        <v>43696</v>
      </c>
      <c r="B422" s="6">
        <v>1</v>
      </c>
      <c r="C422">
        <v>474555037.773444</v>
      </c>
      <c r="D422">
        <v>2438994.8055271199</v>
      </c>
      <c r="E422">
        <v>1418.7210709999999</v>
      </c>
      <c r="F422">
        <v>2009487.1172004</v>
      </c>
      <c r="G422">
        <v>3534402.1076850998</v>
      </c>
      <c r="H422">
        <v>112611947</v>
      </c>
      <c r="I422">
        <v>576314.97952916997</v>
      </c>
      <c r="J422">
        <v>97.158525240000003</v>
      </c>
      <c r="K422">
        <v>452643.38162708998</v>
      </c>
      <c r="L422">
        <v>0</v>
      </c>
    </row>
    <row r="423" spans="1:12" x14ac:dyDescent="0.3">
      <c r="A423" s="4">
        <v>43695</v>
      </c>
      <c r="B423" s="6">
        <v>1</v>
      </c>
      <c r="C423">
        <v>454394552.06670499</v>
      </c>
      <c r="D423">
        <v>2451080.6830997202</v>
      </c>
      <c r="E423">
        <v>1414.13107099999</v>
      </c>
      <c r="F423">
        <v>2001919.6426260199</v>
      </c>
      <c r="G423">
        <v>3617726.5318682101</v>
      </c>
      <c r="H423">
        <v>108714063</v>
      </c>
      <c r="I423">
        <v>583825.05236023804</v>
      </c>
      <c r="J423">
        <v>96.883541730000005</v>
      </c>
      <c r="K423">
        <v>452726.542188172</v>
      </c>
      <c r="L423">
        <v>0</v>
      </c>
    </row>
    <row r="424" spans="1:12" x14ac:dyDescent="0.3">
      <c r="A424" s="4">
        <v>43694</v>
      </c>
      <c r="B424" s="6">
        <v>1</v>
      </c>
      <c r="C424">
        <v>446992870.75385702</v>
      </c>
      <c r="D424">
        <v>2417758.8919399101</v>
      </c>
      <c r="E424">
        <v>1408.113071</v>
      </c>
      <c r="F424">
        <v>1995188.5261228201</v>
      </c>
      <c r="G424">
        <v>4135453.4574801698</v>
      </c>
      <c r="H424">
        <v>102710005</v>
      </c>
      <c r="I424">
        <v>553007.08017013897</v>
      </c>
      <c r="J424">
        <v>97.381488570000002</v>
      </c>
      <c r="K424">
        <v>447922.63345227001</v>
      </c>
      <c r="L424">
        <v>0</v>
      </c>
    </row>
    <row r="425" spans="1:12" x14ac:dyDescent="0.3">
      <c r="A425" s="4">
        <v>43693</v>
      </c>
      <c r="B425" s="6">
        <v>1</v>
      </c>
      <c r="C425">
        <v>450952593.00305402</v>
      </c>
      <c r="D425">
        <v>2400033.9018963799</v>
      </c>
      <c r="E425">
        <v>1419.813071</v>
      </c>
      <c r="F425">
        <v>1997873.98020069</v>
      </c>
      <c r="G425">
        <v>4177525.9350984599</v>
      </c>
      <c r="H425">
        <v>101313790</v>
      </c>
      <c r="I425">
        <v>536676.50174806605</v>
      </c>
      <c r="J425">
        <v>97.441425769999995</v>
      </c>
      <c r="K425">
        <v>449970.21745462198</v>
      </c>
      <c r="L425">
        <v>0</v>
      </c>
    </row>
    <row r="426" spans="1:12" x14ac:dyDescent="0.3">
      <c r="A426" s="4">
        <v>43692</v>
      </c>
      <c r="B426" s="6">
        <v>1</v>
      </c>
      <c r="C426">
        <v>433838982.15401602</v>
      </c>
      <c r="D426">
        <v>2332514.95612157</v>
      </c>
      <c r="E426">
        <v>1418.0030710000001</v>
      </c>
      <c r="F426">
        <v>1955285.6069541799</v>
      </c>
      <c r="G426">
        <v>4256190.5637854999</v>
      </c>
      <c r="H426">
        <v>96675629</v>
      </c>
      <c r="I426">
        <v>517313.93942636898</v>
      </c>
      <c r="J426">
        <v>99.215693009999995</v>
      </c>
      <c r="K426">
        <v>445140.86735056801</v>
      </c>
      <c r="L426">
        <v>0</v>
      </c>
    </row>
    <row r="427" spans="1:12" x14ac:dyDescent="0.3">
      <c r="A427" s="4">
        <v>43691</v>
      </c>
      <c r="B427" s="6">
        <v>1</v>
      </c>
      <c r="C427">
        <v>471109997.86097401</v>
      </c>
      <c r="D427">
        <v>2266044.7759049898</v>
      </c>
      <c r="E427">
        <v>1405.623071</v>
      </c>
      <c r="F427">
        <v>1943691.6984974099</v>
      </c>
      <c r="G427">
        <v>4189440.1902212999</v>
      </c>
      <c r="H427">
        <v>105136857</v>
      </c>
      <c r="I427">
        <v>503432.565600459</v>
      </c>
      <c r="J427">
        <v>96.017847889999999</v>
      </c>
      <c r="K427">
        <v>439644.48234599899</v>
      </c>
      <c r="L427">
        <v>0</v>
      </c>
    </row>
    <row r="428" spans="1:12" x14ac:dyDescent="0.3">
      <c r="A428" s="4">
        <v>43690</v>
      </c>
      <c r="B428" s="6">
        <v>1</v>
      </c>
      <c r="C428">
        <v>470435153.022659</v>
      </c>
      <c r="D428">
        <v>2238779.1350890398</v>
      </c>
      <c r="E428">
        <v>1400.133071</v>
      </c>
      <c r="F428">
        <v>1923324.46794688</v>
      </c>
      <c r="G428">
        <v>4295834.4688552702</v>
      </c>
      <c r="H428">
        <v>103919567</v>
      </c>
      <c r="I428">
        <v>492229.85505873401</v>
      </c>
      <c r="J428">
        <v>96.208793580000005</v>
      </c>
      <c r="K428">
        <v>436020.31252806803</v>
      </c>
      <c r="L428">
        <v>0</v>
      </c>
    </row>
    <row r="429" spans="1:12" x14ac:dyDescent="0.3">
      <c r="A429" s="4">
        <v>43689</v>
      </c>
      <c r="B429" s="6">
        <v>1</v>
      </c>
      <c r="C429">
        <v>481033125.47431803</v>
      </c>
      <c r="D429">
        <v>2226742.9506081799</v>
      </c>
      <c r="E429">
        <v>1395.823071</v>
      </c>
      <c r="F429">
        <v>1923993.61047241</v>
      </c>
      <c r="G429">
        <v>4243053.2363560898</v>
      </c>
      <c r="H429">
        <v>105164713</v>
      </c>
      <c r="I429">
        <v>484540.69756726798</v>
      </c>
      <c r="J429">
        <v>96.054363910000006</v>
      </c>
      <c r="K429">
        <v>436513.29994429101</v>
      </c>
      <c r="L429">
        <v>0</v>
      </c>
    </row>
    <row r="430" spans="1:12" x14ac:dyDescent="0.3">
      <c r="A430" s="4">
        <v>43688</v>
      </c>
      <c r="B430" s="6">
        <v>1</v>
      </c>
      <c r="C430">
        <v>460631579.711757</v>
      </c>
      <c r="D430">
        <v>2240926.2067296002</v>
      </c>
      <c r="E430">
        <v>1397.4930709999901</v>
      </c>
      <c r="F430">
        <v>1917694.4179370999</v>
      </c>
      <c r="G430">
        <v>4123078.1075010002</v>
      </c>
      <c r="H430">
        <v>100825832</v>
      </c>
      <c r="I430">
        <v>488142.49334301602</v>
      </c>
      <c r="J430">
        <v>98.114191340000005</v>
      </c>
      <c r="K430">
        <v>434080.88603601401</v>
      </c>
      <c r="L430">
        <v>0</v>
      </c>
    </row>
    <row r="431" spans="1:12" x14ac:dyDescent="0.3">
      <c r="A431" s="4">
        <v>43687</v>
      </c>
      <c r="B431" s="6">
        <v>1</v>
      </c>
      <c r="C431">
        <v>464280510.910896</v>
      </c>
      <c r="D431">
        <v>2216002.6262050602</v>
      </c>
      <c r="E431">
        <v>1396.5130709999901</v>
      </c>
      <c r="F431">
        <v>1896287.6808895599</v>
      </c>
      <c r="G431">
        <v>3625919.1567785898</v>
      </c>
      <c r="H431">
        <v>101209883</v>
      </c>
      <c r="I431">
        <v>480647.20995393401</v>
      </c>
      <c r="J431">
        <v>98.159264789999995</v>
      </c>
      <c r="K431">
        <v>430545.166229897</v>
      </c>
      <c r="L431">
        <v>0</v>
      </c>
    </row>
    <row r="432" spans="1:12" x14ac:dyDescent="0.3">
      <c r="A432" s="4">
        <v>43686</v>
      </c>
      <c r="B432" s="6">
        <v>1</v>
      </c>
      <c r="C432">
        <v>457112605.87594998</v>
      </c>
      <c r="D432">
        <v>2071744.52409937</v>
      </c>
      <c r="E432">
        <v>1397.9830710000001</v>
      </c>
      <c r="F432">
        <v>1883808.0325127</v>
      </c>
      <c r="G432">
        <v>3856391.9441871499</v>
      </c>
      <c r="H432">
        <v>104874815</v>
      </c>
      <c r="I432">
        <v>472856.37314576801</v>
      </c>
      <c r="J432">
        <v>96.60102655</v>
      </c>
      <c r="K432">
        <v>430692.751319626</v>
      </c>
      <c r="L432">
        <v>0</v>
      </c>
    </row>
    <row r="433" spans="1:12" x14ac:dyDescent="0.3">
      <c r="A433" s="4">
        <v>43685</v>
      </c>
      <c r="B433" s="6">
        <v>1</v>
      </c>
      <c r="C433">
        <v>466808711.619847</v>
      </c>
      <c r="D433">
        <v>2072878.17691763</v>
      </c>
      <c r="E433">
        <v>1396.103071</v>
      </c>
      <c r="F433">
        <v>1884048.9177440701</v>
      </c>
      <c r="G433">
        <v>3751365.16539555</v>
      </c>
      <c r="H433">
        <v>108249512</v>
      </c>
      <c r="I433">
        <v>478302.89855072403</v>
      </c>
      <c r="J433">
        <v>94.07440004</v>
      </c>
      <c r="K433">
        <v>431199.58291628701</v>
      </c>
      <c r="L433">
        <v>0</v>
      </c>
    </row>
    <row r="434" spans="1:12" x14ac:dyDescent="0.3">
      <c r="A434" s="4">
        <v>43684</v>
      </c>
      <c r="B434" s="6">
        <v>1</v>
      </c>
      <c r="C434">
        <v>462690997.34332699</v>
      </c>
      <c r="D434">
        <v>2055672.7007428301</v>
      </c>
      <c r="E434">
        <v>1395.5320809999901</v>
      </c>
      <c r="F434">
        <v>1860844.6706433201</v>
      </c>
      <c r="G434">
        <v>2821232.35250556</v>
      </c>
      <c r="H434">
        <v>105822762</v>
      </c>
      <c r="I434">
        <v>467911.04527767899</v>
      </c>
      <c r="J434">
        <v>90.624574499999994</v>
      </c>
      <c r="K434">
        <v>411800.08703874098</v>
      </c>
      <c r="L434">
        <v>0</v>
      </c>
    </row>
    <row r="435" spans="1:12" x14ac:dyDescent="0.3">
      <c r="A435" s="4">
        <v>43683</v>
      </c>
      <c r="B435" s="6">
        <v>1</v>
      </c>
      <c r="C435">
        <v>484852896.56713903</v>
      </c>
      <c r="D435">
        <v>2089123.67168403</v>
      </c>
      <c r="E435">
        <v>1392.7220809999999</v>
      </c>
      <c r="F435">
        <v>1874475.2756096299</v>
      </c>
      <c r="G435">
        <v>3501977.76217878</v>
      </c>
      <c r="H435">
        <v>106979455</v>
      </c>
      <c r="I435">
        <v>458765.19147476298</v>
      </c>
      <c r="J435">
        <v>86.678411010000005</v>
      </c>
      <c r="K435">
        <v>394865.38529731199</v>
      </c>
      <c r="L435">
        <v>0</v>
      </c>
    </row>
    <row r="436" spans="1:12" x14ac:dyDescent="0.3">
      <c r="A436" s="4">
        <v>43682</v>
      </c>
      <c r="B436" s="6">
        <v>1</v>
      </c>
      <c r="C436">
        <v>465353776.54975301</v>
      </c>
      <c r="D436">
        <v>2098674.6690004901</v>
      </c>
      <c r="E436">
        <v>1391.632081</v>
      </c>
      <c r="F436">
        <v>1879885.93254999</v>
      </c>
      <c r="G436">
        <v>3591549.1324668401</v>
      </c>
      <c r="H436">
        <v>103243127</v>
      </c>
      <c r="I436">
        <v>463368.46191822598</v>
      </c>
      <c r="J436">
        <v>86.000793270000003</v>
      </c>
      <c r="K436">
        <v>398166.72307521303</v>
      </c>
      <c r="L436">
        <v>0</v>
      </c>
    </row>
    <row r="437" spans="1:12" x14ac:dyDescent="0.3">
      <c r="A437" s="4">
        <v>43681</v>
      </c>
      <c r="B437" s="6">
        <v>1</v>
      </c>
      <c r="C437">
        <v>463528928.82128298</v>
      </c>
      <c r="D437">
        <v>2095223.7866042899</v>
      </c>
      <c r="E437">
        <v>1389.4820810000001</v>
      </c>
      <c r="F437">
        <v>1872963.6327112899</v>
      </c>
      <c r="G437">
        <v>3523756.6881331801</v>
      </c>
      <c r="H437">
        <v>102453548</v>
      </c>
      <c r="I437">
        <v>460858.92672394402</v>
      </c>
      <c r="J437">
        <v>86.397595960000004</v>
      </c>
      <c r="K437">
        <v>389872.04301151697</v>
      </c>
      <c r="L437">
        <v>0</v>
      </c>
    </row>
    <row r="438" spans="1:12" x14ac:dyDescent="0.3">
      <c r="A438" s="4">
        <v>43680</v>
      </c>
      <c r="B438" s="6">
        <v>1</v>
      </c>
      <c r="C438">
        <v>453795652.25650799</v>
      </c>
      <c r="D438">
        <v>2093240.0165243701</v>
      </c>
      <c r="E438">
        <v>1390.892081</v>
      </c>
      <c r="F438">
        <v>1881618.7256933399</v>
      </c>
      <c r="G438">
        <v>3266907.1344610602</v>
      </c>
      <c r="H438">
        <v>99770558</v>
      </c>
      <c r="I438">
        <v>457957.21105296898</v>
      </c>
      <c r="J438">
        <v>86.062220249999996</v>
      </c>
      <c r="K438">
        <v>389705.86902237602</v>
      </c>
      <c r="L438">
        <v>0</v>
      </c>
    </row>
    <row r="439" spans="1:12" x14ac:dyDescent="0.3">
      <c r="A439" s="4">
        <v>43679</v>
      </c>
      <c r="B439" s="6">
        <v>1</v>
      </c>
      <c r="C439">
        <v>452173915.99765199</v>
      </c>
      <c r="D439">
        <v>2084834.2034038201</v>
      </c>
      <c r="E439">
        <v>1390.4220809999999</v>
      </c>
      <c r="F439">
        <v>1878510.3568399199</v>
      </c>
      <c r="G439">
        <v>3347295.4075682098</v>
      </c>
      <c r="H439">
        <v>98278292</v>
      </c>
      <c r="I439">
        <v>450838.53387769999</v>
      </c>
      <c r="J439">
        <v>86.41032774</v>
      </c>
      <c r="K439">
        <v>388411.33734084602</v>
      </c>
      <c r="L439">
        <v>0</v>
      </c>
    </row>
    <row r="440" spans="1:12" x14ac:dyDescent="0.3">
      <c r="A440" s="4">
        <v>43678</v>
      </c>
      <c r="B440" s="6">
        <v>1</v>
      </c>
      <c r="C440">
        <v>455081458.27095997</v>
      </c>
      <c r="D440">
        <v>2091400.4939400801</v>
      </c>
      <c r="E440">
        <v>1390.352081</v>
      </c>
      <c r="F440">
        <v>1894904.99626959</v>
      </c>
      <c r="G440">
        <v>3394262.4485671301</v>
      </c>
      <c r="H440">
        <v>95899734</v>
      </c>
      <c r="I440">
        <v>438599.28653098497</v>
      </c>
      <c r="J440">
        <v>86.828720099999998</v>
      </c>
      <c r="K440">
        <v>388440.13717313902</v>
      </c>
      <c r="L440">
        <v>0</v>
      </c>
    </row>
    <row r="441" spans="1:12" x14ac:dyDescent="0.3">
      <c r="A441" s="4">
        <v>43677</v>
      </c>
      <c r="B441" s="6">
        <v>1</v>
      </c>
      <c r="C441">
        <v>438314944.23524803</v>
      </c>
      <c r="D441">
        <v>2092937.22135082</v>
      </c>
      <c r="E441">
        <v>1388.6720809999999</v>
      </c>
      <c r="F441">
        <v>1902079.42850144</v>
      </c>
      <c r="G441">
        <v>3291029.0545934299</v>
      </c>
      <c r="H441">
        <v>91974600</v>
      </c>
      <c r="I441">
        <v>437162.41266219801</v>
      </c>
      <c r="J441">
        <v>85.245107239999996</v>
      </c>
      <c r="K441">
        <v>384477.61241610401</v>
      </c>
      <c r="L441">
        <v>0</v>
      </c>
    </row>
    <row r="442" spans="1:12" x14ac:dyDescent="0.3">
      <c r="A442" s="4">
        <v>43676</v>
      </c>
      <c r="B442" s="6">
        <v>1</v>
      </c>
      <c r="C442">
        <v>438732078.00751698</v>
      </c>
      <c r="D442">
        <v>2087794.4147046199</v>
      </c>
      <c r="E442">
        <v>1388.112081</v>
      </c>
      <c r="F442">
        <v>1915916.2518634701</v>
      </c>
      <c r="G442">
        <v>3204505.8229375598</v>
      </c>
      <c r="H442">
        <v>91584802</v>
      </c>
      <c r="I442">
        <v>433866.13292908203</v>
      </c>
      <c r="J442">
        <v>83.737576820000001</v>
      </c>
      <c r="K442">
        <v>399042.03381695203</v>
      </c>
      <c r="L442">
        <v>0</v>
      </c>
    </row>
    <row r="443" spans="1:12" x14ac:dyDescent="0.3">
      <c r="A443" s="4">
        <v>43675</v>
      </c>
      <c r="B443" s="6">
        <v>1</v>
      </c>
      <c r="C443">
        <v>436845251.32945597</v>
      </c>
      <c r="D443">
        <v>2075208.7965154799</v>
      </c>
      <c r="E443">
        <v>1393.122081</v>
      </c>
      <c r="F443">
        <v>1898772.54113411</v>
      </c>
      <c r="G443">
        <v>3391721.8141863099</v>
      </c>
      <c r="H443">
        <v>92162266</v>
      </c>
      <c r="I443">
        <v>436333.046113057</v>
      </c>
      <c r="J443">
        <v>84.353091320000004</v>
      </c>
      <c r="K443">
        <v>393625.45433153899</v>
      </c>
      <c r="L443">
        <v>0</v>
      </c>
    </row>
    <row r="444" spans="1:12" x14ac:dyDescent="0.3">
      <c r="A444" s="4">
        <v>43674</v>
      </c>
      <c r="B444" s="6">
        <v>1</v>
      </c>
      <c r="C444">
        <v>428343278.61729997</v>
      </c>
      <c r="D444">
        <v>2072164.7092855</v>
      </c>
      <c r="E444">
        <v>1393.352081</v>
      </c>
      <c r="F444">
        <v>1882920.32872446</v>
      </c>
      <c r="G444">
        <v>3319262.3258698201</v>
      </c>
      <c r="H444">
        <v>90268076</v>
      </c>
      <c r="I444">
        <v>435194.65818146698</v>
      </c>
      <c r="J444">
        <v>83.836597449999999</v>
      </c>
      <c r="K444">
        <v>379455.73559399397</v>
      </c>
      <c r="L444">
        <v>0</v>
      </c>
    </row>
    <row r="445" spans="1:12" x14ac:dyDescent="0.3">
      <c r="A445" s="4">
        <v>43673</v>
      </c>
      <c r="B445" s="6">
        <v>1</v>
      </c>
      <c r="C445">
        <v>451925509.31457502</v>
      </c>
      <c r="D445">
        <v>2063804.3147785701</v>
      </c>
      <c r="E445">
        <v>1391.9620809999999</v>
      </c>
      <c r="F445">
        <v>1873849.66069691</v>
      </c>
      <c r="G445">
        <v>3200987.35798168</v>
      </c>
      <c r="H445">
        <v>94427059</v>
      </c>
      <c r="I445">
        <v>429780.43329843797</v>
      </c>
      <c r="J445">
        <v>82.165192480000002</v>
      </c>
      <c r="K445">
        <v>372119.75452409702</v>
      </c>
      <c r="L445">
        <v>0</v>
      </c>
    </row>
    <row r="446" spans="1:12" x14ac:dyDescent="0.3">
      <c r="A446" s="4">
        <v>43672</v>
      </c>
      <c r="B446" s="6">
        <v>1</v>
      </c>
      <c r="C446">
        <v>446465884.19103998</v>
      </c>
      <c r="D446">
        <v>2040126.7486338799</v>
      </c>
      <c r="E446">
        <v>1398.39229241</v>
      </c>
      <c r="F446">
        <v>1880467.2228872101</v>
      </c>
      <c r="G446">
        <v>3268344.31061297</v>
      </c>
      <c r="H446">
        <v>87993292</v>
      </c>
      <c r="I446">
        <v>400698.051001821</v>
      </c>
      <c r="J446">
        <v>81.486040759999995</v>
      </c>
      <c r="K446">
        <v>370903.39575123298</v>
      </c>
      <c r="L446">
        <v>0</v>
      </c>
    </row>
    <row r="447" spans="1:12" x14ac:dyDescent="0.3">
      <c r="A447" s="4">
        <v>43671</v>
      </c>
      <c r="B447" s="6">
        <v>1</v>
      </c>
      <c r="C447">
        <v>442652914.18433499</v>
      </c>
      <c r="D447">
        <v>2047600.2811966899</v>
      </c>
      <c r="E447">
        <v>1398.49590711</v>
      </c>
      <c r="F447">
        <v>1903153.4402123201</v>
      </c>
      <c r="G447">
        <v>3449521.3680762202</v>
      </c>
      <c r="H447">
        <v>84824281</v>
      </c>
      <c r="I447">
        <v>391021.44009588298</v>
      </c>
      <c r="J447">
        <v>81.597879340000006</v>
      </c>
      <c r="K447">
        <v>378690.99939837703</v>
      </c>
      <c r="L447">
        <v>0</v>
      </c>
    </row>
    <row r="448" spans="1:12" x14ac:dyDescent="0.3">
      <c r="A448" s="4">
        <v>43670</v>
      </c>
      <c r="B448" s="6">
        <v>1</v>
      </c>
      <c r="C448">
        <v>433684435.04163301</v>
      </c>
      <c r="D448">
        <v>2049600.8524466599</v>
      </c>
      <c r="E448">
        <v>1387.5410809999901</v>
      </c>
      <c r="F448">
        <v>1909287.71504526</v>
      </c>
      <c r="G448">
        <v>3358445.0125434501</v>
      </c>
      <c r="H448">
        <v>81178206</v>
      </c>
      <c r="I448">
        <v>382320.94381387398</v>
      </c>
      <c r="J448">
        <v>81.132560940000005</v>
      </c>
      <c r="K448">
        <v>376124.58406931901</v>
      </c>
      <c r="L448">
        <v>0</v>
      </c>
    </row>
    <row r="449" spans="1:12" x14ac:dyDescent="0.3">
      <c r="A449" s="4">
        <v>43669</v>
      </c>
      <c r="B449" s="6">
        <v>1</v>
      </c>
      <c r="C449">
        <v>451669781.92741001</v>
      </c>
      <c r="D449">
        <v>2085946.33360934</v>
      </c>
      <c r="E449">
        <v>1389.0610810000001</v>
      </c>
      <c r="F449">
        <v>1953567.04212192</v>
      </c>
      <c r="G449">
        <v>3281063.9535025</v>
      </c>
      <c r="H449">
        <v>78931356</v>
      </c>
      <c r="I449">
        <v>363103.11896218598</v>
      </c>
      <c r="J449">
        <v>79.684343889999994</v>
      </c>
      <c r="K449">
        <v>372912.88168413099</v>
      </c>
      <c r="L449">
        <v>0</v>
      </c>
    </row>
    <row r="450" spans="1:12" x14ac:dyDescent="0.3">
      <c r="A450" s="4">
        <v>43668</v>
      </c>
      <c r="B450" s="6">
        <v>1</v>
      </c>
      <c r="C450">
        <v>480632982.87672198</v>
      </c>
      <c r="D450">
        <v>2140799.0991390701</v>
      </c>
      <c r="E450">
        <v>1460.2910809999901</v>
      </c>
      <c r="F450">
        <v>2035940.96087906</v>
      </c>
      <c r="G450">
        <v>3148233.9228201099</v>
      </c>
      <c r="H450">
        <v>75605670</v>
      </c>
      <c r="I450">
        <v>335518.19472796598</v>
      </c>
      <c r="J450">
        <v>79.68386031</v>
      </c>
      <c r="K450">
        <v>370364.50567197002</v>
      </c>
      <c r="L450">
        <v>0</v>
      </c>
    </row>
    <row r="451" spans="1:12" x14ac:dyDescent="0.3">
      <c r="A451" s="4">
        <v>43667</v>
      </c>
      <c r="B451" s="6">
        <v>1</v>
      </c>
      <c r="C451">
        <v>485740630.51570499</v>
      </c>
      <c r="D451">
        <v>2129190.2511465298</v>
      </c>
      <c r="E451">
        <v>1461.9610809999999</v>
      </c>
      <c r="F451">
        <v>2025048.7876969001</v>
      </c>
      <c r="G451">
        <v>2983002.27468037</v>
      </c>
      <c r="H451">
        <v>74898713</v>
      </c>
      <c r="I451">
        <v>327140.04367765802</v>
      </c>
      <c r="J451">
        <v>79.812184049999999</v>
      </c>
      <c r="K451">
        <v>364998.37351530202</v>
      </c>
      <c r="L451">
        <v>0</v>
      </c>
    </row>
    <row r="452" spans="1:12" x14ac:dyDescent="0.3">
      <c r="A452" s="4">
        <v>43666</v>
      </c>
      <c r="B452" s="6">
        <v>1</v>
      </c>
      <c r="C452">
        <v>469165938.60057402</v>
      </c>
      <c r="D452">
        <v>2126918.8581236699</v>
      </c>
      <c r="E452">
        <v>1461.921081</v>
      </c>
      <c r="F452">
        <v>2031802.4110966399</v>
      </c>
      <c r="G452">
        <v>2980743.17746269</v>
      </c>
      <c r="H452">
        <v>70424398</v>
      </c>
      <c r="I452">
        <v>318101.07954288798</v>
      </c>
      <c r="J452">
        <v>79.810930420000005</v>
      </c>
      <c r="K452">
        <v>365252.529044347</v>
      </c>
      <c r="L452">
        <v>0</v>
      </c>
    </row>
    <row r="453" spans="1:12" x14ac:dyDescent="0.3">
      <c r="A453" s="4">
        <v>43665</v>
      </c>
      <c r="B453" s="6">
        <v>1</v>
      </c>
      <c r="C453">
        <v>479328333.44299197</v>
      </c>
      <c r="D453">
        <v>2130123.6117261499</v>
      </c>
      <c r="E453">
        <v>1461.5010809999901</v>
      </c>
      <c r="F453">
        <v>2057375.8912029699</v>
      </c>
      <c r="G453">
        <v>2978851.9718825999</v>
      </c>
      <c r="H453">
        <v>66234872</v>
      </c>
      <c r="I453">
        <v>293308.26321849198</v>
      </c>
      <c r="J453">
        <v>80.807065210000005</v>
      </c>
      <c r="K453">
        <v>363543.69136464101</v>
      </c>
      <c r="L453">
        <v>0</v>
      </c>
    </row>
    <row r="454" spans="1:12" x14ac:dyDescent="0.3">
      <c r="A454" s="4">
        <v>43664</v>
      </c>
      <c r="B454" s="6">
        <v>1</v>
      </c>
      <c r="C454">
        <v>446402244.40660399</v>
      </c>
      <c r="D454">
        <v>2122907.6188224098</v>
      </c>
      <c r="E454">
        <v>1461.5410809999901</v>
      </c>
      <c r="F454">
        <v>2055189.6609768299</v>
      </c>
      <c r="G454">
        <v>2920052.2961208099</v>
      </c>
      <c r="H454">
        <v>61276553</v>
      </c>
      <c r="I454">
        <v>289792.16363206401</v>
      </c>
      <c r="J454">
        <v>79.567560490000005</v>
      </c>
      <c r="K454">
        <v>363866.56754090899</v>
      </c>
      <c r="L454">
        <v>0</v>
      </c>
    </row>
    <row r="455" spans="1:12" x14ac:dyDescent="0.3">
      <c r="A455" s="4">
        <v>43663</v>
      </c>
      <c r="B455" s="6">
        <v>1</v>
      </c>
      <c r="C455">
        <v>408144594.78322101</v>
      </c>
      <c r="D455">
        <v>2063105.87080207</v>
      </c>
      <c r="E455">
        <v>1461.2910809999901</v>
      </c>
      <c r="F455">
        <v>2013176.4916701501</v>
      </c>
      <c r="G455">
        <v>3057928.4520509299</v>
      </c>
      <c r="H455">
        <v>52856494</v>
      </c>
      <c r="I455">
        <v>266132.08801168099</v>
      </c>
      <c r="J455">
        <v>89.413731810000002</v>
      </c>
      <c r="K455">
        <v>352769.56111503497</v>
      </c>
      <c r="L455">
        <v>0</v>
      </c>
    </row>
    <row r="456" spans="1:12" x14ac:dyDescent="0.3">
      <c r="A456" s="4">
        <v>43662</v>
      </c>
      <c r="B456" s="6">
        <v>1</v>
      </c>
      <c r="C456">
        <v>458278493.249928</v>
      </c>
      <c r="D456">
        <v>2014642.2495729399</v>
      </c>
      <c r="E456">
        <v>1459.841081</v>
      </c>
      <c r="F456">
        <v>1961323.4851222299</v>
      </c>
      <c r="G456">
        <v>3159119.3473112802</v>
      </c>
      <c r="H456">
        <v>58695628</v>
      </c>
      <c r="I456">
        <v>257087.41623231501</v>
      </c>
      <c r="J456">
        <v>86.663459869999997</v>
      </c>
      <c r="K456">
        <v>340978.33153636602</v>
      </c>
      <c r="L456">
        <v>0</v>
      </c>
    </row>
    <row r="457" spans="1:12" x14ac:dyDescent="0.3">
      <c r="A457" s="4">
        <v>43661</v>
      </c>
      <c r="B457" s="6">
        <v>1</v>
      </c>
      <c r="C457">
        <v>447903612.04081398</v>
      </c>
      <c r="D457">
        <v>1986121.9099385701</v>
      </c>
      <c r="E457">
        <v>1463.0510810000001</v>
      </c>
      <c r="F457">
        <v>1950525.7536631499</v>
      </c>
      <c r="G457">
        <v>3206786.8079260099</v>
      </c>
      <c r="H457">
        <v>51689387</v>
      </c>
      <c r="I457">
        <v>228420.995183172</v>
      </c>
      <c r="J457">
        <v>87.950360720000006</v>
      </c>
      <c r="K457">
        <v>330790.80398916302</v>
      </c>
      <c r="L457">
        <v>0</v>
      </c>
    </row>
    <row r="458" spans="1:12" x14ac:dyDescent="0.3">
      <c r="A458" s="4">
        <v>43660</v>
      </c>
      <c r="B458" s="6">
        <v>1</v>
      </c>
      <c r="C458">
        <v>522874254.70902801</v>
      </c>
      <c r="D458">
        <v>1948723.7741456099</v>
      </c>
      <c r="E458">
        <v>1462.7910809999901</v>
      </c>
      <c r="F458">
        <v>1924092.15103214</v>
      </c>
      <c r="G458">
        <v>2924619.6998900599</v>
      </c>
      <c r="H458">
        <v>52912866</v>
      </c>
      <c r="I458">
        <v>196555.96582466501</v>
      </c>
      <c r="J458">
        <v>90.418631559999994</v>
      </c>
      <c r="K458">
        <v>303663.14031275897</v>
      </c>
      <c r="L458">
        <v>0</v>
      </c>
    </row>
    <row r="459" spans="1:12" x14ac:dyDescent="0.3">
      <c r="A459" s="4">
        <v>43659</v>
      </c>
      <c r="B459" s="6">
        <v>1</v>
      </c>
      <c r="C459">
        <v>534128889.461725</v>
      </c>
      <c r="D459">
        <v>1950916.55380806</v>
      </c>
      <c r="E459">
        <v>1472.421081</v>
      </c>
      <c r="F459">
        <v>1895153.4930076499</v>
      </c>
      <c r="G459">
        <v>3197107.3441111301</v>
      </c>
      <c r="H459">
        <v>53295626</v>
      </c>
      <c r="I459">
        <v>194028.05446337501</v>
      </c>
      <c r="J459">
        <v>91.136065009999996</v>
      </c>
      <c r="K459">
        <v>272399.45410992298</v>
      </c>
      <c r="L459">
        <v>0</v>
      </c>
    </row>
    <row r="460" spans="1:12" x14ac:dyDescent="0.3">
      <c r="A460" s="4">
        <v>43658</v>
      </c>
      <c r="B460" s="6">
        <v>1</v>
      </c>
      <c r="C460">
        <v>522466190.99501401</v>
      </c>
      <c r="D460">
        <v>1950695.2077984801</v>
      </c>
      <c r="E460">
        <v>1470.9410809999999</v>
      </c>
      <c r="F460">
        <v>1901677.4679765401</v>
      </c>
      <c r="G460">
        <v>3187488.2917646002</v>
      </c>
      <c r="H460">
        <v>50908673</v>
      </c>
      <c r="I460">
        <v>189413.52457491501</v>
      </c>
      <c r="J460">
        <v>98.238957310000004</v>
      </c>
      <c r="K460">
        <v>271459.62162458099</v>
      </c>
      <c r="L460">
        <v>0</v>
      </c>
    </row>
    <row r="461" spans="1:12" x14ac:dyDescent="0.3">
      <c r="A461" s="4">
        <v>43657</v>
      </c>
      <c r="B461" s="6">
        <v>1</v>
      </c>
      <c r="C461">
        <v>556818549.86145496</v>
      </c>
      <c r="D461">
        <v>1936342.14666943</v>
      </c>
      <c r="E461">
        <v>1470.901081</v>
      </c>
      <c r="F461">
        <v>1890291.00538574</v>
      </c>
      <c r="G461">
        <v>3011774.9988472401</v>
      </c>
      <c r="H461">
        <v>52865139</v>
      </c>
      <c r="I461">
        <v>183215.98045331601</v>
      </c>
      <c r="J461">
        <v>97.720849459999997</v>
      </c>
      <c r="K461">
        <v>266042.491306588</v>
      </c>
      <c r="L461">
        <v>0</v>
      </c>
    </row>
    <row r="462" spans="1:12" x14ac:dyDescent="0.3">
      <c r="A462" s="4">
        <v>43656</v>
      </c>
      <c r="B462" s="6">
        <v>1</v>
      </c>
      <c r="C462">
        <v>592248599.188025</v>
      </c>
      <c r="D462">
        <v>1929591.5332402301</v>
      </c>
      <c r="E462">
        <v>1469.9410809999999</v>
      </c>
      <c r="F462">
        <v>1856914.2925488099</v>
      </c>
      <c r="G462">
        <v>3199663.9484475101</v>
      </c>
      <c r="H462">
        <v>55091830</v>
      </c>
      <c r="I462">
        <v>178921.860283849</v>
      </c>
      <c r="J462">
        <v>97.212060980000004</v>
      </c>
      <c r="K462">
        <v>235232.03058549899</v>
      </c>
      <c r="L462">
        <v>0</v>
      </c>
    </row>
    <row r="463" spans="1:12" x14ac:dyDescent="0.3">
      <c r="A463" s="4">
        <v>43655</v>
      </c>
      <c r="B463" s="6">
        <v>1</v>
      </c>
      <c r="C463">
        <v>600479884.55833805</v>
      </c>
      <c r="D463">
        <v>1925343.0909381399</v>
      </c>
      <c r="E463">
        <v>1462.831081</v>
      </c>
      <c r="F463">
        <v>1847270.91774882</v>
      </c>
      <c r="G463">
        <v>3614376.7274537301</v>
      </c>
      <c r="H463">
        <v>54962843</v>
      </c>
      <c r="I463">
        <v>175684.33114911299</v>
      </c>
      <c r="J463">
        <v>92.630913000000007</v>
      </c>
      <c r="K463">
        <v>231095.23637159701</v>
      </c>
      <c r="L463">
        <v>0</v>
      </c>
    </row>
    <row r="464" spans="1:12" x14ac:dyDescent="0.3">
      <c r="A464" s="4">
        <v>43654</v>
      </c>
      <c r="B464" s="6">
        <v>1</v>
      </c>
      <c r="C464">
        <v>586867722.49945402</v>
      </c>
      <c r="D464">
        <v>1924793.8305528299</v>
      </c>
      <c r="E464">
        <v>1461.0510810000001</v>
      </c>
      <c r="F464">
        <v>1817373.2226899001</v>
      </c>
      <c r="G464">
        <v>3625938.9164738301</v>
      </c>
      <c r="H464">
        <v>54302050</v>
      </c>
      <c r="I464">
        <v>177631.828590121</v>
      </c>
      <c r="J464">
        <v>79.68181294</v>
      </c>
      <c r="K464">
        <v>200792.83082026799</v>
      </c>
      <c r="L464">
        <v>0</v>
      </c>
    </row>
    <row r="465" spans="1:12" x14ac:dyDescent="0.3">
      <c r="A465" s="4">
        <v>43653</v>
      </c>
      <c r="B465" s="6">
        <v>1</v>
      </c>
      <c r="C465">
        <v>556339192.86403501</v>
      </c>
      <c r="D465">
        <v>1931841.96524574</v>
      </c>
      <c r="E465">
        <v>1501.661081</v>
      </c>
      <c r="F465">
        <v>1814539.59168331</v>
      </c>
      <c r="G465">
        <v>4402420.2691789903</v>
      </c>
      <c r="H465">
        <v>51580009</v>
      </c>
      <c r="I465">
        <v>178904.68245985199</v>
      </c>
      <c r="J465">
        <v>0</v>
      </c>
      <c r="K465">
        <v>199425.219556489</v>
      </c>
      <c r="L465">
        <v>0</v>
      </c>
    </row>
    <row r="466" spans="1:12" x14ac:dyDescent="0.3">
      <c r="A466" s="4">
        <v>43652</v>
      </c>
      <c r="B466" s="6">
        <v>1</v>
      </c>
      <c r="C466">
        <v>554601927.20279896</v>
      </c>
      <c r="D466">
        <v>1933528.0321760599</v>
      </c>
      <c r="E466">
        <v>1499.621081</v>
      </c>
      <c r="F466">
        <v>1809503.7378138599</v>
      </c>
      <c r="G466">
        <v>4341360.1062499201</v>
      </c>
      <c r="H466">
        <v>50858891</v>
      </c>
      <c r="I466">
        <v>177103.77476755899</v>
      </c>
      <c r="J466">
        <v>0</v>
      </c>
      <c r="K466">
        <v>180623.953280204</v>
      </c>
      <c r="L466">
        <v>0</v>
      </c>
    </row>
    <row r="467" spans="1:12" x14ac:dyDescent="0.3">
      <c r="A467" s="4">
        <v>43651</v>
      </c>
      <c r="B467" s="6">
        <v>1</v>
      </c>
      <c r="C467">
        <v>545405359.189924</v>
      </c>
      <c r="D467">
        <v>1926057.67643635</v>
      </c>
      <c r="E467">
        <v>1500.5110810000001</v>
      </c>
      <c r="F467">
        <v>1780997.4993439401</v>
      </c>
      <c r="G467">
        <v>3979970.38930857</v>
      </c>
      <c r="H467">
        <v>48204081</v>
      </c>
      <c r="I467">
        <v>170014.040842238</v>
      </c>
      <c r="J467">
        <v>0</v>
      </c>
      <c r="K467">
        <v>149736.45599577899</v>
      </c>
      <c r="L467">
        <v>0</v>
      </c>
    </row>
    <row r="468" spans="1:12" x14ac:dyDescent="0.3">
      <c r="A468" s="4">
        <v>43650</v>
      </c>
      <c r="B468" s="6">
        <v>1</v>
      </c>
      <c r="C468">
        <v>578226136.17110801</v>
      </c>
      <c r="D468">
        <v>1916850.72996325</v>
      </c>
      <c r="E468">
        <v>1499.4910809999999</v>
      </c>
      <c r="F468">
        <v>1782364.2291098</v>
      </c>
      <c r="G468">
        <v>3325420.85007161</v>
      </c>
      <c r="H468">
        <v>47697753</v>
      </c>
      <c r="I468">
        <v>157902.979441851</v>
      </c>
      <c r="J468">
        <v>0</v>
      </c>
      <c r="K468">
        <v>148253.27836125001</v>
      </c>
      <c r="L468">
        <v>0</v>
      </c>
    </row>
    <row r="469" spans="1:12" x14ac:dyDescent="0.3">
      <c r="A469" s="4">
        <v>43649</v>
      </c>
      <c r="B469" s="6">
        <v>1</v>
      </c>
      <c r="C469">
        <v>552767563.48993301</v>
      </c>
      <c r="D469">
        <v>1897630.65688425</v>
      </c>
      <c r="E469">
        <v>1498.2010809999999</v>
      </c>
      <c r="F469">
        <v>1769343.70620827</v>
      </c>
      <c r="G469">
        <v>3460786.0253967601</v>
      </c>
      <c r="H469">
        <v>43529555</v>
      </c>
      <c r="I469">
        <v>149237.36629182601</v>
      </c>
      <c r="J469">
        <v>0</v>
      </c>
      <c r="K469">
        <v>141213.64732632801</v>
      </c>
      <c r="L469">
        <v>0</v>
      </c>
    </row>
    <row r="470" spans="1:12" x14ac:dyDescent="0.3">
      <c r="A470" s="4">
        <v>43648</v>
      </c>
      <c r="B470" s="6">
        <v>1</v>
      </c>
      <c r="C470">
        <v>552508659.025738</v>
      </c>
      <c r="D470">
        <v>1877604.08634265</v>
      </c>
      <c r="E470">
        <v>1505.9510809999999</v>
      </c>
      <c r="F470">
        <v>1756047.9729968901</v>
      </c>
      <c r="G470">
        <v>3848295.6246703998</v>
      </c>
      <c r="H470">
        <v>44057539</v>
      </c>
      <c r="I470">
        <v>149530.06720065101</v>
      </c>
      <c r="J470">
        <v>0</v>
      </c>
      <c r="K470">
        <v>136070.58573906601</v>
      </c>
      <c r="L470">
        <v>0</v>
      </c>
    </row>
    <row r="471" spans="1:12" x14ac:dyDescent="0.3">
      <c r="A471" s="4">
        <v>43647</v>
      </c>
      <c r="B471" s="6">
        <v>1</v>
      </c>
      <c r="C471">
        <v>540177012.16171801</v>
      </c>
      <c r="D471">
        <v>1864475.79622225</v>
      </c>
      <c r="E471">
        <v>1495.678443</v>
      </c>
      <c r="F471">
        <v>1745973.6778208399</v>
      </c>
      <c r="G471">
        <v>3629951.15671277</v>
      </c>
      <c r="H471">
        <v>42825469</v>
      </c>
      <c r="I471">
        <v>147612.94981386999</v>
      </c>
      <c r="J471">
        <v>0</v>
      </c>
      <c r="K471">
        <v>132859.00193771199</v>
      </c>
      <c r="L471">
        <v>0</v>
      </c>
    </row>
    <row r="472" spans="1:12" x14ac:dyDescent="0.3">
      <c r="A472" s="4">
        <v>43646</v>
      </c>
      <c r="B472" s="6">
        <v>1</v>
      </c>
      <c r="C472">
        <v>590729811.40374804</v>
      </c>
      <c r="D472">
        <v>1856795.65285624</v>
      </c>
      <c r="E472">
        <v>1480.8484429999901</v>
      </c>
      <c r="F472">
        <v>1739761.4409185001</v>
      </c>
      <c r="G472">
        <v>4240034.6260642298</v>
      </c>
      <c r="H472">
        <v>45898567</v>
      </c>
      <c r="I472">
        <v>144063.29880728101</v>
      </c>
      <c r="J472">
        <v>0</v>
      </c>
      <c r="K472">
        <v>130524.82219879801</v>
      </c>
      <c r="L472">
        <v>0</v>
      </c>
    </row>
    <row r="473" spans="1:12" x14ac:dyDescent="0.3">
      <c r="A473" s="4">
        <v>43645</v>
      </c>
      <c r="B473" s="6">
        <v>1</v>
      </c>
      <c r="C473">
        <v>579561399.78733897</v>
      </c>
      <c r="D473">
        <v>1866143.38852274</v>
      </c>
      <c r="E473">
        <v>1479.2784429999999</v>
      </c>
      <c r="F473">
        <v>1740009.7641245299</v>
      </c>
      <c r="G473">
        <v>4340174.1491583996</v>
      </c>
      <c r="H473">
        <v>45630033</v>
      </c>
      <c r="I473">
        <v>146696.778652949</v>
      </c>
      <c r="J473">
        <v>0</v>
      </c>
      <c r="K473">
        <v>128838.945144247</v>
      </c>
      <c r="L473">
        <v>0</v>
      </c>
    </row>
    <row r="474" spans="1:12" x14ac:dyDescent="0.3">
      <c r="A474" s="4">
        <v>43644</v>
      </c>
      <c r="B474" s="6">
        <v>1</v>
      </c>
      <c r="C474">
        <v>552653010.33256495</v>
      </c>
      <c r="D474">
        <v>1876219.3126355701</v>
      </c>
      <c r="E474">
        <v>1479.188443</v>
      </c>
      <c r="F474">
        <v>1751641.9542410399</v>
      </c>
      <c r="G474">
        <v>3961397.8778000898</v>
      </c>
      <c r="H474">
        <v>42656586</v>
      </c>
      <c r="I474">
        <v>144578.99267895799</v>
      </c>
      <c r="J474">
        <v>0</v>
      </c>
      <c r="K474">
        <v>129097.963464306</v>
      </c>
      <c r="L474">
        <v>0</v>
      </c>
    </row>
    <row r="475" spans="1:12" x14ac:dyDescent="0.3">
      <c r="A475" s="4">
        <v>43643</v>
      </c>
      <c r="B475" s="6">
        <v>1</v>
      </c>
      <c r="C475">
        <v>621876806.15288496</v>
      </c>
      <c r="D475">
        <v>1867792.0388465901</v>
      </c>
      <c r="E475">
        <v>1479.168443</v>
      </c>
      <c r="F475">
        <v>1750123.53972179</v>
      </c>
      <c r="G475">
        <v>3083593.3906946098</v>
      </c>
      <c r="H475">
        <v>46349432</v>
      </c>
      <c r="I475">
        <v>138928.81721719299</v>
      </c>
      <c r="J475">
        <v>0</v>
      </c>
      <c r="K475">
        <v>127056.268057692</v>
      </c>
      <c r="L475">
        <v>0</v>
      </c>
    </row>
    <row r="476" spans="1:12" x14ac:dyDescent="0.3">
      <c r="A476" s="4">
        <v>43642</v>
      </c>
      <c r="B476" s="6">
        <v>1</v>
      </c>
      <c r="C476">
        <v>602050159.242046</v>
      </c>
      <c r="D476">
        <v>1908995.6886455</v>
      </c>
      <c r="E476">
        <v>1477.3384430000001</v>
      </c>
      <c r="F476">
        <v>1794996.16012723</v>
      </c>
      <c r="G476">
        <v>3025401.6527002198</v>
      </c>
      <c r="H476">
        <v>43745016</v>
      </c>
      <c r="I476">
        <v>138473.03345889601</v>
      </c>
      <c r="J476">
        <v>0</v>
      </c>
      <c r="K476">
        <v>126933.11296194801</v>
      </c>
      <c r="L476">
        <v>0</v>
      </c>
    </row>
    <row r="477" spans="1:12" x14ac:dyDescent="0.3">
      <c r="A477" s="4">
        <v>43641</v>
      </c>
      <c r="B477" s="6">
        <v>1</v>
      </c>
      <c r="C477">
        <v>600851932.01976705</v>
      </c>
      <c r="D477">
        <v>1934950.33917376</v>
      </c>
      <c r="E477">
        <v>1468.140443</v>
      </c>
      <c r="F477">
        <v>1814711.24379973</v>
      </c>
      <c r="G477">
        <v>3607327.6772797601</v>
      </c>
      <c r="H477">
        <v>39341501</v>
      </c>
      <c r="I477">
        <v>126479.66886352601</v>
      </c>
      <c r="J477">
        <v>0</v>
      </c>
      <c r="K477">
        <v>114685.97170566001</v>
      </c>
      <c r="L477">
        <v>0</v>
      </c>
    </row>
    <row r="478" spans="1:12" x14ac:dyDescent="0.3">
      <c r="A478" s="4">
        <v>43640</v>
      </c>
      <c r="B478" s="6">
        <v>1</v>
      </c>
      <c r="C478">
        <v>595718368.18435895</v>
      </c>
      <c r="D478">
        <v>1935225.3526607601</v>
      </c>
      <c r="E478">
        <v>1468.88124299999</v>
      </c>
      <c r="F478">
        <v>1811681.1345702801</v>
      </c>
      <c r="G478">
        <v>3321386.8071830701</v>
      </c>
      <c r="H478">
        <v>38308759</v>
      </c>
      <c r="I478">
        <v>124229.850504264</v>
      </c>
      <c r="J478">
        <v>0</v>
      </c>
      <c r="K478">
        <v>106961.277522089</v>
      </c>
      <c r="L478">
        <v>0</v>
      </c>
    </row>
    <row r="479" spans="1:12" x14ac:dyDescent="0.3">
      <c r="A479" s="4">
        <v>43639</v>
      </c>
      <c r="B479" s="6">
        <v>1</v>
      </c>
      <c r="C479">
        <v>605145940.52981496</v>
      </c>
      <c r="D479">
        <v>1953766.00586661</v>
      </c>
      <c r="E479">
        <v>1265.6273920000001</v>
      </c>
      <c r="F479">
        <v>1825973.1632395701</v>
      </c>
      <c r="G479">
        <v>3896619.4925692398</v>
      </c>
      <c r="H479">
        <v>38408585</v>
      </c>
      <c r="I479">
        <v>123806.804628823</v>
      </c>
      <c r="J479">
        <v>0</v>
      </c>
      <c r="K479">
        <v>105911.03435577</v>
      </c>
      <c r="L479">
        <v>0</v>
      </c>
    </row>
    <row r="480" spans="1:12" x14ac:dyDescent="0.3">
      <c r="A480" s="4">
        <v>43638</v>
      </c>
      <c r="B480" s="6">
        <v>1</v>
      </c>
      <c r="C480">
        <v>579248885.88677704</v>
      </c>
      <c r="D480">
        <v>1960985.3004799499</v>
      </c>
      <c r="E480">
        <v>1262.437392</v>
      </c>
      <c r="F480">
        <v>1827865.99964099</v>
      </c>
      <c r="G480">
        <v>3673877.3513713898</v>
      </c>
      <c r="H480">
        <v>37363402</v>
      </c>
      <c r="I480">
        <v>126287.440005407</v>
      </c>
      <c r="J480">
        <v>0</v>
      </c>
      <c r="K480">
        <v>105045.013379047</v>
      </c>
      <c r="L480">
        <v>0</v>
      </c>
    </row>
    <row r="481" spans="1:12" x14ac:dyDescent="0.3">
      <c r="A481" s="4">
        <v>43637</v>
      </c>
      <c r="B481" s="6">
        <v>1</v>
      </c>
      <c r="C481">
        <v>534005022.33577502</v>
      </c>
      <c r="D481">
        <v>1969065.3007878601</v>
      </c>
      <c r="E481">
        <v>1263.3473919999999</v>
      </c>
      <c r="F481">
        <v>1828561.35176022</v>
      </c>
      <c r="G481">
        <v>3848155.87696832</v>
      </c>
      <c r="H481">
        <v>34950500</v>
      </c>
      <c r="I481">
        <v>128674.25079154701</v>
      </c>
      <c r="J481">
        <v>0</v>
      </c>
      <c r="K481">
        <v>104517.27314433899</v>
      </c>
      <c r="L481">
        <v>0</v>
      </c>
    </row>
    <row r="482" spans="1:12" x14ac:dyDescent="0.3">
      <c r="A482" s="4">
        <v>43636</v>
      </c>
      <c r="B482" s="6">
        <v>1</v>
      </c>
      <c r="C482">
        <v>529683017.55544698</v>
      </c>
      <c r="D482">
        <v>1975934.1912175401</v>
      </c>
      <c r="E482">
        <v>1263.8473919999999</v>
      </c>
      <c r="F482">
        <v>1832901.92413879</v>
      </c>
      <c r="G482">
        <v>3841575.8597364998</v>
      </c>
      <c r="H482">
        <v>34712592</v>
      </c>
      <c r="I482">
        <v>129288.21185146501</v>
      </c>
      <c r="J482">
        <v>0</v>
      </c>
      <c r="K482">
        <v>104476.148037508</v>
      </c>
      <c r="L482">
        <v>0</v>
      </c>
    </row>
    <row r="483" spans="1:12" x14ac:dyDescent="0.3">
      <c r="A483" s="4">
        <v>43635</v>
      </c>
      <c r="B483" s="6">
        <v>1</v>
      </c>
      <c r="C483">
        <v>521619882.47124702</v>
      </c>
      <c r="D483">
        <v>1974141.4185308299</v>
      </c>
      <c r="E483">
        <v>1265.4073920000001</v>
      </c>
      <c r="F483">
        <v>1843657.2010738801</v>
      </c>
      <c r="G483">
        <v>3205469.4756986499</v>
      </c>
      <c r="H483">
        <v>33930379</v>
      </c>
      <c r="I483">
        <v>128213.34265417101</v>
      </c>
      <c r="J483">
        <v>0</v>
      </c>
      <c r="K483">
        <v>109096.678767705</v>
      </c>
      <c r="L483">
        <v>0</v>
      </c>
    </row>
    <row r="484" spans="1:12" x14ac:dyDescent="0.3">
      <c r="A484" s="4">
        <v>43634</v>
      </c>
      <c r="B484" s="6">
        <v>1</v>
      </c>
      <c r="C484">
        <v>538824570.81774104</v>
      </c>
      <c r="D484">
        <v>1974275.8798565799</v>
      </c>
      <c r="E484">
        <v>1267.2776406799901</v>
      </c>
      <c r="F484">
        <v>1842770.0808776601</v>
      </c>
      <c r="G484">
        <v>2684459.5916514499</v>
      </c>
      <c r="H484">
        <v>34257552</v>
      </c>
      <c r="I484">
        <v>125329.450501207</v>
      </c>
      <c r="J484">
        <v>0</v>
      </c>
      <c r="K484">
        <v>107168.17722767399</v>
      </c>
      <c r="L484">
        <v>0</v>
      </c>
    </row>
    <row r="485" spans="1:12" x14ac:dyDescent="0.3">
      <c r="A485" s="4">
        <v>43633</v>
      </c>
      <c r="B485" s="6">
        <v>1</v>
      </c>
      <c r="C485">
        <v>529298929.84660399</v>
      </c>
      <c r="D485">
        <v>1975412.01462195</v>
      </c>
      <c r="E485">
        <v>1266.86099373</v>
      </c>
      <c r="F485">
        <v>1847293.6979437</v>
      </c>
      <c r="G485">
        <v>2778005.8790535298</v>
      </c>
      <c r="H485">
        <v>33214369</v>
      </c>
      <c r="I485">
        <v>123892.606960349</v>
      </c>
      <c r="J485">
        <v>0</v>
      </c>
      <c r="K485">
        <v>107488.448420161</v>
      </c>
      <c r="L485">
        <v>0</v>
      </c>
    </row>
    <row r="486" spans="1:12" x14ac:dyDescent="0.3">
      <c r="A486" s="4">
        <v>43632</v>
      </c>
      <c r="B486" s="6">
        <v>1</v>
      </c>
      <c r="C486">
        <v>528171401.31194103</v>
      </c>
      <c r="D486">
        <v>1970194.3222487301</v>
      </c>
      <c r="E486">
        <v>1268.5611361900001</v>
      </c>
      <c r="F486">
        <v>1824574.7783057999</v>
      </c>
      <c r="G486">
        <v>2431084.96872477</v>
      </c>
      <c r="H486">
        <v>32967981</v>
      </c>
      <c r="I486">
        <v>122904.79048613099</v>
      </c>
      <c r="J486">
        <v>0</v>
      </c>
      <c r="K486">
        <v>91564.539566641397</v>
      </c>
      <c r="L486">
        <v>0</v>
      </c>
    </row>
    <row r="487" spans="1:12" x14ac:dyDescent="0.3">
      <c r="A487" s="4">
        <v>43631</v>
      </c>
      <c r="B487" s="6">
        <v>1</v>
      </c>
      <c r="C487">
        <v>519360760.14613801</v>
      </c>
      <c r="D487">
        <v>1974065.1574429199</v>
      </c>
      <c r="E487">
        <v>1267.08696095</v>
      </c>
      <c r="F487">
        <v>1824451.5493922599</v>
      </c>
      <c r="G487">
        <v>2859309.6368807601</v>
      </c>
      <c r="H487">
        <v>32065112</v>
      </c>
      <c r="I487">
        <v>121795.540699661</v>
      </c>
      <c r="J487">
        <v>0</v>
      </c>
      <c r="K487">
        <v>90603.747129398806</v>
      </c>
      <c r="L487">
        <v>0</v>
      </c>
    </row>
    <row r="488" spans="1:12" x14ac:dyDescent="0.3">
      <c r="A488" s="4">
        <v>43630</v>
      </c>
      <c r="B488" s="6">
        <v>1</v>
      </c>
      <c r="C488">
        <v>502795461.98960102</v>
      </c>
      <c r="D488">
        <v>1975234.1067012099</v>
      </c>
      <c r="E488">
        <v>1268.10806862</v>
      </c>
      <c r="F488">
        <v>1821314.2267972699</v>
      </c>
      <c r="G488">
        <v>3064091.5131933801</v>
      </c>
      <c r="H488">
        <v>30500097</v>
      </c>
      <c r="I488">
        <v>119735.001766576</v>
      </c>
      <c r="J488">
        <v>0</v>
      </c>
      <c r="K488">
        <v>89971.745831449007</v>
      </c>
      <c r="L488">
        <v>0</v>
      </c>
    </row>
    <row r="489" spans="1:12" x14ac:dyDescent="0.3">
      <c r="A489" s="4">
        <v>43629</v>
      </c>
      <c r="B489" s="6">
        <v>1</v>
      </c>
      <c r="C489">
        <v>518688743.20087999</v>
      </c>
      <c r="D489">
        <v>1978451.7744825201</v>
      </c>
      <c r="E489">
        <v>1268.9905054599999</v>
      </c>
      <c r="F489">
        <v>1828836.5496217399</v>
      </c>
      <c r="G489">
        <v>2914330.3918422302</v>
      </c>
      <c r="H489">
        <v>31530979</v>
      </c>
      <c r="I489">
        <v>120195.85636412101</v>
      </c>
      <c r="J489">
        <v>0</v>
      </c>
      <c r="K489">
        <v>90089.130223738102</v>
      </c>
      <c r="L489">
        <v>0</v>
      </c>
    </row>
    <row r="490" spans="1:12" x14ac:dyDescent="0.3">
      <c r="A490" s="4">
        <v>43628</v>
      </c>
      <c r="B490" s="6">
        <v>1</v>
      </c>
      <c r="C490">
        <v>485396906.21913898</v>
      </c>
      <c r="D490">
        <v>1984083.3210784299</v>
      </c>
      <c r="E490">
        <v>1269.3849717200001</v>
      </c>
      <c r="F490">
        <v>1826503.6595501499</v>
      </c>
      <c r="G490">
        <v>3024735.8877027999</v>
      </c>
      <c r="H490">
        <v>30815070</v>
      </c>
      <c r="I490">
        <v>125878.553921568</v>
      </c>
      <c r="J490">
        <v>0</v>
      </c>
      <c r="K490">
        <v>89152.198001345401</v>
      </c>
      <c r="L490">
        <v>0</v>
      </c>
    </row>
    <row r="491" spans="1:12" x14ac:dyDescent="0.3">
      <c r="A491" s="4">
        <v>43627</v>
      </c>
      <c r="B491" s="6">
        <v>1</v>
      </c>
      <c r="C491">
        <v>489330400.50402999</v>
      </c>
      <c r="D491">
        <v>1982349.34008097</v>
      </c>
      <c r="E491">
        <v>1269.32723274</v>
      </c>
      <c r="F491">
        <v>1827448.8512613799</v>
      </c>
      <c r="G491">
        <v>3112532.2273601401</v>
      </c>
      <c r="H491">
        <v>30627665</v>
      </c>
      <c r="I491">
        <v>123998.643724696</v>
      </c>
      <c r="J491">
        <v>0</v>
      </c>
      <c r="K491">
        <v>88352.655278068996</v>
      </c>
      <c r="L491">
        <v>0</v>
      </c>
    </row>
    <row r="492" spans="1:12" x14ac:dyDescent="0.3">
      <c r="A492" s="4">
        <v>43626</v>
      </c>
      <c r="B492" s="6">
        <v>1</v>
      </c>
      <c r="C492">
        <v>459115289.06128299</v>
      </c>
      <c r="D492">
        <v>1984267.68300583</v>
      </c>
      <c r="E492">
        <v>1268.8909228499999</v>
      </c>
      <c r="F492">
        <v>1830716.0244987099</v>
      </c>
      <c r="G492">
        <v>2757692.4260796602</v>
      </c>
      <c r="H492">
        <v>27703081</v>
      </c>
      <c r="I492">
        <v>119641.895918808</v>
      </c>
      <c r="J492">
        <v>0</v>
      </c>
      <c r="K492">
        <v>87720.838237075906</v>
      </c>
      <c r="L492">
        <v>0</v>
      </c>
    </row>
    <row r="493" spans="1:12" x14ac:dyDescent="0.3">
      <c r="A493" s="4">
        <v>43625</v>
      </c>
      <c r="B493" s="6">
        <v>1</v>
      </c>
      <c r="C493">
        <v>481629672.09455103</v>
      </c>
      <c r="D493">
        <v>1977947.52133946</v>
      </c>
      <c r="E493">
        <v>1271.93870823</v>
      </c>
      <c r="F493">
        <v>1827856.3090662099</v>
      </c>
      <c r="G493">
        <v>3223035.2190151401</v>
      </c>
      <c r="H493">
        <v>28738027</v>
      </c>
      <c r="I493">
        <v>117933.466021011</v>
      </c>
      <c r="J493">
        <v>0</v>
      </c>
      <c r="K493">
        <v>86816.365278465804</v>
      </c>
      <c r="L493">
        <v>0</v>
      </c>
    </row>
    <row r="494" spans="1:12" x14ac:dyDescent="0.3">
      <c r="A494" s="4">
        <v>43624</v>
      </c>
      <c r="B494" s="6">
        <v>1</v>
      </c>
      <c r="C494">
        <v>491952065.08188099</v>
      </c>
      <c r="D494">
        <v>1974340.1853040201</v>
      </c>
      <c r="E494">
        <v>1272.30069503</v>
      </c>
      <c r="F494">
        <v>1828855.4868407601</v>
      </c>
      <c r="G494">
        <v>3660183.86493306</v>
      </c>
      <c r="H494">
        <v>28999387</v>
      </c>
      <c r="I494">
        <v>116313.921867479</v>
      </c>
      <c r="J494">
        <v>0</v>
      </c>
      <c r="K494">
        <v>86188.290827645906</v>
      </c>
      <c r="L494">
        <v>0</v>
      </c>
    </row>
    <row r="495" spans="1:12" x14ac:dyDescent="0.3">
      <c r="A495" s="4">
        <v>43623</v>
      </c>
      <c r="B495" s="6">
        <v>1</v>
      </c>
      <c r="C495">
        <v>488866171.31976402</v>
      </c>
      <c r="D495">
        <v>1966604.3943231599</v>
      </c>
      <c r="E495">
        <v>1210.43584397</v>
      </c>
      <c r="F495">
        <v>1832226.8316482101</v>
      </c>
      <c r="G495">
        <v>2666043.71812174</v>
      </c>
      <c r="H495">
        <v>29060808</v>
      </c>
      <c r="I495">
        <v>116836.76275479401</v>
      </c>
      <c r="J495">
        <v>0</v>
      </c>
      <c r="K495">
        <v>86271.828476816503</v>
      </c>
      <c r="L495">
        <v>0</v>
      </c>
    </row>
    <row r="496" spans="1:12" x14ac:dyDescent="0.3">
      <c r="A496" s="4">
        <v>43622</v>
      </c>
      <c r="B496" s="6">
        <v>1</v>
      </c>
      <c r="C496">
        <v>483918507.32273799</v>
      </c>
      <c r="D496">
        <v>1967274.81005972</v>
      </c>
      <c r="E496">
        <v>1209.6895846499999</v>
      </c>
      <c r="F496">
        <v>1833745.95924536</v>
      </c>
      <c r="G496">
        <v>3128778.4456744599</v>
      </c>
      <c r="H496">
        <v>28398708</v>
      </c>
      <c r="I496">
        <v>115380.928777475</v>
      </c>
      <c r="J496">
        <v>0</v>
      </c>
      <c r="K496">
        <v>86223.128641030693</v>
      </c>
      <c r="L496">
        <v>0</v>
      </c>
    </row>
    <row r="497" spans="1:12" x14ac:dyDescent="0.3">
      <c r="A497" s="4">
        <v>43621</v>
      </c>
      <c r="B497" s="6">
        <v>1</v>
      </c>
      <c r="C497">
        <v>473884901.07069403</v>
      </c>
      <c r="D497">
        <v>1965595.68443744</v>
      </c>
      <c r="E497">
        <v>1207.99561625</v>
      </c>
      <c r="F497">
        <v>1832663.5999129501</v>
      </c>
      <c r="G497">
        <v>2221391.6343935402</v>
      </c>
      <c r="H497">
        <v>27922526</v>
      </c>
      <c r="I497">
        <v>115755.43487272999</v>
      </c>
      <c r="J497">
        <v>0</v>
      </c>
      <c r="K497">
        <v>85527.291387217105</v>
      </c>
      <c r="L497">
        <v>0</v>
      </c>
    </row>
    <row r="498" spans="1:12" x14ac:dyDescent="0.3">
      <c r="A498" s="4">
        <v>43620</v>
      </c>
      <c r="B498" s="6">
        <v>1</v>
      </c>
      <c r="C498">
        <v>488924671.00556701</v>
      </c>
      <c r="D498">
        <v>1953871.60316319</v>
      </c>
      <c r="E498">
        <v>1208.92859595</v>
      </c>
      <c r="F498">
        <v>1815861.7817691399</v>
      </c>
      <c r="G498">
        <v>3469170.88861694</v>
      </c>
      <c r="H498">
        <v>28203845</v>
      </c>
      <c r="I498">
        <v>112644.160875469</v>
      </c>
      <c r="J498">
        <v>0</v>
      </c>
      <c r="K498">
        <v>84393.501743964807</v>
      </c>
      <c r="L498">
        <v>0</v>
      </c>
    </row>
    <row r="499" spans="1:12" x14ac:dyDescent="0.3">
      <c r="A499" s="4">
        <v>43619</v>
      </c>
      <c r="B499" s="6">
        <v>1</v>
      </c>
      <c r="C499">
        <v>524220401.91611099</v>
      </c>
      <c r="D499">
        <v>1949815.4778277499</v>
      </c>
      <c r="E499">
        <v>1209.97203059</v>
      </c>
      <c r="F499">
        <v>1817816.8774579801</v>
      </c>
      <c r="G499">
        <v>3818558.1240914199</v>
      </c>
      <c r="H499">
        <v>28715704</v>
      </c>
      <c r="I499">
        <v>106737.92513846001</v>
      </c>
      <c r="J499">
        <v>0</v>
      </c>
      <c r="K499">
        <v>84096.939754311505</v>
      </c>
      <c r="L499">
        <v>0</v>
      </c>
    </row>
    <row r="500" spans="1:12" x14ac:dyDescent="0.3">
      <c r="A500" s="4">
        <v>43618</v>
      </c>
      <c r="B500" s="6">
        <v>1</v>
      </c>
      <c r="C500">
        <v>514699403.96426398</v>
      </c>
      <c r="D500">
        <v>1946944.4184024499</v>
      </c>
      <c r="E500">
        <v>1210.6152803800001</v>
      </c>
      <c r="F500">
        <v>1818010.85953156</v>
      </c>
      <c r="G500">
        <v>3493521.3826717702</v>
      </c>
      <c r="H500">
        <v>27746064</v>
      </c>
      <c r="I500">
        <v>104888.156352776</v>
      </c>
      <c r="J500">
        <v>0</v>
      </c>
      <c r="K500">
        <v>83556.765751087805</v>
      </c>
      <c r="L500">
        <v>0</v>
      </c>
    </row>
    <row r="501" spans="1:12" x14ac:dyDescent="0.3">
      <c r="A501" s="4">
        <v>43617</v>
      </c>
      <c r="B501" s="6">
        <v>1</v>
      </c>
      <c r="C501">
        <v>521886780.98270601</v>
      </c>
      <c r="D501">
        <v>1950555.6381429001</v>
      </c>
      <c r="E501">
        <v>1222.5406954699999</v>
      </c>
      <c r="F501">
        <v>1813209.4465185001</v>
      </c>
      <c r="G501">
        <v>3858935.1424981002</v>
      </c>
      <c r="H501">
        <v>27871459</v>
      </c>
      <c r="I501">
        <v>104102.86109139799</v>
      </c>
      <c r="J501">
        <v>0</v>
      </c>
      <c r="K501">
        <v>77131.338484338499</v>
      </c>
      <c r="L501">
        <v>0</v>
      </c>
    </row>
    <row r="502" spans="1:12" x14ac:dyDescent="0.3">
      <c r="A502" s="4">
        <v>43616</v>
      </c>
      <c r="B502" s="6">
        <v>1</v>
      </c>
      <c r="C502">
        <v>493825592.112939</v>
      </c>
      <c r="D502">
        <v>1939418.7362637301</v>
      </c>
      <c r="E502">
        <v>1222.6501685799999</v>
      </c>
      <c r="F502">
        <v>1806488.7538397701</v>
      </c>
      <c r="G502">
        <v>3713451.7911416502</v>
      </c>
      <c r="H502">
        <v>25818526</v>
      </c>
      <c r="I502">
        <v>101328.594976452</v>
      </c>
      <c r="J502">
        <v>0</v>
      </c>
      <c r="K502">
        <v>76724.183498046099</v>
      </c>
      <c r="L502">
        <v>0</v>
      </c>
    </row>
    <row r="503" spans="1:12" x14ac:dyDescent="0.3">
      <c r="A503" s="4">
        <v>43615</v>
      </c>
      <c r="B503" s="6">
        <v>1</v>
      </c>
      <c r="C503">
        <v>522852618.46832699</v>
      </c>
      <c r="D503">
        <v>1943521.4352041001</v>
      </c>
      <c r="E503">
        <v>1216.80103635</v>
      </c>
      <c r="F503">
        <v>1807515.4103925601</v>
      </c>
      <c r="G503">
        <v>3641963.7496440499</v>
      </c>
      <c r="H503">
        <v>28037762</v>
      </c>
      <c r="I503">
        <v>104140.556401589</v>
      </c>
      <c r="J503">
        <v>0</v>
      </c>
      <c r="K503">
        <v>77085.700228247006</v>
      </c>
      <c r="L503">
        <v>0</v>
      </c>
    </row>
    <row r="504" spans="1:12" x14ac:dyDescent="0.3">
      <c r="A504" s="4">
        <v>43614</v>
      </c>
      <c r="B504" s="6">
        <v>1</v>
      </c>
      <c r="C504">
        <v>527764546.09088802</v>
      </c>
      <c r="D504">
        <v>1947819.5596858</v>
      </c>
      <c r="E504">
        <v>1211.87497151</v>
      </c>
      <c r="F504">
        <v>1809913.5137254901</v>
      </c>
      <c r="G504">
        <v>3909399.7467443901</v>
      </c>
      <c r="H504">
        <v>27289765</v>
      </c>
      <c r="I504">
        <v>100637.109562267</v>
      </c>
      <c r="J504">
        <v>0</v>
      </c>
      <c r="K504">
        <v>76964.765048812304</v>
      </c>
      <c r="L504">
        <v>0</v>
      </c>
    </row>
    <row r="505" spans="1:12" x14ac:dyDescent="0.3">
      <c r="A505" s="4">
        <v>43613</v>
      </c>
      <c r="B505" s="6">
        <v>1</v>
      </c>
      <c r="C505">
        <v>544910208.05030799</v>
      </c>
      <c r="D505">
        <v>2008891.68569955</v>
      </c>
      <c r="E505">
        <v>1278.5462976599999</v>
      </c>
      <c r="F505">
        <v>1880159.9924365701</v>
      </c>
      <c r="G505">
        <v>3795674.0023454698</v>
      </c>
      <c r="H505">
        <v>24954636</v>
      </c>
      <c r="I505">
        <v>91927.4883960804</v>
      </c>
      <c r="J505">
        <v>0</v>
      </c>
      <c r="K505">
        <v>76742.222407658701</v>
      </c>
      <c r="L505">
        <v>0</v>
      </c>
    </row>
    <row r="506" spans="1:12" x14ac:dyDescent="0.3">
      <c r="A506" s="4">
        <v>43612</v>
      </c>
      <c r="B506" s="6">
        <v>1</v>
      </c>
      <c r="C506">
        <v>546445056.04260004</v>
      </c>
      <c r="D506">
        <v>2049886.66316815</v>
      </c>
      <c r="E506">
        <v>1277.7945353800001</v>
      </c>
      <c r="F506">
        <v>1927630.2798216499</v>
      </c>
      <c r="G506">
        <v>3506153.7604994299</v>
      </c>
      <c r="H506">
        <v>23276297</v>
      </c>
      <c r="I506">
        <v>87249.032911012793</v>
      </c>
      <c r="J506">
        <v>0</v>
      </c>
      <c r="K506">
        <v>76848.895379899201</v>
      </c>
      <c r="L506">
        <v>0</v>
      </c>
    </row>
    <row r="507" spans="1:12" x14ac:dyDescent="0.3">
      <c r="A507" s="4">
        <v>43611</v>
      </c>
      <c r="B507" s="6">
        <v>1</v>
      </c>
      <c r="C507">
        <v>514978550.22539198</v>
      </c>
      <c r="D507">
        <v>2056596.2807773601</v>
      </c>
      <c r="E507">
        <v>1277.4754779899999</v>
      </c>
      <c r="F507">
        <v>1927514.61406947</v>
      </c>
      <c r="G507">
        <v>2631266.4861474698</v>
      </c>
      <c r="H507">
        <v>22868689</v>
      </c>
      <c r="I507">
        <v>91259.383854104293</v>
      </c>
      <c r="J507">
        <v>0</v>
      </c>
      <c r="K507">
        <v>76126.055621700405</v>
      </c>
      <c r="L507">
        <v>0</v>
      </c>
    </row>
    <row r="508" spans="1:12" x14ac:dyDescent="0.3">
      <c r="A508" s="4">
        <v>43610</v>
      </c>
      <c r="B508" s="6">
        <v>1</v>
      </c>
      <c r="C508">
        <v>513673308.611884</v>
      </c>
      <c r="D508">
        <v>2061899.0855125899</v>
      </c>
      <c r="E508">
        <v>1276.1812429300001</v>
      </c>
      <c r="F508">
        <v>1930638.10169305</v>
      </c>
      <c r="G508">
        <v>2675069.11141284</v>
      </c>
      <c r="H508">
        <v>22778051</v>
      </c>
      <c r="I508">
        <v>91360.705117920705</v>
      </c>
      <c r="J508">
        <v>0</v>
      </c>
      <c r="K508">
        <v>73543.089334824603</v>
      </c>
      <c r="L508">
        <v>0</v>
      </c>
    </row>
    <row r="509" spans="1:12" x14ac:dyDescent="0.3">
      <c r="A509" s="4">
        <v>43609</v>
      </c>
      <c r="B509" s="6">
        <v>1</v>
      </c>
      <c r="C509">
        <v>504425506.66893798</v>
      </c>
      <c r="D509">
        <v>2059263.9567611599</v>
      </c>
      <c r="E509">
        <v>1275.2178714199999</v>
      </c>
      <c r="F509">
        <v>1919988.71895843</v>
      </c>
      <c r="G509">
        <v>2652845.6931253499</v>
      </c>
      <c r="H509">
        <v>23719013</v>
      </c>
      <c r="I509">
        <v>96753.061390985094</v>
      </c>
      <c r="J509">
        <v>0</v>
      </c>
      <c r="K509">
        <v>71832.370862613097</v>
      </c>
      <c r="L509">
        <v>0</v>
      </c>
    </row>
    <row r="510" spans="1:12" x14ac:dyDescent="0.3">
      <c r="A510" s="4">
        <v>43608</v>
      </c>
      <c r="B510" s="6">
        <v>1</v>
      </c>
      <c r="C510">
        <v>501002708.31787801</v>
      </c>
      <c r="D510">
        <v>2056965.0886117399</v>
      </c>
      <c r="E510">
        <v>1274.3698001099999</v>
      </c>
      <c r="F510">
        <v>1921265.4059079201</v>
      </c>
      <c r="G510">
        <v>2478726.8328493298</v>
      </c>
      <c r="H510">
        <v>23795450</v>
      </c>
      <c r="I510">
        <v>97618.354118805393</v>
      </c>
      <c r="J510">
        <v>0</v>
      </c>
      <c r="K510">
        <v>71759.5374331208</v>
      </c>
      <c r="L510">
        <v>0</v>
      </c>
    </row>
    <row r="511" spans="1:12" x14ac:dyDescent="0.3">
      <c r="A511" s="4">
        <v>43607</v>
      </c>
      <c r="B511" s="6">
        <v>1</v>
      </c>
      <c r="C511">
        <v>524807685.02562898</v>
      </c>
      <c r="D511">
        <v>2065945.8053097301</v>
      </c>
      <c r="E511">
        <v>1273.25735786</v>
      </c>
      <c r="F511">
        <v>1934307.6229807499</v>
      </c>
      <c r="G511">
        <v>2296823.1066780598</v>
      </c>
      <c r="H511">
        <v>24104305</v>
      </c>
      <c r="I511">
        <v>94805.526057030394</v>
      </c>
      <c r="J511">
        <v>0</v>
      </c>
      <c r="K511">
        <v>73822.835201342095</v>
      </c>
      <c r="L511">
        <v>0</v>
      </c>
    </row>
    <row r="512" spans="1:12" x14ac:dyDescent="0.3">
      <c r="A512" s="4">
        <v>43606</v>
      </c>
      <c r="B512" s="6">
        <v>1</v>
      </c>
      <c r="C512">
        <v>525464536.64572501</v>
      </c>
      <c r="D512">
        <v>2087037.6150793601</v>
      </c>
      <c r="E512">
        <v>1280.13569063</v>
      </c>
      <c r="F512">
        <v>1956719.18034161</v>
      </c>
      <c r="G512">
        <v>2360999.7134505799</v>
      </c>
      <c r="H512">
        <v>24655297</v>
      </c>
      <c r="I512">
        <v>97838.480158730104</v>
      </c>
      <c r="J512">
        <v>0</v>
      </c>
      <c r="K512">
        <v>76628.167490567997</v>
      </c>
      <c r="L512">
        <v>0</v>
      </c>
    </row>
    <row r="513" spans="1:12" x14ac:dyDescent="0.3">
      <c r="A513" s="4">
        <v>43605</v>
      </c>
      <c r="B513" s="6">
        <v>1</v>
      </c>
      <c r="C513">
        <v>549175145.54227495</v>
      </c>
      <c r="D513">
        <v>2109034.0103666699</v>
      </c>
      <c r="E513">
        <v>1292.43986058</v>
      </c>
      <c r="F513">
        <v>1969867.72547658</v>
      </c>
      <c r="G513">
        <v>2410255.8992429799</v>
      </c>
      <c r="H513">
        <v>29405287</v>
      </c>
      <c r="I513">
        <v>112901.850643117</v>
      </c>
      <c r="J513">
        <v>0</v>
      </c>
      <c r="K513">
        <v>75864.694014092995</v>
      </c>
      <c r="L513">
        <v>0</v>
      </c>
    </row>
    <row r="514" spans="1:12" x14ac:dyDescent="0.3">
      <c r="A514" s="4">
        <v>43604</v>
      </c>
      <c r="B514" s="6">
        <v>1</v>
      </c>
      <c r="C514">
        <v>494760074.92413402</v>
      </c>
      <c r="D514">
        <v>2117210.3477777299</v>
      </c>
      <c r="E514">
        <v>1289.09447858</v>
      </c>
      <c r="F514">
        <v>1964269.38278286</v>
      </c>
      <c r="G514">
        <v>2286847.7111058901</v>
      </c>
      <c r="H514">
        <v>27399594</v>
      </c>
      <c r="I514">
        <v>117207.485990503</v>
      </c>
      <c r="J514">
        <v>0</v>
      </c>
      <c r="K514">
        <v>68615.368890955593</v>
      </c>
      <c r="L514">
        <v>0</v>
      </c>
    </row>
    <row r="515" spans="1:12" x14ac:dyDescent="0.3">
      <c r="A515" s="4">
        <v>43603</v>
      </c>
      <c r="B515" s="6">
        <v>1</v>
      </c>
      <c r="C515">
        <v>513990469.83873498</v>
      </c>
      <c r="D515">
        <v>2110440.8889436098</v>
      </c>
      <c r="E515">
        <v>1289.30564009</v>
      </c>
      <c r="F515">
        <v>1963091.5379168701</v>
      </c>
      <c r="G515">
        <v>2411925.6304533901</v>
      </c>
      <c r="H515">
        <v>27384800</v>
      </c>
      <c r="I515">
        <v>112389.39505868799</v>
      </c>
      <c r="J515">
        <v>0</v>
      </c>
      <c r="K515">
        <v>65324.994730918901</v>
      </c>
      <c r="L515">
        <v>0</v>
      </c>
    </row>
    <row r="516" spans="1:12" x14ac:dyDescent="0.3">
      <c r="A516" s="4">
        <v>43602</v>
      </c>
      <c r="B516" s="6">
        <v>1</v>
      </c>
      <c r="C516">
        <v>556398621.82480097</v>
      </c>
      <c r="D516">
        <v>2104975.43295772</v>
      </c>
      <c r="E516">
        <v>1289.2310800299999</v>
      </c>
      <c r="F516">
        <v>1962626.62621271</v>
      </c>
      <c r="G516">
        <v>2480097.48351285</v>
      </c>
      <c r="H516">
        <v>28841890</v>
      </c>
      <c r="I516">
        <v>109059.555320275</v>
      </c>
      <c r="J516">
        <v>0</v>
      </c>
      <c r="K516">
        <v>65546.237106485598</v>
      </c>
      <c r="L516">
        <v>0</v>
      </c>
    </row>
    <row r="517" spans="1:12" x14ac:dyDescent="0.3">
      <c r="A517" s="4">
        <v>43601</v>
      </c>
      <c r="B517" s="6">
        <v>1</v>
      </c>
      <c r="C517">
        <v>567865166.00495601</v>
      </c>
      <c r="D517">
        <v>2295529.0372106102</v>
      </c>
      <c r="E517">
        <v>1288.9153223999999</v>
      </c>
      <c r="F517">
        <v>2079728.3544453699</v>
      </c>
      <c r="G517">
        <v>2345519.54971939</v>
      </c>
      <c r="H517">
        <v>41149879</v>
      </c>
      <c r="I517">
        <v>166255.419983031</v>
      </c>
      <c r="J517">
        <v>0</v>
      </c>
      <c r="K517">
        <v>62243.448596805698</v>
      </c>
      <c r="L517">
        <v>0</v>
      </c>
    </row>
    <row r="518" spans="1:12" x14ac:dyDescent="0.3">
      <c r="A518" s="4">
        <v>43600</v>
      </c>
      <c r="B518" s="6">
        <v>1</v>
      </c>
      <c r="C518">
        <v>506296215.595734</v>
      </c>
      <c r="D518">
        <v>2336932.3631163798</v>
      </c>
      <c r="E518">
        <v>1289.2210739899999</v>
      </c>
      <c r="F518">
        <v>2122481.4774611802</v>
      </c>
      <c r="G518">
        <v>2899623.96060126</v>
      </c>
      <c r="H518">
        <v>35964745</v>
      </c>
      <c r="I518">
        <v>165896.69726463399</v>
      </c>
      <c r="J518">
        <v>0</v>
      </c>
      <c r="K518">
        <v>70238.233696504598</v>
      </c>
      <c r="L518">
        <v>0</v>
      </c>
    </row>
    <row r="519" spans="1:12" x14ac:dyDescent="0.3">
      <c r="A519" s="4">
        <v>43599</v>
      </c>
      <c r="B519" s="6">
        <v>1</v>
      </c>
      <c r="C519">
        <v>460522299.814852</v>
      </c>
      <c r="D519">
        <v>2358308.1090760198</v>
      </c>
      <c r="E519">
        <v>1284.89895781</v>
      </c>
      <c r="F519">
        <v>2128687.2249601302</v>
      </c>
      <c r="G519">
        <v>2283415.9831813802</v>
      </c>
      <c r="H519">
        <v>34092676</v>
      </c>
      <c r="I519">
        <v>174422.77703878001</v>
      </c>
      <c r="J519">
        <v>0</v>
      </c>
      <c r="K519">
        <v>70749.9313491106</v>
      </c>
      <c r="L519">
        <v>0</v>
      </c>
    </row>
    <row r="520" spans="1:12" x14ac:dyDescent="0.3">
      <c r="A520" s="4">
        <v>43598</v>
      </c>
      <c r="B520" s="6">
        <v>1</v>
      </c>
      <c r="C520">
        <v>445007609.23411101</v>
      </c>
      <c r="D520">
        <v>2367919.7926634699</v>
      </c>
      <c r="E520">
        <v>1282.09930573</v>
      </c>
      <c r="F520">
        <v>2134723.9342845199</v>
      </c>
      <c r="G520">
        <v>2428818.5691896002</v>
      </c>
      <c r="H520">
        <v>33745857</v>
      </c>
      <c r="I520">
        <v>179403.811802232</v>
      </c>
      <c r="J520">
        <v>0</v>
      </c>
      <c r="K520">
        <v>69709.2285921968</v>
      </c>
      <c r="L520">
        <v>0</v>
      </c>
    </row>
    <row r="521" spans="1:12" x14ac:dyDescent="0.3">
      <c r="A521" s="4">
        <v>43597</v>
      </c>
      <c r="B521" s="6">
        <v>1</v>
      </c>
      <c r="C521">
        <v>448816464.79382497</v>
      </c>
      <c r="D521">
        <v>2345111.1551913102</v>
      </c>
      <c r="E521">
        <v>1297.1821734</v>
      </c>
      <c r="F521">
        <v>2121087.2858621101</v>
      </c>
      <c r="G521">
        <v>2054262.7924512301</v>
      </c>
      <c r="H521">
        <v>34961723</v>
      </c>
      <c r="I521">
        <v>182501.03356475401</v>
      </c>
      <c r="J521">
        <v>0</v>
      </c>
      <c r="K521">
        <v>73784.418811812604</v>
      </c>
      <c r="L521">
        <v>0</v>
      </c>
    </row>
    <row r="522" spans="1:12" x14ac:dyDescent="0.3">
      <c r="A522" s="4">
        <v>43596</v>
      </c>
      <c r="B522" s="6">
        <v>1</v>
      </c>
      <c r="C522">
        <v>408811311.56603903</v>
      </c>
      <c r="D522">
        <v>2363362.86110469</v>
      </c>
      <c r="E522">
        <v>1252.50525343</v>
      </c>
      <c r="F522">
        <v>2120695.8381224899</v>
      </c>
      <c r="G522">
        <v>2409670.4901969102</v>
      </c>
      <c r="H522">
        <v>32925785</v>
      </c>
      <c r="I522">
        <v>190234.48694245401</v>
      </c>
      <c r="J522">
        <v>0</v>
      </c>
      <c r="K522">
        <v>65611.435704089003</v>
      </c>
      <c r="L522">
        <v>0</v>
      </c>
    </row>
    <row r="523" spans="1:12" x14ac:dyDescent="0.3">
      <c r="A523" s="4">
        <v>43595</v>
      </c>
      <c r="B523" s="6">
        <v>1</v>
      </c>
      <c r="C523">
        <v>405859717.89125502</v>
      </c>
      <c r="D523">
        <v>2369187.5160424602</v>
      </c>
      <c r="E523">
        <v>1253.01158796</v>
      </c>
      <c r="F523">
        <v>2135474.97209231</v>
      </c>
      <c r="G523">
        <v>2255495.8180065402</v>
      </c>
      <c r="H523">
        <v>31553305</v>
      </c>
      <c r="I523">
        <v>184070.14934080001</v>
      </c>
      <c r="J523">
        <v>0</v>
      </c>
      <c r="K523">
        <v>66213.742085934704</v>
      </c>
      <c r="L523">
        <v>0</v>
      </c>
    </row>
    <row r="524" spans="1:12" x14ac:dyDescent="0.3">
      <c r="A524" s="4">
        <v>43594</v>
      </c>
      <c r="B524" s="6">
        <v>1</v>
      </c>
      <c r="C524">
        <v>409993574.30783099</v>
      </c>
      <c r="D524">
        <v>2383259.9651466701</v>
      </c>
      <c r="E524">
        <v>1252.34528015</v>
      </c>
      <c r="F524">
        <v>2142196.6904901899</v>
      </c>
      <c r="G524">
        <v>2267842.56203382</v>
      </c>
      <c r="H524">
        <v>32579301</v>
      </c>
      <c r="I524">
        <v>189249.497531222</v>
      </c>
      <c r="J524">
        <v>0</v>
      </c>
      <c r="K524">
        <v>63145.548026988901</v>
      </c>
      <c r="L524">
        <v>0</v>
      </c>
    </row>
    <row r="525" spans="1:12" x14ac:dyDescent="0.3">
      <c r="A525" s="4">
        <v>43593</v>
      </c>
      <c r="B525" s="6">
        <v>1</v>
      </c>
      <c r="C525">
        <v>406711663.13555801</v>
      </c>
      <c r="D525">
        <v>2386626.5231924001</v>
      </c>
      <c r="E525">
        <v>1253.4730004</v>
      </c>
      <c r="F525">
        <v>2142394.12170975</v>
      </c>
      <c r="G525">
        <v>2101090.75256884</v>
      </c>
      <c r="H525">
        <v>32497039</v>
      </c>
      <c r="I525">
        <v>190564.938720459</v>
      </c>
      <c r="J525">
        <v>0</v>
      </c>
      <c r="K525">
        <v>61787.041995963002</v>
      </c>
      <c r="L525">
        <v>0</v>
      </c>
    </row>
    <row r="526" spans="1:12" x14ac:dyDescent="0.3">
      <c r="A526" s="4">
        <v>43592</v>
      </c>
      <c r="B526" s="6">
        <v>1</v>
      </c>
      <c r="C526">
        <v>416988212.55009699</v>
      </c>
      <c r="D526">
        <v>2392378.2132828999</v>
      </c>
      <c r="E526">
        <v>1259.10601073</v>
      </c>
      <c r="F526">
        <v>2144866.21321776</v>
      </c>
      <c r="G526">
        <v>2155698.5562108299</v>
      </c>
      <c r="H526">
        <v>33568121</v>
      </c>
      <c r="I526">
        <v>192356.432296143</v>
      </c>
      <c r="J526">
        <v>0</v>
      </c>
      <c r="K526">
        <v>62927.433647930797</v>
      </c>
      <c r="L526">
        <v>0</v>
      </c>
    </row>
    <row r="527" spans="1:12" x14ac:dyDescent="0.3">
      <c r="A527" s="4">
        <v>43591</v>
      </c>
      <c r="B527" s="6">
        <v>1</v>
      </c>
      <c r="C527">
        <v>396979133.01939702</v>
      </c>
      <c r="D527">
        <v>2419740.36166585</v>
      </c>
      <c r="E527">
        <v>1258.8417340599999</v>
      </c>
      <c r="F527">
        <v>2159585.4904068098</v>
      </c>
      <c r="G527">
        <v>2199187.7648521899</v>
      </c>
      <c r="H527">
        <v>32690533</v>
      </c>
      <c r="I527">
        <v>199041.23843156299</v>
      </c>
      <c r="J527">
        <v>0</v>
      </c>
      <c r="K527">
        <v>62538.394435028</v>
      </c>
      <c r="L527">
        <v>0</v>
      </c>
    </row>
    <row r="528" spans="1:12" x14ac:dyDescent="0.3">
      <c r="A528" s="4">
        <v>43590</v>
      </c>
      <c r="B528" s="6">
        <v>1</v>
      </c>
      <c r="C528">
        <v>400930208.15285403</v>
      </c>
      <c r="D528">
        <v>2419182.0171208102</v>
      </c>
      <c r="E528">
        <v>1283.5642255299999</v>
      </c>
      <c r="F528">
        <v>2162018.5106874402</v>
      </c>
      <c r="G528">
        <v>2028933.1492834</v>
      </c>
      <c r="H528">
        <v>32596523</v>
      </c>
      <c r="I528">
        <v>196506.649385097</v>
      </c>
      <c r="J528">
        <v>0</v>
      </c>
      <c r="K528">
        <v>63042.186216877701</v>
      </c>
      <c r="L528">
        <v>0</v>
      </c>
    </row>
    <row r="529" spans="1:12" x14ac:dyDescent="0.3">
      <c r="A529" s="4">
        <v>43589</v>
      </c>
      <c r="B529" s="6">
        <v>1</v>
      </c>
      <c r="C529">
        <v>410156710.94409603</v>
      </c>
      <c r="D529">
        <v>2417740.5067766602</v>
      </c>
      <c r="E529">
        <v>1283.59194155</v>
      </c>
      <c r="F529">
        <v>2165907.9923528102</v>
      </c>
      <c r="G529">
        <v>2210007.7168017402</v>
      </c>
      <c r="H529">
        <v>33381440</v>
      </c>
      <c r="I529">
        <v>196708.54449027599</v>
      </c>
      <c r="J529">
        <v>0</v>
      </c>
      <c r="K529">
        <v>63153.475714521199</v>
      </c>
      <c r="L529">
        <v>0</v>
      </c>
    </row>
    <row r="530" spans="1:12" x14ac:dyDescent="0.3">
      <c r="A530" s="4">
        <v>43588</v>
      </c>
      <c r="B530" s="6">
        <v>1</v>
      </c>
      <c r="C530">
        <v>397761280.86888701</v>
      </c>
      <c r="D530">
        <v>2433644.0034248601</v>
      </c>
      <c r="E530">
        <v>1317.8283060399999</v>
      </c>
      <c r="F530">
        <v>2172065.6323889298</v>
      </c>
      <c r="G530">
        <v>1908988.3477276701</v>
      </c>
      <c r="H530">
        <v>32476061</v>
      </c>
      <c r="I530">
        <v>198618.194605834</v>
      </c>
      <c r="J530">
        <v>0</v>
      </c>
      <c r="K530">
        <v>62553.928286411799</v>
      </c>
      <c r="L530">
        <v>0</v>
      </c>
    </row>
    <row r="531" spans="1:12" x14ac:dyDescent="0.3">
      <c r="A531" s="4">
        <v>43587</v>
      </c>
      <c r="B531" s="6">
        <v>1</v>
      </c>
      <c r="C531">
        <v>394780962.39238298</v>
      </c>
      <c r="D531">
        <v>2438781.4942883598</v>
      </c>
      <c r="E531">
        <v>1318.61515844</v>
      </c>
      <c r="F531">
        <v>2168165.5244514602</v>
      </c>
      <c r="G531">
        <v>1990983.2749688099</v>
      </c>
      <c r="H531">
        <v>32722197</v>
      </c>
      <c r="I531">
        <v>202051.231861685</v>
      </c>
      <c r="J531">
        <v>0</v>
      </c>
      <c r="K531">
        <v>63302.931929713399</v>
      </c>
      <c r="L531">
        <v>0</v>
      </c>
    </row>
    <row r="532" spans="1:12" x14ac:dyDescent="0.3">
      <c r="A532" s="4">
        <v>43586</v>
      </c>
      <c r="B532" s="6">
        <v>1</v>
      </c>
      <c r="C532">
        <v>403088335.452766</v>
      </c>
      <c r="D532">
        <v>2438946.0831165598</v>
      </c>
      <c r="E532">
        <v>1306.58332505</v>
      </c>
      <c r="F532">
        <v>2169065.30903266</v>
      </c>
      <c r="G532">
        <v>2179913.9056335599</v>
      </c>
      <c r="H532">
        <v>33866351</v>
      </c>
      <c r="I532">
        <v>204865.71290303001</v>
      </c>
      <c r="J532">
        <v>0</v>
      </c>
      <c r="K532">
        <v>60763.658145459704</v>
      </c>
      <c r="L532">
        <v>0</v>
      </c>
    </row>
    <row r="533" spans="1:12" x14ac:dyDescent="0.3">
      <c r="A533" s="4">
        <v>43585</v>
      </c>
      <c r="B533" s="6">
        <v>1</v>
      </c>
      <c r="C533">
        <v>383248723.91326898</v>
      </c>
      <c r="D533">
        <v>2450387.0365635301</v>
      </c>
      <c r="E533">
        <v>1301.58610527</v>
      </c>
      <c r="F533">
        <v>2173876.8991250498</v>
      </c>
      <c r="G533">
        <v>2048609.34669635</v>
      </c>
      <c r="H533">
        <v>32426217</v>
      </c>
      <c r="I533">
        <v>207275.741498338</v>
      </c>
      <c r="J533">
        <v>0</v>
      </c>
      <c r="K533">
        <v>60444.829324751699</v>
      </c>
      <c r="L533">
        <v>0</v>
      </c>
    </row>
    <row r="534" spans="1:12" x14ac:dyDescent="0.3">
      <c r="A534" s="4">
        <v>43584</v>
      </c>
      <c r="B534" s="6">
        <v>1</v>
      </c>
      <c r="C534">
        <v>389936168.76922399</v>
      </c>
      <c r="D534">
        <v>2450844.5205479399</v>
      </c>
      <c r="E534">
        <v>1288.0484082400001</v>
      </c>
      <c r="F534">
        <v>2173994.16298118</v>
      </c>
      <c r="G534">
        <v>1982784.2019789501</v>
      </c>
      <c r="H534">
        <v>33159608</v>
      </c>
      <c r="I534">
        <v>208367.52544928901</v>
      </c>
      <c r="J534">
        <v>0</v>
      </c>
      <c r="K534">
        <v>60210.020161182903</v>
      </c>
      <c r="L534">
        <v>0</v>
      </c>
    </row>
    <row r="535" spans="1:12" x14ac:dyDescent="0.3">
      <c r="A535" s="4">
        <v>43583</v>
      </c>
      <c r="B535" s="6">
        <v>1</v>
      </c>
      <c r="C535">
        <v>392650899.65502399</v>
      </c>
      <c r="D535">
        <v>2455314.7474368499</v>
      </c>
      <c r="E535">
        <v>1287.35493122</v>
      </c>
      <c r="F535">
        <v>2177888.66851654</v>
      </c>
      <c r="G535">
        <v>1942289.45469629</v>
      </c>
      <c r="H535">
        <v>33363845</v>
      </c>
      <c r="I535">
        <v>208576.17529382301</v>
      </c>
      <c r="J535">
        <v>0</v>
      </c>
      <c r="K535">
        <v>60165.006053240999</v>
      </c>
      <c r="L535">
        <v>0</v>
      </c>
    </row>
    <row r="536" spans="1:12" x14ac:dyDescent="0.3">
      <c r="A536" s="4">
        <v>43582</v>
      </c>
      <c r="B536" s="6">
        <v>1</v>
      </c>
      <c r="C536">
        <v>391411340.43700898</v>
      </c>
      <c r="D536">
        <v>2474556.63000884</v>
      </c>
      <c r="E536">
        <v>1265.7051031399999</v>
      </c>
      <c r="F536">
        <v>2195766.71414814</v>
      </c>
      <c r="G536">
        <v>1891121.5931025499</v>
      </c>
      <c r="H536">
        <v>33600692</v>
      </c>
      <c r="I536">
        <v>212366.90683857899</v>
      </c>
      <c r="J536">
        <v>0</v>
      </c>
      <c r="K536">
        <v>61298.309637096703</v>
      </c>
      <c r="L536">
        <v>0</v>
      </c>
    </row>
    <row r="537" spans="1:12" x14ac:dyDescent="0.3">
      <c r="A537" s="4">
        <v>43581</v>
      </c>
      <c r="B537" s="6">
        <v>1</v>
      </c>
      <c r="C537">
        <v>383045749.86125499</v>
      </c>
      <c r="D537">
        <v>2485165.6051368499</v>
      </c>
      <c r="E537">
        <v>1261.10048697</v>
      </c>
      <c r="F537">
        <v>2207168.3224746101</v>
      </c>
      <c r="G537">
        <v>1834677.9591723599</v>
      </c>
      <c r="H537">
        <v>32297257</v>
      </c>
      <c r="I537">
        <v>209477.60409910401</v>
      </c>
      <c r="J537">
        <v>0</v>
      </c>
      <c r="K537">
        <v>58790.254744782302</v>
      </c>
      <c r="L537">
        <v>0</v>
      </c>
    </row>
    <row r="538" spans="1:12" x14ac:dyDescent="0.3">
      <c r="A538" s="4">
        <v>43580</v>
      </c>
      <c r="B538" s="6">
        <v>1</v>
      </c>
      <c r="C538">
        <v>412099733.93637699</v>
      </c>
      <c r="D538">
        <v>2488079.66562047</v>
      </c>
      <c r="E538">
        <v>1215.3431482599999</v>
      </c>
      <c r="F538">
        <v>2220778.4999657799</v>
      </c>
      <c r="G538">
        <v>1695690.0425038901</v>
      </c>
      <c r="H538">
        <v>33430263</v>
      </c>
      <c r="I538">
        <v>201776.092467407</v>
      </c>
      <c r="J538">
        <v>0</v>
      </c>
      <c r="K538">
        <v>59072.595302550202</v>
      </c>
      <c r="L538">
        <v>0</v>
      </c>
    </row>
    <row r="539" spans="1:12" x14ac:dyDescent="0.3">
      <c r="A539" s="4">
        <v>43579</v>
      </c>
      <c r="B539" s="6">
        <v>1</v>
      </c>
      <c r="C539">
        <v>423172535.83966303</v>
      </c>
      <c r="D539">
        <v>2487428.2348102001</v>
      </c>
      <c r="E539">
        <v>1214.80040414</v>
      </c>
      <c r="F539">
        <v>2226358.7110949499</v>
      </c>
      <c r="G539">
        <v>1823945.8573758099</v>
      </c>
      <c r="H539">
        <v>33638788</v>
      </c>
      <c r="I539">
        <v>197665.930191561</v>
      </c>
      <c r="J539">
        <v>0</v>
      </c>
      <c r="K539">
        <v>58717.146444940299</v>
      </c>
      <c r="L539">
        <v>0</v>
      </c>
    </row>
    <row r="540" spans="1:12" x14ac:dyDescent="0.3">
      <c r="A540" s="4">
        <v>43578</v>
      </c>
      <c r="B540" s="6">
        <v>1</v>
      </c>
      <c r="C540">
        <v>427545112.29628098</v>
      </c>
      <c r="D540">
        <v>2495213.2788798101</v>
      </c>
      <c r="E540">
        <v>1216.30519411</v>
      </c>
      <c r="F540">
        <v>2230143.8482862101</v>
      </c>
      <c r="G540">
        <v>1916597.6928606001</v>
      </c>
      <c r="H540">
        <v>34777916</v>
      </c>
      <c r="I540">
        <v>202904.99416569399</v>
      </c>
      <c r="J540">
        <v>0</v>
      </c>
      <c r="K540">
        <v>59092.027282665098</v>
      </c>
      <c r="L540">
        <v>0</v>
      </c>
    </row>
    <row r="541" spans="1:12" x14ac:dyDescent="0.3">
      <c r="A541" s="4">
        <v>43577</v>
      </c>
      <c r="B541" s="6">
        <v>1</v>
      </c>
      <c r="C541">
        <v>423429805.29414397</v>
      </c>
      <c r="D541">
        <v>2487375.5196711598</v>
      </c>
      <c r="E541">
        <v>1175.07054337</v>
      </c>
      <c r="F541">
        <v>2231217.0025364901</v>
      </c>
      <c r="G541">
        <v>1864506.7065229099</v>
      </c>
      <c r="H541">
        <v>33459796</v>
      </c>
      <c r="I541">
        <v>196475.60775102701</v>
      </c>
      <c r="J541">
        <v>0</v>
      </c>
      <c r="K541">
        <v>59171.205390155701</v>
      </c>
      <c r="L541">
        <v>0</v>
      </c>
    </row>
    <row r="542" spans="1:12" x14ac:dyDescent="0.3">
      <c r="A542" s="4">
        <v>43576</v>
      </c>
      <c r="B542" s="6">
        <v>1</v>
      </c>
      <c r="C542">
        <v>432590858.90550202</v>
      </c>
      <c r="D542">
        <v>2487763.0604736698</v>
      </c>
      <c r="E542">
        <v>1209.94382122</v>
      </c>
      <c r="F542">
        <v>2232719.2334434101</v>
      </c>
      <c r="G542">
        <v>1795255.83511707</v>
      </c>
      <c r="H542">
        <v>34046456</v>
      </c>
      <c r="I542">
        <v>195714.27914463001</v>
      </c>
      <c r="J542">
        <v>0</v>
      </c>
      <c r="K542">
        <v>59079.415055044898</v>
      </c>
      <c r="L542">
        <v>0</v>
      </c>
    </row>
    <row r="543" spans="1:12" x14ac:dyDescent="0.3">
      <c r="A543" s="4">
        <v>43575</v>
      </c>
      <c r="B543" s="6">
        <v>1</v>
      </c>
      <c r="C543">
        <v>440190616.77801102</v>
      </c>
      <c r="D543">
        <v>2528990.7080916502</v>
      </c>
      <c r="E543">
        <v>1209.60622829</v>
      </c>
      <c r="F543">
        <v>2267421.73313767</v>
      </c>
      <c r="G543">
        <v>1776350.8051247001</v>
      </c>
      <c r="H543">
        <v>34138913</v>
      </c>
      <c r="I543">
        <v>196054.172170217</v>
      </c>
      <c r="J543">
        <v>0</v>
      </c>
      <c r="K543">
        <v>55041.780786263203</v>
      </c>
      <c r="L543">
        <v>0</v>
      </c>
    </row>
    <row r="544" spans="1:12" x14ac:dyDescent="0.3">
      <c r="A544" s="4">
        <v>43574</v>
      </c>
      <c r="B544" s="6">
        <v>1</v>
      </c>
      <c r="C544">
        <v>441112868.14892</v>
      </c>
      <c r="D544">
        <v>2527621.78694158</v>
      </c>
      <c r="E544">
        <v>1214.82144976</v>
      </c>
      <c r="F544">
        <v>2272448.5493448302</v>
      </c>
      <c r="G544">
        <v>1815849.81729088</v>
      </c>
      <c r="H544">
        <v>33329144</v>
      </c>
      <c r="I544">
        <v>190888.56815578401</v>
      </c>
      <c r="J544">
        <v>0</v>
      </c>
      <c r="K544">
        <v>54851.3339695584</v>
      </c>
      <c r="L544">
        <v>0</v>
      </c>
    </row>
    <row r="545" spans="1:12" x14ac:dyDescent="0.3">
      <c r="A545" s="4">
        <v>43573</v>
      </c>
      <c r="B545" s="6">
        <v>1</v>
      </c>
      <c r="C545">
        <v>426358591.89417398</v>
      </c>
      <c r="D545">
        <v>2553988.4085738198</v>
      </c>
      <c r="E545">
        <v>1218.41519225</v>
      </c>
      <c r="F545">
        <v>2291887.98529321</v>
      </c>
      <c r="G545">
        <v>1665472.8661166099</v>
      </c>
      <c r="H545">
        <v>32216442</v>
      </c>
      <c r="I545">
        <v>192889.725781343</v>
      </c>
      <c r="J545">
        <v>0</v>
      </c>
      <c r="K545">
        <v>54645.361658535803</v>
      </c>
      <c r="L545">
        <v>0</v>
      </c>
    </row>
    <row r="546" spans="1:12" x14ac:dyDescent="0.3">
      <c r="A546" s="4">
        <v>43572</v>
      </c>
      <c r="B546" s="6">
        <v>1</v>
      </c>
      <c r="C546">
        <v>424135936.07888401</v>
      </c>
      <c r="D546">
        <v>2542508.0647093998</v>
      </c>
      <c r="E546">
        <v>1207.2991219099999</v>
      </c>
      <c r="F546">
        <v>2292189.9626228502</v>
      </c>
      <c r="G546">
        <v>1712448.73022616</v>
      </c>
      <c r="H546">
        <v>30809255</v>
      </c>
      <c r="I546">
        <v>184597.094068304</v>
      </c>
      <c r="J546">
        <v>0</v>
      </c>
      <c r="K546">
        <v>54981.140817664898</v>
      </c>
      <c r="L546">
        <v>0</v>
      </c>
    </row>
    <row r="547" spans="1:12" x14ac:dyDescent="0.3">
      <c r="A547" s="4">
        <v>43571</v>
      </c>
      <c r="B547" s="6">
        <v>1</v>
      </c>
      <c r="C547">
        <v>408340225.284271</v>
      </c>
      <c r="D547">
        <v>2548611.6843418502</v>
      </c>
      <c r="E547">
        <v>1202.95286745</v>
      </c>
      <c r="F547">
        <v>2295159.32504478</v>
      </c>
      <c r="G547">
        <v>1622045.2090423</v>
      </c>
      <c r="H547">
        <v>29625466</v>
      </c>
      <c r="I547">
        <v>184812.638802245</v>
      </c>
      <c r="J547">
        <v>0</v>
      </c>
      <c r="K547">
        <v>54817.612698226003</v>
      </c>
      <c r="L547">
        <v>0</v>
      </c>
    </row>
    <row r="548" spans="1:12" x14ac:dyDescent="0.3">
      <c r="A548" s="4">
        <v>43570</v>
      </c>
      <c r="B548" s="6">
        <v>1</v>
      </c>
      <c r="C548">
        <v>431572931.45255297</v>
      </c>
      <c r="D548">
        <v>2559750.9900403102</v>
      </c>
      <c r="E548">
        <v>1202.61106991</v>
      </c>
      <c r="F548">
        <v>2311059.6363478401</v>
      </c>
      <c r="G548">
        <v>1724485.9027551999</v>
      </c>
      <c r="H548">
        <v>31093458</v>
      </c>
      <c r="I548">
        <v>184333.993360208</v>
      </c>
      <c r="J548">
        <v>0</v>
      </c>
      <c r="K548">
        <v>54866.145304154801</v>
      </c>
      <c r="L548">
        <v>0</v>
      </c>
    </row>
    <row r="549" spans="1:12" x14ac:dyDescent="0.3">
      <c r="A549" s="4">
        <v>43569</v>
      </c>
      <c r="B549" s="6">
        <v>1</v>
      </c>
      <c r="C549">
        <v>420794633.20216101</v>
      </c>
      <c r="D549">
        <v>2558787.42478575</v>
      </c>
      <c r="E549">
        <v>1219.6894766800001</v>
      </c>
      <c r="F549">
        <v>2309368.4531598398</v>
      </c>
      <c r="G549">
        <v>1771571.26682233</v>
      </c>
      <c r="H549">
        <v>30066152</v>
      </c>
      <c r="I549">
        <v>182739.63410928001</v>
      </c>
      <c r="J549">
        <v>0</v>
      </c>
      <c r="K549">
        <v>54893.713428223702</v>
      </c>
      <c r="L549">
        <v>0</v>
      </c>
    </row>
    <row r="550" spans="1:12" x14ac:dyDescent="0.3">
      <c r="A550" s="4">
        <v>43568</v>
      </c>
      <c r="B550" s="6">
        <v>1</v>
      </c>
      <c r="C550">
        <v>422178167.39718199</v>
      </c>
      <c r="D550">
        <v>2566540.11302868</v>
      </c>
      <c r="E550">
        <v>1219.3056526800001</v>
      </c>
      <c r="F550">
        <v>2317890.9722079998</v>
      </c>
      <c r="G550">
        <v>1732772.84788754</v>
      </c>
      <c r="H550">
        <v>30137860</v>
      </c>
      <c r="I550">
        <v>183142.075838599</v>
      </c>
      <c r="J550">
        <v>0</v>
      </c>
      <c r="K550">
        <v>54836.294178859796</v>
      </c>
      <c r="L550">
        <v>0</v>
      </c>
    </row>
    <row r="551" spans="1:12" x14ac:dyDescent="0.3">
      <c r="A551" s="4">
        <v>43567</v>
      </c>
      <c r="B551" s="6">
        <v>1</v>
      </c>
      <c r="C551">
        <v>422629466.24575299</v>
      </c>
      <c r="D551">
        <v>2558729.7506656898</v>
      </c>
      <c r="E551">
        <v>1215.44616991</v>
      </c>
      <c r="F551">
        <v>2324949.6933466801</v>
      </c>
      <c r="G551">
        <v>1610849.2995621699</v>
      </c>
      <c r="H551">
        <v>28202685</v>
      </c>
      <c r="I551">
        <v>170677.10602759599</v>
      </c>
      <c r="J551">
        <v>0</v>
      </c>
      <c r="K551">
        <v>54741.1259857716</v>
      </c>
      <c r="L551">
        <v>0</v>
      </c>
    </row>
    <row r="552" spans="1:12" x14ac:dyDescent="0.3">
      <c r="A552" s="4">
        <v>43566</v>
      </c>
      <c r="B552" s="6">
        <v>1</v>
      </c>
      <c r="C552">
        <v>455052535.13941401</v>
      </c>
      <c r="D552">
        <v>2566490.3207621598</v>
      </c>
      <c r="E552">
        <v>1215.95815509</v>
      </c>
      <c r="F552">
        <v>2339531.6589002302</v>
      </c>
      <c r="G552">
        <v>1676530.19439768</v>
      </c>
      <c r="H552">
        <v>29865153</v>
      </c>
      <c r="I552">
        <v>168358.718078809</v>
      </c>
      <c r="J552">
        <v>0</v>
      </c>
      <c r="K552">
        <v>54950.204367322702</v>
      </c>
      <c r="L552">
        <v>0</v>
      </c>
    </row>
    <row r="553" spans="1:12" x14ac:dyDescent="0.3">
      <c r="A553" s="4">
        <v>43565</v>
      </c>
      <c r="B553" s="6">
        <v>1</v>
      </c>
      <c r="C553">
        <v>448110955.36426401</v>
      </c>
      <c r="D553">
        <v>2542948.4741917099</v>
      </c>
      <c r="E553">
        <v>1213.09629847</v>
      </c>
      <c r="F553">
        <v>2319082.58709358</v>
      </c>
      <c r="G553">
        <v>1696534.77761696</v>
      </c>
      <c r="H553">
        <v>28316545</v>
      </c>
      <c r="I553">
        <v>160615.683494044</v>
      </c>
      <c r="J553">
        <v>0</v>
      </c>
      <c r="K553">
        <v>55113.753209030001</v>
      </c>
      <c r="L553">
        <v>0</v>
      </c>
    </row>
    <row r="554" spans="1:12" x14ac:dyDescent="0.3">
      <c r="A554" s="4">
        <v>43564</v>
      </c>
      <c r="B554" s="6">
        <v>1</v>
      </c>
      <c r="C554">
        <v>461331272.71298897</v>
      </c>
      <c r="D554">
        <v>2548423.7103722501</v>
      </c>
      <c r="E554">
        <v>1215.0289906600001</v>
      </c>
      <c r="F554">
        <v>2321553.2907531699</v>
      </c>
      <c r="G554">
        <v>1556659.53003258</v>
      </c>
      <c r="H554">
        <v>30051534</v>
      </c>
      <c r="I554">
        <v>165975.55506461899</v>
      </c>
      <c r="J554">
        <v>0</v>
      </c>
      <c r="K554">
        <v>55111.719688779398</v>
      </c>
      <c r="L554">
        <v>0</v>
      </c>
    </row>
    <row r="555" spans="1:12" x14ac:dyDescent="0.3">
      <c r="A555" s="4">
        <v>43563</v>
      </c>
      <c r="B555" s="6">
        <v>1</v>
      </c>
      <c r="C555">
        <v>449259562.74877298</v>
      </c>
      <c r="D555">
        <v>2559362.67585578</v>
      </c>
      <c r="E555">
        <v>1217.2160584400001</v>
      </c>
      <c r="F555">
        <v>2324854.4292707201</v>
      </c>
      <c r="G555">
        <v>1543441.67645823</v>
      </c>
      <c r="H555">
        <v>29549849</v>
      </c>
      <c r="I555">
        <v>168308.07655066301</v>
      </c>
      <c r="J555">
        <v>0</v>
      </c>
      <c r="K555">
        <v>54940.869153335902</v>
      </c>
      <c r="L555">
        <v>0</v>
      </c>
    </row>
    <row r="556" spans="1:12" x14ac:dyDescent="0.3">
      <c r="A556" s="4">
        <v>43562</v>
      </c>
      <c r="B556" s="6">
        <v>1</v>
      </c>
      <c r="C556">
        <v>423569196.58799398</v>
      </c>
      <c r="D556">
        <v>2547847.7146980902</v>
      </c>
      <c r="E556">
        <v>1219.94545401</v>
      </c>
      <c r="F556">
        <v>2303635.17865586</v>
      </c>
      <c r="G556">
        <v>1636812.1072895699</v>
      </c>
      <c r="H556">
        <v>28481455</v>
      </c>
      <c r="I556">
        <v>171286.11378397801</v>
      </c>
      <c r="J556">
        <v>0</v>
      </c>
      <c r="K556">
        <v>55018.012876795903</v>
      </c>
      <c r="L556">
        <v>0</v>
      </c>
    </row>
    <row r="557" spans="1:12" x14ac:dyDescent="0.3">
      <c r="A557" s="4">
        <v>43561</v>
      </c>
      <c r="B557" s="6">
        <v>1</v>
      </c>
      <c r="C557">
        <v>423436054.70605701</v>
      </c>
      <c r="D557">
        <v>2545323.5771380402</v>
      </c>
      <c r="E557">
        <v>1221.8193360600001</v>
      </c>
      <c r="F557">
        <v>2309159.9742850401</v>
      </c>
      <c r="G557">
        <v>1653265.4566627</v>
      </c>
      <c r="H557">
        <v>27560794</v>
      </c>
      <c r="I557">
        <v>165639.725945068</v>
      </c>
      <c r="J557">
        <v>0</v>
      </c>
      <c r="K557">
        <v>55345.335503430302</v>
      </c>
      <c r="L557">
        <v>0</v>
      </c>
    </row>
    <row r="558" spans="1:12" x14ac:dyDescent="0.3">
      <c r="A558" s="4">
        <v>43560</v>
      </c>
      <c r="B558" s="6">
        <v>1</v>
      </c>
      <c r="C558">
        <v>400474749.473517</v>
      </c>
      <c r="D558">
        <v>2534020.49092174</v>
      </c>
      <c r="E558">
        <v>1223.5029044</v>
      </c>
      <c r="F558">
        <v>2292334.3276232001</v>
      </c>
      <c r="G558">
        <v>1658300.99809049</v>
      </c>
      <c r="H558">
        <v>26600538</v>
      </c>
      <c r="I558">
        <v>168283.279559688</v>
      </c>
      <c r="J558">
        <v>0</v>
      </c>
      <c r="K558">
        <v>55454.303670231398</v>
      </c>
      <c r="L558">
        <v>0</v>
      </c>
    </row>
    <row r="559" spans="1:12" x14ac:dyDescent="0.3">
      <c r="A559" s="4">
        <v>43559</v>
      </c>
      <c r="B559" s="6">
        <v>1</v>
      </c>
      <c r="C559">
        <v>406935727.83793598</v>
      </c>
      <c r="D559">
        <v>2525376.6037969901</v>
      </c>
      <c r="E559">
        <v>1228.7411746299999</v>
      </c>
      <c r="F559">
        <v>2283947.7650514501</v>
      </c>
      <c r="G559">
        <v>1602808.3176328701</v>
      </c>
      <c r="H559">
        <v>27623461</v>
      </c>
      <c r="I559">
        <v>171382.68395582499</v>
      </c>
      <c r="J559">
        <v>0</v>
      </c>
      <c r="K559">
        <v>53913.277611750898</v>
      </c>
      <c r="L559">
        <v>0</v>
      </c>
    </row>
    <row r="560" spans="1:12" x14ac:dyDescent="0.3">
      <c r="A560" s="4">
        <v>43558</v>
      </c>
      <c r="B560" s="6">
        <v>1</v>
      </c>
      <c r="C560">
        <v>417497619.410739</v>
      </c>
      <c r="D560">
        <v>2532080.72515612</v>
      </c>
      <c r="E560">
        <v>1232.0286171400001</v>
      </c>
      <c r="F560">
        <v>2295922.27958511</v>
      </c>
      <c r="G560">
        <v>1551281.3989313501</v>
      </c>
      <c r="H560">
        <v>27915741</v>
      </c>
      <c r="I560">
        <v>169258.11556417801</v>
      </c>
      <c r="J560">
        <v>0</v>
      </c>
      <c r="K560">
        <v>53075.684788998398</v>
      </c>
      <c r="L560">
        <v>0</v>
      </c>
    </row>
    <row r="561" spans="1:12" x14ac:dyDescent="0.3">
      <c r="A561" s="4">
        <v>43557</v>
      </c>
      <c r="B561" s="6">
        <v>1</v>
      </c>
      <c r="C561">
        <v>361586938.54911298</v>
      </c>
      <c r="D561">
        <v>2549715.6150863501</v>
      </c>
      <c r="E561">
        <v>1222.9814253899999</v>
      </c>
      <c r="F561">
        <v>2291663.3966475199</v>
      </c>
      <c r="G561">
        <v>1527676.14461765</v>
      </c>
      <c r="H561">
        <v>24610506</v>
      </c>
      <c r="I561">
        <v>173496.693690518</v>
      </c>
      <c r="J561">
        <v>0</v>
      </c>
      <c r="K561">
        <v>53152.819350038102</v>
      </c>
      <c r="L561">
        <v>0</v>
      </c>
    </row>
    <row r="562" spans="1:12" x14ac:dyDescent="0.3">
      <c r="A562" s="4">
        <v>43556</v>
      </c>
      <c r="B562" s="6">
        <v>1</v>
      </c>
      <c r="C562">
        <v>361391078.74644202</v>
      </c>
      <c r="D562">
        <v>2538379.0449438202</v>
      </c>
      <c r="E562">
        <v>1221.7601123500001</v>
      </c>
      <c r="F562">
        <v>2276553.8228073898</v>
      </c>
      <c r="G562">
        <v>1638420.8901917899</v>
      </c>
      <c r="H562">
        <v>24807741</v>
      </c>
      <c r="I562">
        <v>174211.66432584199</v>
      </c>
      <c r="J562">
        <v>0</v>
      </c>
      <c r="K562">
        <v>37932.427715196602</v>
      </c>
      <c r="L562">
        <v>0</v>
      </c>
    </row>
    <row r="563" spans="1:12" x14ac:dyDescent="0.3">
      <c r="A563" s="4">
        <v>43555</v>
      </c>
      <c r="B563" s="6">
        <v>1</v>
      </c>
      <c r="C563">
        <v>363419801.87894201</v>
      </c>
      <c r="D563">
        <v>2536765.0498988</v>
      </c>
      <c r="E563">
        <v>1226.14542463</v>
      </c>
      <c r="F563">
        <v>2277843.3125603902</v>
      </c>
      <c r="G563">
        <v>1608396.18947507</v>
      </c>
      <c r="H563">
        <v>25047191</v>
      </c>
      <c r="I563">
        <v>174800.69090655301</v>
      </c>
      <c r="J563">
        <v>0</v>
      </c>
      <c r="K563">
        <v>40195.1216076645</v>
      </c>
      <c r="L563">
        <v>0</v>
      </c>
    </row>
    <row r="564" spans="1:12" x14ac:dyDescent="0.3">
      <c r="A564" s="4">
        <v>43554</v>
      </c>
      <c r="B564" s="6">
        <v>1</v>
      </c>
      <c r="C564">
        <v>364747155.34590298</v>
      </c>
      <c r="D564">
        <v>2526287.6185859698</v>
      </c>
      <c r="E564">
        <v>1174.2790195099999</v>
      </c>
      <c r="F564">
        <v>2270838.7306249598</v>
      </c>
      <c r="G564">
        <v>1624034.4864710299</v>
      </c>
      <c r="H564">
        <v>24222173</v>
      </c>
      <c r="I564">
        <v>167731.96454539101</v>
      </c>
      <c r="J564">
        <v>0</v>
      </c>
      <c r="K564">
        <v>39492.211174978802</v>
      </c>
      <c r="L564">
        <v>0</v>
      </c>
    </row>
    <row r="565" spans="1:12" x14ac:dyDescent="0.3">
      <c r="A565" s="4">
        <v>43553</v>
      </c>
      <c r="B565" s="6">
        <v>1</v>
      </c>
      <c r="C565">
        <v>351322219.11576301</v>
      </c>
      <c r="D565">
        <v>2539160.5390562899</v>
      </c>
      <c r="E565">
        <v>1173.2899192</v>
      </c>
      <c r="F565">
        <v>2278666.8904019501</v>
      </c>
      <c r="G565">
        <v>1560532.9404897301</v>
      </c>
      <c r="H565">
        <v>23743863</v>
      </c>
      <c r="I565">
        <v>171572.10058530199</v>
      </c>
      <c r="J565">
        <v>0</v>
      </c>
      <c r="K565">
        <v>39477.952268903398</v>
      </c>
      <c r="L565">
        <v>0</v>
      </c>
    </row>
    <row r="566" spans="1:12" x14ac:dyDescent="0.3">
      <c r="A566" s="4">
        <v>43552</v>
      </c>
      <c r="B566" s="6">
        <v>1</v>
      </c>
      <c r="C566">
        <v>355080074.05963898</v>
      </c>
      <c r="D566">
        <v>2532641.92398202</v>
      </c>
      <c r="E566">
        <v>1170.8244642499999</v>
      </c>
      <c r="F566">
        <v>2282474.1535930801</v>
      </c>
      <c r="G566">
        <v>1515151.9728772</v>
      </c>
      <c r="H566">
        <v>23223623</v>
      </c>
      <c r="I566">
        <v>165610.946302503</v>
      </c>
      <c r="J566">
        <v>0</v>
      </c>
      <c r="K566">
        <v>39566.461088703902</v>
      </c>
      <c r="L566">
        <v>0</v>
      </c>
    </row>
    <row r="567" spans="1:12" x14ac:dyDescent="0.3">
      <c r="A567" s="4">
        <v>43551</v>
      </c>
      <c r="B567" s="6">
        <v>1</v>
      </c>
      <c r="C567">
        <v>340671272.20884198</v>
      </c>
      <c r="D567">
        <v>2537344.2624171502</v>
      </c>
      <c r="E567">
        <v>1169.6096582299999</v>
      </c>
      <c r="F567">
        <v>2284845.7647806499</v>
      </c>
      <c r="G567">
        <v>1469094.4069711401</v>
      </c>
      <c r="H567">
        <v>22319092</v>
      </c>
      <c r="I567">
        <v>166200.69997766</v>
      </c>
      <c r="J567">
        <v>0</v>
      </c>
      <c r="K567">
        <v>39606.394908905299</v>
      </c>
      <c r="L567">
        <v>0</v>
      </c>
    </row>
    <row r="568" spans="1:12" x14ac:dyDescent="0.3">
      <c r="A568" s="4">
        <v>43550</v>
      </c>
      <c r="B568" s="6">
        <v>1</v>
      </c>
      <c r="C568">
        <v>339473387.91824102</v>
      </c>
      <c r="D568">
        <v>2534655.98686175</v>
      </c>
      <c r="E568">
        <v>1162.6005351599999</v>
      </c>
      <c r="F568">
        <v>2282116.1507478398</v>
      </c>
      <c r="G568">
        <v>1414906.1660509501</v>
      </c>
      <c r="H568">
        <v>22175866</v>
      </c>
      <c r="I568">
        <v>165540.95252314099</v>
      </c>
      <c r="J568">
        <v>0</v>
      </c>
      <c r="K568">
        <v>39658.006829076097</v>
      </c>
      <c r="L568">
        <v>0</v>
      </c>
    </row>
    <row r="569" spans="1:12" x14ac:dyDescent="0.3">
      <c r="A569" s="4">
        <v>43549</v>
      </c>
      <c r="B569" s="6">
        <v>1</v>
      </c>
      <c r="C569">
        <v>344258346.97279698</v>
      </c>
      <c r="D569">
        <v>2527919.7562587098</v>
      </c>
      <c r="E569">
        <v>1146.4791111100001</v>
      </c>
      <c r="F569">
        <v>2283574.7415721398</v>
      </c>
      <c r="G569">
        <v>1406285.90280966</v>
      </c>
      <c r="H569">
        <v>21862502</v>
      </c>
      <c r="I569">
        <v>160505.851259085</v>
      </c>
      <c r="J569">
        <v>0</v>
      </c>
      <c r="K569">
        <v>39630.658906718898</v>
      </c>
      <c r="L569">
        <v>0</v>
      </c>
    </row>
    <row r="570" spans="1:12" x14ac:dyDescent="0.3">
      <c r="A570" s="4">
        <v>43548</v>
      </c>
      <c r="B570" s="6">
        <v>1</v>
      </c>
      <c r="C570">
        <v>349077280.78166699</v>
      </c>
      <c r="D570">
        <v>2534826.9493248099</v>
      </c>
      <c r="E570">
        <v>1147.91807926</v>
      </c>
      <c r="F570">
        <v>2289735.3261430901</v>
      </c>
      <c r="G570">
        <v>1375925.0255594701</v>
      </c>
      <c r="H570">
        <v>22282847</v>
      </c>
      <c r="I570">
        <v>161774.69870770999</v>
      </c>
      <c r="J570">
        <v>0</v>
      </c>
      <c r="K570">
        <v>40695.847662124797</v>
      </c>
      <c r="L570">
        <v>0</v>
      </c>
    </row>
    <row r="571" spans="1:12" x14ac:dyDescent="0.3">
      <c r="A571" s="4">
        <v>43547</v>
      </c>
      <c r="B571" s="6">
        <v>1</v>
      </c>
      <c r="C571">
        <v>345605446.148821</v>
      </c>
      <c r="D571">
        <v>2527602.0546943499</v>
      </c>
      <c r="E571">
        <v>1142.19217082</v>
      </c>
      <c r="F571">
        <v>2291947.76837422</v>
      </c>
      <c r="G571">
        <v>1370475.7265805099</v>
      </c>
      <c r="H571">
        <v>21420249</v>
      </c>
      <c r="I571">
        <v>156626.56478502401</v>
      </c>
      <c r="J571">
        <v>0</v>
      </c>
      <c r="K571">
        <v>41438.206863071697</v>
      </c>
      <c r="L571">
        <v>0</v>
      </c>
    </row>
    <row r="572" spans="1:12" x14ac:dyDescent="0.3">
      <c r="A572" s="4">
        <v>43546</v>
      </c>
      <c r="B572" s="6">
        <v>1</v>
      </c>
      <c r="C572">
        <v>345391636.90873802</v>
      </c>
      <c r="D572">
        <v>2547429.6512056598</v>
      </c>
      <c r="E572">
        <v>1141.2607452499999</v>
      </c>
      <c r="F572">
        <v>2315675.3693476301</v>
      </c>
      <c r="G572">
        <v>1412310.3747104299</v>
      </c>
      <c r="H572">
        <v>21238182</v>
      </c>
      <c r="I572">
        <v>156612.211488828</v>
      </c>
      <c r="J572">
        <v>0</v>
      </c>
      <c r="K572">
        <v>41461.555732024703</v>
      </c>
      <c r="L572">
        <v>0</v>
      </c>
    </row>
    <row r="573" spans="1:12" x14ac:dyDescent="0.3">
      <c r="A573" s="4">
        <v>43545</v>
      </c>
      <c r="B573" s="6">
        <v>1</v>
      </c>
      <c r="C573">
        <v>358491692.11858797</v>
      </c>
      <c r="D573">
        <v>2557281.6930537699</v>
      </c>
      <c r="E573">
        <v>1139.1956852399901</v>
      </c>
      <c r="F573">
        <v>2327237.6374029201</v>
      </c>
      <c r="G573">
        <v>1402952.4099800801</v>
      </c>
      <c r="H573">
        <v>22073646</v>
      </c>
      <c r="I573">
        <v>157421.52332049599</v>
      </c>
      <c r="J573">
        <v>0</v>
      </c>
      <c r="K573">
        <v>41912.227916982301</v>
      </c>
      <c r="L573">
        <v>0</v>
      </c>
    </row>
    <row r="574" spans="1:12" x14ac:dyDescent="0.3">
      <c r="A574" s="4">
        <v>43544</v>
      </c>
      <c r="B574" s="6">
        <v>1</v>
      </c>
      <c r="C574">
        <v>356802423.90607297</v>
      </c>
      <c r="D574">
        <v>2559125.49835078</v>
      </c>
      <c r="E574">
        <v>1128.2460092199999</v>
      </c>
      <c r="F574">
        <v>2326151.7739851801</v>
      </c>
      <c r="G574">
        <v>1447832.54377472</v>
      </c>
      <c r="H574">
        <v>21584343</v>
      </c>
      <c r="I574">
        <v>154770.85185716301</v>
      </c>
      <c r="J574">
        <v>0</v>
      </c>
      <c r="K574">
        <v>39843.9504819348</v>
      </c>
      <c r="L574">
        <v>0</v>
      </c>
    </row>
    <row r="575" spans="1:12" x14ac:dyDescent="0.3">
      <c r="A575" s="4">
        <v>43543</v>
      </c>
      <c r="B575" s="6">
        <v>1</v>
      </c>
      <c r="C575">
        <v>354885095.33400798</v>
      </c>
      <c r="D575">
        <v>2563010.3971119099</v>
      </c>
      <c r="E575">
        <v>1123.24488032</v>
      </c>
      <c r="F575">
        <v>2325946.8168034102</v>
      </c>
      <c r="G575">
        <v>1347480.13349782</v>
      </c>
      <c r="H575">
        <v>21905062</v>
      </c>
      <c r="I575">
        <v>158159.29241877201</v>
      </c>
      <c r="J575">
        <v>0</v>
      </c>
      <c r="K575">
        <v>39860.175640204703</v>
      </c>
      <c r="L575">
        <v>0</v>
      </c>
    </row>
    <row r="576" spans="1:12" x14ac:dyDescent="0.3">
      <c r="A576" s="4">
        <v>43542</v>
      </c>
      <c r="B576" s="6">
        <v>1</v>
      </c>
      <c r="C576">
        <v>357675000.56717002</v>
      </c>
      <c r="D576">
        <v>2560223.6367539698</v>
      </c>
      <c r="E576">
        <v>1124.1918380499999</v>
      </c>
      <c r="F576">
        <v>2323691.9302117298</v>
      </c>
      <c r="G576">
        <v>1343969.04182646</v>
      </c>
      <c r="H576">
        <v>22058098</v>
      </c>
      <c r="I576">
        <v>157850.994704451</v>
      </c>
      <c r="J576">
        <v>0</v>
      </c>
      <c r="K576">
        <v>39923.162774759003</v>
      </c>
      <c r="L576">
        <v>0</v>
      </c>
    </row>
    <row r="577" spans="1:12" x14ac:dyDescent="0.3">
      <c r="A577" s="4">
        <v>43541</v>
      </c>
      <c r="B577" s="6">
        <v>1</v>
      </c>
      <c r="C577">
        <v>356780974.24195498</v>
      </c>
      <c r="D577">
        <v>2518990.0479954798</v>
      </c>
      <c r="E577">
        <v>1125.18126082</v>
      </c>
      <c r="F577">
        <v>2288179.8806761699</v>
      </c>
      <c r="G577">
        <v>1336966.8947133301</v>
      </c>
      <c r="H577">
        <v>21775255</v>
      </c>
      <c r="I577">
        <v>153693.217108977</v>
      </c>
      <c r="J577">
        <v>0</v>
      </c>
      <c r="K577">
        <v>40258.7528046511</v>
      </c>
      <c r="L577">
        <v>0</v>
      </c>
    </row>
    <row r="578" spans="1:12" x14ac:dyDescent="0.3">
      <c r="A578" s="4">
        <v>43540</v>
      </c>
      <c r="B578" s="6">
        <v>1</v>
      </c>
      <c r="C578">
        <v>347370714.468288</v>
      </c>
      <c r="D578">
        <v>2524722.9819080099</v>
      </c>
      <c r="E578">
        <v>1128.0971991399999</v>
      </c>
      <c r="F578">
        <v>2287330.59150708</v>
      </c>
      <c r="G578">
        <v>1334370.60693222</v>
      </c>
      <c r="H578">
        <v>21640539</v>
      </c>
      <c r="I578">
        <v>157237.07767201899</v>
      </c>
      <c r="J578">
        <v>0</v>
      </c>
      <c r="K578">
        <v>35183.570040893203</v>
      </c>
      <c r="L578">
        <v>0</v>
      </c>
    </row>
    <row r="579" spans="1:12" x14ac:dyDescent="0.3">
      <c r="A579" s="4">
        <v>43539</v>
      </c>
      <c r="B579" s="6">
        <v>1</v>
      </c>
      <c r="C579">
        <v>334571527.63136601</v>
      </c>
      <c r="D579">
        <v>2518500.0677251802</v>
      </c>
      <c r="E579">
        <v>1135.3042404099999</v>
      </c>
      <c r="F579">
        <v>2278032.1908471398</v>
      </c>
      <c r="G579">
        <v>1297052.05476258</v>
      </c>
      <c r="H579">
        <v>21098307</v>
      </c>
      <c r="I579">
        <v>158765.196779291</v>
      </c>
      <c r="J579">
        <v>0</v>
      </c>
      <c r="K579">
        <v>35154.549741534698</v>
      </c>
      <c r="L579">
        <v>0</v>
      </c>
    </row>
    <row r="580" spans="1:12" x14ac:dyDescent="0.3">
      <c r="A580" s="4">
        <v>43538</v>
      </c>
      <c r="B580" s="6">
        <v>1</v>
      </c>
      <c r="C580">
        <v>334095008.00158501</v>
      </c>
      <c r="D580">
        <v>2514182.3365681102</v>
      </c>
      <c r="E580">
        <v>1139.2470761499901</v>
      </c>
      <c r="F580">
        <v>2269055.8805438201</v>
      </c>
      <c r="G580">
        <v>1286431.8851934399</v>
      </c>
      <c r="H580">
        <v>21267990</v>
      </c>
      <c r="I580">
        <v>159993.90656736601</v>
      </c>
      <c r="J580">
        <v>0</v>
      </c>
      <c r="K580">
        <v>29196.435166361902</v>
      </c>
      <c r="L580">
        <v>0</v>
      </c>
    </row>
    <row r="581" spans="1:12" x14ac:dyDescent="0.3">
      <c r="A581" s="4">
        <v>43537</v>
      </c>
      <c r="B581" s="6">
        <v>1</v>
      </c>
      <c r="C581">
        <v>337442664.356502</v>
      </c>
      <c r="D581">
        <v>2512129.7983180699</v>
      </c>
      <c r="E581">
        <v>1140.0337474200001</v>
      </c>
      <c r="F581">
        <v>2270466.3309016</v>
      </c>
      <c r="G581">
        <v>1262972.7385261499</v>
      </c>
      <c r="H581">
        <v>21259741</v>
      </c>
      <c r="I581">
        <v>158217.91322467799</v>
      </c>
      <c r="J581">
        <v>0</v>
      </c>
      <c r="K581">
        <v>31283.915826251901</v>
      </c>
      <c r="L581">
        <v>0</v>
      </c>
    </row>
    <row r="582" spans="1:12" x14ac:dyDescent="0.3">
      <c r="A582" s="4">
        <v>43536</v>
      </c>
      <c r="B582" s="6">
        <v>1</v>
      </c>
      <c r="C582">
        <v>335499328.07243401</v>
      </c>
      <c r="D582">
        <v>2513148.5172981801</v>
      </c>
      <c r="E582">
        <v>1146.5140766100001</v>
      </c>
      <c r="F582">
        <v>2267475.4821276199</v>
      </c>
      <c r="G582">
        <v>1249864.90593146</v>
      </c>
      <c r="H582">
        <v>21904509</v>
      </c>
      <c r="I582">
        <v>164029.57166392001</v>
      </c>
      <c r="J582">
        <v>0</v>
      </c>
      <c r="K582">
        <v>30927.9083609878</v>
      </c>
      <c r="L582">
        <v>0</v>
      </c>
    </row>
    <row r="583" spans="1:12" x14ac:dyDescent="0.3">
      <c r="A583" s="4">
        <v>43535</v>
      </c>
      <c r="B583" s="6">
        <v>1</v>
      </c>
      <c r="C583">
        <v>340950013.58101797</v>
      </c>
      <c r="D583">
        <v>2501149.6333235502</v>
      </c>
      <c r="E583">
        <v>1148.09261421</v>
      </c>
      <c r="F583">
        <v>2263632.34471467</v>
      </c>
      <c r="G583">
        <v>1254774.50972363</v>
      </c>
      <c r="H583">
        <v>21071415</v>
      </c>
      <c r="I583">
        <v>154527.83074215299</v>
      </c>
      <c r="J583">
        <v>0</v>
      </c>
      <c r="K583">
        <v>30506.156589337999</v>
      </c>
      <c r="L583">
        <v>0</v>
      </c>
    </row>
    <row r="584" spans="1:12" x14ac:dyDescent="0.3">
      <c r="A584" s="4">
        <v>43534</v>
      </c>
      <c r="B584" s="6">
        <v>1</v>
      </c>
      <c r="C584">
        <v>345221590.26481199</v>
      </c>
      <c r="D584">
        <v>2498039.1710069398</v>
      </c>
      <c r="E584">
        <v>1153.64373101</v>
      </c>
      <c r="F584">
        <v>2263842.2715183301</v>
      </c>
      <c r="G584">
        <v>1533818.65955021</v>
      </c>
      <c r="H584">
        <v>20413150</v>
      </c>
      <c r="I584">
        <v>147664.56886574</v>
      </c>
      <c r="J584">
        <v>0</v>
      </c>
      <c r="K584">
        <v>30682.828805020399</v>
      </c>
      <c r="L584">
        <v>0</v>
      </c>
    </row>
    <row r="585" spans="1:12" x14ac:dyDescent="0.3">
      <c r="A585" s="4">
        <v>43533</v>
      </c>
      <c r="B585" s="6">
        <v>1</v>
      </c>
      <c r="C585">
        <v>335897866.00746</v>
      </c>
      <c r="D585">
        <v>2499647.1656003501</v>
      </c>
      <c r="E585">
        <v>1151.8730688200001</v>
      </c>
      <c r="F585">
        <v>2268218.0433674799</v>
      </c>
      <c r="G585">
        <v>1362956.53530862</v>
      </c>
      <c r="H585">
        <v>20352506</v>
      </c>
      <c r="I585">
        <v>151409.805088528</v>
      </c>
      <c r="J585">
        <v>0</v>
      </c>
      <c r="K585">
        <v>31283.581064775299</v>
      </c>
      <c r="L585">
        <v>0</v>
      </c>
    </row>
    <row r="586" spans="1:12" x14ac:dyDescent="0.3">
      <c r="A586" s="4">
        <v>43532</v>
      </c>
      <c r="B586" s="6">
        <v>1</v>
      </c>
      <c r="C586">
        <v>341895186.631769</v>
      </c>
      <c r="D586">
        <v>2484551.8706865199</v>
      </c>
      <c r="E586">
        <v>1117.03908858</v>
      </c>
      <c r="F586">
        <v>2269339.5913605401</v>
      </c>
      <c r="G586">
        <v>1352917.96557078</v>
      </c>
      <c r="H586">
        <v>20507948</v>
      </c>
      <c r="I586">
        <v>148986.18234653099</v>
      </c>
      <c r="J586">
        <v>0</v>
      </c>
      <c r="K586">
        <v>31118.956000943999</v>
      </c>
      <c r="L586">
        <v>0</v>
      </c>
    </row>
    <row r="587" spans="1:12" x14ac:dyDescent="0.3">
      <c r="A587" s="4">
        <v>43531</v>
      </c>
      <c r="B587" s="6">
        <v>1</v>
      </c>
      <c r="C587">
        <v>343167121.76641703</v>
      </c>
      <c r="D587">
        <v>2478745.3606758602</v>
      </c>
      <c r="E587">
        <v>923.44181633999995</v>
      </c>
      <c r="F587">
        <v>2268498.0294548101</v>
      </c>
      <c r="G587">
        <v>1354130.95252292</v>
      </c>
      <c r="H587">
        <v>20500123</v>
      </c>
      <c r="I587">
        <v>148026.01631886701</v>
      </c>
      <c r="J587">
        <v>0</v>
      </c>
      <c r="K587">
        <v>31228.0510094739</v>
      </c>
      <c r="L587">
        <v>0</v>
      </c>
    </row>
    <row r="588" spans="1:12" x14ac:dyDescent="0.3">
      <c r="A588" s="4">
        <v>43530</v>
      </c>
      <c r="B588" s="6">
        <v>1</v>
      </c>
      <c r="C588">
        <v>339775095.60646403</v>
      </c>
      <c r="D588">
        <v>2463623.1856738902</v>
      </c>
      <c r="E588">
        <v>908.91809490999901</v>
      </c>
      <c r="F588">
        <v>2255287.7398261498</v>
      </c>
      <c r="G588">
        <v>1326359.19583886</v>
      </c>
      <c r="H588">
        <v>20169905</v>
      </c>
      <c r="I588">
        <v>146232.90799680899</v>
      </c>
      <c r="J588">
        <v>0</v>
      </c>
      <c r="K588">
        <v>30373.411598415099</v>
      </c>
      <c r="L588">
        <v>0</v>
      </c>
    </row>
    <row r="589" spans="1:12" x14ac:dyDescent="0.3">
      <c r="A589" s="4">
        <v>43529</v>
      </c>
      <c r="B589" s="6">
        <v>1</v>
      </c>
      <c r="C589">
        <v>312143231.311176</v>
      </c>
      <c r="D589">
        <v>2469239.78486118</v>
      </c>
      <c r="E589">
        <v>907.92961538999998</v>
      </c>
      <c r="F589">
        <v>2254434.09430103</v>
      </c>
      <c r="G589">
        <v>1312558.96324004</v>
      </c>
      <c r="H589">
        <v>18942132</v>
      </c>
      <c r="I589">
        <v>149823.07996519801</v>
      </c>
      <c r="J589">
        <v>0</v>
      </c>
      <c r="K589">
        <v>30270.3708164196</v>
      </c>
      <c r="L589">
        <v>0</v>
      </c>
    </row>
    <row r="590" spans="1:12" x14ac:dyDescent="0.3">
      <c r="A590" s="4">
        <v>43528</v>
      </c>
      <c r="B590" s="6">
        <v>1</v>
      </c>
      <c r="C590">
        <v>320522837.02214903</v>
      </c>
      <c r="D590">
        <v>2443189.26911058</v>
      </c>
      <c r="E590">
        <v>882.70370120999996</v>
      </c>
      <c r="F590">
        <v>2228041.0622685398</v>
      </c>
      <c r="G590">
        <v>1290008.7071572701</v>
      </c>
      <c r="H590">
        <v>20283843</v>
      </c>
      <c r="I590">
        <v>154590.67906409499</v>
      </c>
      <c r="J590">
        <v>0</v>
      </c>
      <c r="K590">
        <v>30238.262230533801</v>
      </c>
      <c r="L590">
        <v>0</v>
      </c>
    </row>
    <row r="591" spans="1:12" x14ac:dyDescent="0.3">
      <c r="A591" s="4">
        <v>43527</v>
      </c>
      <c r="B591" s="6">
        <v>1</v>
      </c>
      <c r="C591">
        <v>326807189.80179697</v>
      </c>
      <c r="D591">
        <v>2442660.64569165</v>
      </c>
      <c r="E591">
        <v>867.692505479999</v>
      </c>
      <c r="F591">
        <v>2232807.5151171298</v>
      </c>
      <c r="G591">
        <v>1301723.0348289099</v>
      </c>
      <c r="H591">
        <v>20101222</v>
      </c>
      <c r="I591">
        <v>150222.120917719</v>
      </c>
      <c r="J591">
        <v>0</v>
      </c>
      <c r="K591">
        <v>30174.8037505131</v>
      </c>
      <c r="L591">
        <v>0</v>
      </c>
    </row>
    <row r="592" spans="1:12" x14ac:dyDescent="0.3">
      <c r="A592" s="4">
        <v>43526</v>
      </c>
      <c r="B592" s="6">
        <v>1</v>
      </c>
      <c r="C592">
        <v>331146943.28683603</v>
      </c>
      <c r="D592">
        <v>2432560.8005875801</v>
      </c>
      <c r="E592">
        <v>863.39383705</v>
      </c>
      <c r="F592">
        <v>2225690.1840297701</v>
      </c>
      <c r="G592">
        <v>1223420.1468066501</v>
      </c>
      <c r="H592">
        <v>20307220</v>
      </c>
      <c r="I592">
        <v>149153.28681601101</v>
      </c>
      <c r="J592">
        <v>0</v>
      </c>
      <c r="K592">
        <v>30122.878993536298</v>
      </c>
      <c r="L592">
        <v>0</v>
      </c>
    </row>
    <row r="593" spans="1:12" x14ac:dyDescent="0.3">
      <c r="A593" s="4">
        <v>43525</v>
      </c>
      <c r="B593" s="6">
        <v>1</v>
      </c>
      <c r="C593">
        <v>328464104.47870898</v>
      </c>
      <c r="D593">
        <v>2410378.0834984202</v>
      </c>
      <c r="E593">
        <v>854.00406389</v>
      </c>
      <c r="F593">
        <v>2209737.4127074401</v>
      </c>
      <c r="G593">
        <v>1217342.60510473</v>
      </c>
      <c r="H593">
        <v>20072401</v>
      </c>
      <c r="I593">
        <v>147277.136987306</v>
      </c>
      <c r="J593">
        <v>0</v>
      </c>
      <c r="K593">
        <v>29320.821435501701</v>
      </c>
      <c r="L593">
        <v>0</v>
      </c>
    </row>
    <row r="594" spans="1:12" x14ac:dyDescent="0.3">
      <c r="A594" s="4">
        <v>43524</v>
      </c>
      <c r="B594" s="6">
        <v>1</v>
      </c>
      <c r="C594">
        <v>327475927.69739997</v>
      </c>
      <c r="D594">
        <v>2409316.28659702</v>
      </c>
      <c r="E594">
        <v>849.26793762</v>
      </c>
      <c r="F594">
        <v>2208643.5144171398</v>
      </c>
      <c r="G594">
        <v>1215367.01910864</v>
      </c>
      <c r="H594">
        <v>20545953</v>
      </c>
      <c r="I594">
        <v>151139.86317493001</v>
      </c>
      <c r="J594">
        <v>0</v>
      </c>
      <c r="K594">
        <v>29371.1672582067</v>
      </c>
      <c r="L594">
        <v>0</v>
      </c>
    </row>
    <row r="595" spans="1:12" x14ac:dyDescent="0.3">
      <c r="A595" s="4">
        <v>43523</v>
      </c>
      <c r="B595" s="6">
        <v>1</v>
      </c>
      <c r="C595">
        <v>329786633.55857801</v>
      </c>
      <c r="D595">
        <v>2405490.59218203</v>
      </c>
      <c r="E595">
        <v>837.92186741</v>
      </c>
      <c r="F595">
        <v>2196131.62977773</v>
      </c>
      <c r="G595">
        <v>1211516.6850389601</v>
      </c>
      <c r="H595">
        <v>20771191</v>
      </c>
      <c r="I595">
        <v>151481.84801633601</v>
      </c>
      <c r="J595">
        <v>0</v>
      </c>
      <c r="K595">
        <v>27096.690935666698</v>
      </c>
      <c r="L595">
        <v>0</v>
      </c>
    </row>
    <row r="596" spans="1:12" x14ac:dyDescent="0.3">
      <c r="A596" s="4">
        <v>43522</v>
      </c>
      <c r="B596" s="6">
        <v>1</v>
      </c>
      <c r="C596">
        <v>332737609.795959</v>
      </c>
      <c r="D596">
        <v>2393878.1254495699</v>
      </c>
      <c r="E596">
        <v>822.926936089999</v>
      </c>
      <c r="F596">
        <v>2183283.6414160999</v>
      </c>
      <c r="G596">
        <v>1184148.5361891501</v>
      </c>
      <c r="H596">
        <v>20930487</v>
      </c>
      <c r="I596">
        <v>150557.38023305999</v>
      </c>
      <c r="J596">
        <v>0</v>
      </c>
      <c r="K596">
        <v>26486.149584444</v>
      </c>
      <c r="L596">
        <v>0</v>
      </c>
    </row>
    <row r="597" spans="1:12" x14ac:dyDescent="0.3">
      <c r="A597" s="4">
        <v>43521</v>
      </c>
      <c r="B597" s="6">
        <v>1</v>
      </c>
      <c r="C597">
        <v>317876369.52487099</v>
      </c>
      <c r="D597">
        <v>2382921.6309398799</v>
      </c>
      <c r="E597">
        <v>834.30218267999999</v>
      </c>
      <c r="F597">
        <v>2172483.3919301699</v>
      </c>
      <c r="G597">
        <v>1197441.6004771199</v>
      </c>
      <c r="H597">
        <v>20002976</v>
      </c>
      <c r="I597">
        <v>149924.86883525699</v>
      </c>
      <c r="J597">
        <v>0</v>
      </c>
      <c r="K597">
        <v>27579.131446646301</v>
      </c>
      <c r="L597">
        <v>0</v>
      </c>
    </row>
    <row r="598" spans="1:12" x14ac:dyDescent="0.3">
      <c r="A598" s="4">
        <v>43520</v>
      </c>
      <c r="B598" s="6">
        <v>1</v>
      </c>
      <c r="C598">
        <v>377852925.75049698</v>
      </c>
      <c r="D598">
        <v>2369673.0749937301</v>
      </c>
      <c r="E598">
        <v>806.24392489000002</v>
      </c>
      <c r="F598">
        <v>2173228.8623305601</v>
      </c>
      <c r="G598">
        <v>1122099.2094988399</v>
      </c>
      <c r="H598">
        <v>23780970</v>
      </c>
      <c r="I598">
        <v>149115.688487584</v>
      </c>
      <c r="J598">
        <v>0</v>
      </c>
      <c r="K598">
        <v>27435.344665689099</v>
      </c>
      <c r="L598">
        <v>0</v>
      </c>
    </row>
    <row r="599" spans="1:12" x14ac:dyDescent="0.3">
      <c r="A599" s="4">
        <v>43519</v>
      </c>
      <c r="B599" s="6">
        <v>1</v>
      </c>
      <c r="C599">
        <v>353283961.69622397</v>
      </c>
      <c r="D599">
        <v>2370795.0281803501</v>
      </c>
      <c r="E599">
        <v>816.14400224999997</v>
      </c>
      <c r="F599">
        <v>2167405.0238589002</v>
      </c>
      <c r="G599">
        <v>1078076.67737063</v>
      </c>
      <c r="H599">
        <v>21975754</v>
      </c>
      <c r="I599">
        <v>147448.698336017</v>
      </c>
      <c r="J599">
        <v>0</v>
      </c>
      <c r="K599">
        <v>28585.9782632649</v>
      </c>
      <c r="L599">
        <v>0</v>
      </c>
    </row>
    <row r="600" spans="1:12" x14ac:dyDescent="0.3">
      <c r="A600" s="4">
        <v>43518</v>
      </c>
      <c r="B600" s="6">
        <v>1</v>
      </c>
      <c r="C600">
        <v>344586417.29754502</v>
      </c>
      <c r="D600">
        <v>2354783.95053293</v>
      </c>
      <c r="E600">
        <v>811.11923925999997</v>
      </c>
      <c r="F600">
        <v>2154798.6826292202</v>
      </c>
      <c r="G600">
        <v>1086734.4662910099</v>
      </c>
      <c r="H600">
        <v>21587397</v>
      </c>
      <c r="I600">
        <v>147495.19677507499</v>
      </c>
      <c r="J600">
        <v>0</v>
      </c>
      <c r="K600">
        <v>28471.6076061249</v>
      </c>
      <c r="L600">
        <v>0</v>
      </c>
    </row>
    <row r="601" spans="1:12" x14ac:dyDescent="0.3">
      <c r="A601" s="4">
        <v>43517</v>
      </c>
      <c r="B601" s="6">
        <v>1</v>
      </c>
      <c r="C601">
        <v>350343289.21420097</v>
      </c>
      <c r="D601">
        <v>2348080.1983515299</v>
      </c>
      <c r="E601">
        <v>811.07884461999902</v>
      </c>
      <c r="F601">
        <v>2151962.21355341</v>
      </c>
      <c r="G601">
        <v>1066129.4462758901</v>
      </c>
      <c r="H601">
        <v>22391044</v>
      </c>
      <c r="I601">
        <v>150043.85177243099</v>
      </c>
      <c r="J601">
        <v>0</v>
      </c>
      <c r="K601">
        <v>28773.785023800501</v>
      </c>
      <c r="L601">
        <v>0</v>
      </c>
    </row>
    <row r="602" spans="1:12" x14ac:dyDescent="0.3">
      <c r="A602" s="4">
        <v>43516</v>
      </c>
      <c r="B602" s="6">
        <v>1</v>
      </c>
      <c r="C602">
        <v>339836030.48540699</v>
      </c>
      <c r="D602">
        <v>2353857.34072022</v>
      </c>
      <c r="E602">
        <v>808.58304791</v>
      </c>
      <c r="F602">
        <v>2155132.3106513401</v>
      </c>
      <c r="G602">
        <v>1026422.7786396</v>
      </c>
      <c r="H602">
        <v>21785728</v>
      </c>
      <c r="I602">
        <v>150870.69252077499</v>
      </c>
      <c r="J602">
        <v>0</v>
      </c>
      <c r="K602">
        <v>28769.195293439501</v>
      </c>
      <c r="L602">
        <v>0</v>
      </c>
    </row>
    <row r="603" spans="1:12" x14ac:dyDescent="0.3">
      <c r="A603" s="4">
        <v>43515</v>
      </c>
      <c r="B603" s="6">
        <v>1</v>
      </c>
      <c r="C603">
        <v>344003715.72656798</v>
      </c>
      <c r="D603">
        <v>2348082.3585613798</v>
      </c>
      <c r="E603">
        <v>809.10540018999995</v>
      </c>
      <c r="F603">
        <v>2149266.6408601399</v>
      </c>
      <c r="G603">
        <v>964831.23380950198</v>
      </c>
      <c r="H603">
        <v>22330570</v>
      </c>
      <c r="I603">
        <v>152395.89162628801</v>
      </c>
      <c r="J603">
        <v>0</v>
      </c>
      <c r="K603">
        <v>28753.360920085499</v>
      </c>
      <c r="L603">
        <v>0</v>
      </c>
    </row>
    <row r="604" spans="1:12" x14ac:dyDescent="0.3">
      <c r="A604" s="4">
        <v>43514</v>
      </c>
      <c r="B604" s="6">
        <v>1</v>
      </c>
      <c r="C604">
        <v>317149549.75614101</v>
      </c>
      <c r="D604">
        <v>2362269.59338695</v>
      </c>
      <c r="E604">
        <v>805.10530760999995</v>
      </c>
      <c r="F604">
        <v>2149673.64384851</v>
      </c>
      <c r="G604">
        <v>976827.25188334496</v>
      </c>
      <c r="H604">
        <v>20979137</v>
      </c>
      <c r="I604">
        <v>156234.26422400901</v>
      </c>
      <c r="J604">
        <v>0</v>
      </c>
      <c r="K604">
        <v>28832.867817193601</v>
      </c>
      <c r="L604">
        <v>0</v>
      </c>
    </row>
    <row r="605" spans="1:12" x14ac:dyDescent="0.3">
      <c r="A605" s="4">
        <v>43513</v>
      </c>
      <c r="B605" s="6">
        <v>1</v>
      </c>
      <c r="C605">
        <v>291854285.41469997</v>
      </c>
      <c r="D605">
        <v>2368269.4953756202</v>
      </c>
      <c r="E605">
        <v>804.08318696999902</v>
      </c>
      <c r="F605">
        <v>2142882.67093836</v>
      </c>
      <c r="G605">
        <v>874420.91875337996</v>
      </c>
      <c r="H605">
        <v>20361950</v>
      </c>
      <c r="I605">
        <v>165195.11601492701</v>
      </c>
      <c r="J605">
        <v>0</v>
      </c>
      <c r="K605">
        <v>28848.080808113999</v>
      </c>
      <c r="L605">
        <v>0</v>
      </c>
    </row>
    <row r="606" spans="1:12" x14ac:dyDescent="0.3">
      <c r="A606" s="4">
        <v>43512</v>
      </c>
      <c r="B606" s="6">
        <v>1</v>
      </c>
      <c r="C606">
        <v>288644690.43250799</v>
      </c>
      <c r="D606">
        <v>2366026.0531060402</v>
      </c>
      <c r="E606">
        <v>802.76829774999999</v>
      </c>
      <c r="F606">
        <v>2139074.5293143098</v>
      </c>
      <c r="G606">
        <v>872751.72787890199</v>
      </c>
      <c r="H606">
        <v>20707907</v>
      </c>
      <c r="I606">
        <v>169709.121455499</v>
      </c>
      <c r="J606">
        <v>0</v>
      </c>
      <c r="K606">
        <v>29097.176153694501</v>
      </c>
      <c r="L606">
        <v>0</v>
      </c>
    </row>
    <row r="607" spans="1:12" x14ac:dyDescent="0.3">
      <c r="A607" s="4">
        <v>43511</v>
      </c>
      <c r="B607" s="6">
        <v>1</v>
      </c>
      <c r="C607">
        <v>285447675.18393701</v>
      </c>
      <c r="D607">
        <v>2362478.7836160501</v>
      </c>
      <c r="E607">
        <v>797.84064536999995</v>
      </c>
      <c r="F607">
        <v>2136813.4694699999</v>
      </c>
      <c r="G607">
        <v>944685.10359807604</v>
      </c>
      <c r="H607">
        <v>20398673</v>
      </c>
      <c r="I607">
        <v>168793.322300372</v>
      </c>
      <c r="J607">
        <v>0</v>
      </c>
      <c r="K607">
        <v>29103.395201582</v>
      </c>
      <c r="L607">
        <v>0</v>
      </c>
    </row>
    <row r="608" spans="1:12" x14ac:dyDescent="0.3">
      <c r="A608" s="4">
        <v>43510</v>
      </c>
      <c r="B608" s="6">
        <v>1</v>
      </c>
      <c r="C608">
        <v>289024010.540093</v>
      </c>
      <c r="D608">
        <v>2363527.1032622</v>
      </c>
      <c r="E608">
        <v>794.51992141999995</v>
      </c>
      <c r="F608">
        <v>2135497.01258564</v>
      </c>
      <c r="G608">
        <v>941909.10942930798</v>
      </c>
      <c r="H608">
        <v>21117601</v>
      </c>
      <c r="I608">
        <v>172656.373150192</v>
      </c>
      <c r="J608">
        <v>0</v>
      </c>
      <c r="K608">
        <v>29089.185676562902</v>
      </c>
      <c r="L608">
        <v>0</v>
      </c>
    </row>
    <row r="609" spans="1:12" x14ac:dyDescent="0.3">
      <c r="A609" s="4">
        <v>43509</v>
      </c>
      <c r="B609" s="6">
        <v>1</v>
      </c>
      <c r="C609">
        <v>288349989.651124</v>
      </c>
      <c r="D609">
        <v>2351895.22955231</v>
      </c>
      <c r="E609">
        <v>790.10641707999901</v>
      </c>
      <c r="F609">
        <v>2130192.1467934698</v>
      </c>
      <c r="G609">
        <v>905178.84690465603</v>
      </c>
      <c r="H609">
        <v>20808662</v>
      </c>
      <c r="I609">
        <v>169686.55304574699</v>
      </c>
      <c r="J609">
        <v>0</v>
      </c>
      <c r="K609">
        <v>29164.955996737001</v>
      </c>
      <c r="L609">
        <v>0</v>
      </c>
    </row>
    <row r="610" spans="1:12" x14ac:dyDescent="0.3">
      <c r="A610" s="4">
        <v>43508</v>
      </c>
      <c r="B610" s="6">
        <v>1</v>
      </c>
      <c r="C610">
        <v>283167584.31865799</v>
      </c>
      <c r="D610">
        <v>2345407.7509108898</v>
      </c>
      <c r="E610">
        <v>787.83613776999903</v>
      </c>
      <c r="F610">
        <v>2126158.83503858</v>
      </c>
      <c r="G610">
        <v>879016.83035543002</v>
      </c>
      <c r="H610">
        <v>20434445</v>
      </c>
      <c r="I610">
        <v>169215.34448492801</v>
      </c>
      <c r="J610">
        <v>0</v>
      </c>
      <c r="K610">
        <v>29137.3467929129</v>
      </c>
      <c r="L610">
        <v>0</v>
      </c>
    </row>
    <row r="611" spans="1:12" x14ac:dyDescent="0.3">
      <c r="A611" s="4">
        <v>43507</v>
      </c>
      <c r="B611" s="6">
        <v>1</v>
      </c>
      <c r="C611">
        <v>295699029.72598201</v>
      </c>
      <c r="D611">
        <v>2355168.26724</v>
      </c>
      <c r="E611">
        <v>782.78228458000001</v>
      </c>
      <c r="F611">
        <v>2134488.1875960999</v>
      </c>
      <c r="G611">
        <v>748399.04929042002</v>
      </c>
      <c r="H611">
        <v>21618545</v>
      </c>
      <c r="I611">
        <v>172149.58592132499</v>
      </c>
      <c r="J611">
        <v>0</v>
      </c>
      <c r="K611">
        <v>29086.893122750502</v>
      </c>
      <c r="L611">
        <v>0</v>
      </c>
    </row>
    <row r="612" spans="1:12" x14ac:dyDescent="0.3">
      <c r="A612" s="4">
        <v>43506</v>
      </c>
      <c r="B612" s="6">
        <v>1</v>
      </c>
      <c r="C612">
        <v>282232617.610075</v>
      </c>
      <c r="D612">
        <v>2363110.6060605999</v>
      </c>
      <c r="E612">
        <v>771.45283052000002</v>
      </c>
      <c r="F612">
        <v>2140012.9834559001</v>
      </c>
      <c r="G612">
        <v>792009.11716671998</v>
      </c>
      <c r="H612">
        <v>20523009</v>
      </c>
      <c r="I612">
        <v>171798.166750376</v>
      </c>
      <c r="J612">
        <v>0</v>
      </c>
      <c r="K612">
        <v>29410.7740872574</v>
      </c>
      <c r="L612">
        <v>0</v>
      </c>
    </row>
    <row r="613" spans="1:12" x14ac:dyDescent="0.3">
      <c r="A613" s="4">
        <v>43505</v>
      </c>
      <c r="B613" s="6">
        <v>1</v>
      </c>
      <c r="C613">
        <v>279693758.40575403</v>
      </c>
      <c r="D613">
        <v>2341269.9556448199</v>
      </c>
      <c r="E613">
        <v>768.32896685999901</v>
      </c>
      <c r="F613">
        <v>2117616.28406756</v>
      </c>
      <c r="G613">
        <v>756545.14132937195</v>
      </c>
      <c r="H613">
        <v>20666362</v>
      </c>
      <c r="I613">
        <v>172954.74098250901</v>
      </c>
      <c r="J613">
        <v>0</v>
      </c>
      <c r="K613">
        <v>28749.7529160798</v>
      </c>
      <c r="L613">
        <v>0</v>
      </c>
    </row>
    <row r="614" spans="1:12" x14ac:dyDescent="0.3">
      <c r="A614" s="4">
        <v>43504</v>
      </c>
      <c r="B614" s="6">
        <v>1</v>
      </c>
      <c r="C614">
        <v>247106205.019153</v>
      </c>
      <c r="D614">
        <v>2369796.07861936</v>
      </c>
      <c r="E614">
        <v>765.64145841999903</v>
      </c>
      <c r="F614">
        <v>2130515.6455540601</v>
      </c>
      <c r="G614">
        <v>662965.11260642402</v>
      </c>
      <c r="H614">
        <v>18681230</v>
      </c>
      <c r="I614">
        <v>179110.54650047899</v>
      </c>
      <c r="J614">
        <v>0</v>
      </c>
      <c r="K614">
        <v>28764.189287913199</v>
      </c>
      <c r="L614">
        <v>0</v>
      </c>
    </row>
    <row r="615" spans="1:12" x14ac:dyDescent="0.3">
      <c r="A615" s="4">
        <v>43503</v>
      </c>
      <c r="B615" s="6">
        <v>1</v>
      </c>
      <c r="C615">
        <v>246649396.89072901</v>
      </c>
      <c r="D615">
        <v>2360895.3971291799</v>
      </c>
      <c r="E615">
        <v>759.94237845999999</v>
      </c>
      <c r="F615">
        <v>2127402.45874607</v>
      </c>
      <c r="G615">
        <v>597477.89649263897</v>
      </c>
      <c r="H615">
        <v>18857339</v>
      </c>
      <c r="I615">
        <v>180453.00478468899</v>
      </c>
      <c r="J615">
        <v>0</v>
      </c>
      <c r="K615">
        <v>28231.019545204501</v>
      </c>
      <c r="L615">
        <v>0</v>
      </c>
    </row>
    <row r="616" spans="1:12" x14ac:dyDescent="0.3">
      <c r="A616" s="4">
        <v>43502</v>
      </c>
      <c r="B616" s="6">
        <v>1</v>
      </c>
      <c r="C616">
        <v>250459910.15670899</v>
      </c>
      <c r="D616">
        <v>2342888.2352941101</v>
      </c>
      <c r="E616">
        <v>752.10877578999998</v>
      </c>
      <c r="F616">
        <v>2106480.2965124501</v>
      </c>
      <c r="G616">
        <v>544739.48562719906</v>
      </c>
      <c r="H616">
        <v>19774951</v>
      </c>
      <c r="I616">
        <v>184933.61077340299</v>
      </c>
      <c r="J616">
        <v>0</v>
      </c>
      <c r="K616">
        <v>28532.577455715498</v>
      </c>
      <c r="L616">
        <v>0</v>
      </c>
    </row>
    <row r="617" spans="1:12" x14ac:dyDescent="0.3">
      <c r="A617" s="4">
        <v>43501</v>
      </c>
      <c r="B617" s="6">
        <v>1</v>
      </c>
      <c r="C617">
        <v>250236582.65313599</v>
      </c>
      <c r="D617">
        <v>2341445.8933582702</v>
      </c>
      <c r="E617">
        <v>735.51464837999902</v>
      </c>
      <c r="F617">
        <v>2103576.62133377</v>
      </c>
      <c r="G617">
        <v>530387.32572808606</v>
      </c>
      <c r="H617">
        <v>19663874</v>
      </c>
      <c r="I617">
        <v>183946.43592142101</v>
      </c>
      <c r="J617">
        <v>0</v>
      </c>
      <c r="K617">
        <v>28485.805798275</v>
      </c>
      <c r="L617">
        <v>0</v>
      </c>
    </row>
    <row r="618" spans="1:12" x14ac:dyDescent="0.3">
      <c r="A618" s="4">
        <v>43500</v>
      </c>
      <c r="B618" s="6">
        <v>1</v>
      </c>
      <c r="C618">
        <v>250410835.881825</v>
      </c>
      <c r="D618">
        <v>2336317.6942449398</v>
      </c>
      <c r="E618">
        <v>733.38975083999901</v>
      </c>
      <c r="F618">
        <v>2092417.0931621001</v>
      </c>
      <c r="G618">
        <v>558666.85149422497</v>
      </c>
      <c r="H618">
        <v>20438278</v>
      </c>
      <c r="I618">
        <v>190637.79498181099</v>
      </c>
      <c r="J618">
        <v>0</v>
      </c>
      <c r="K618">
        <v>28570.087722275501</v>
      </c>
      <c r="L618">
        <v>0</v>
      </c>
    </row>
    <row r="619" spans="1:12" x14ac:dyDescent="0.3">
      <c r="A619" s="4">
        <v>43499</v>
      </c>
      <c r="B619" s="6">
        <v>1</v>
      </c>
      <c r="C619">
        <v>259177995.86575499</v>
      </c>
      <c r="D619">
        <v>2335548.16216216</v>
      </c>
      <c r="E619">
        <v>727.79022259999999</v>
      </c>
      <c r="F619">
        <v>2089175.0588907001</v>
      </c>
      <c r="G619">
        <v>526569.098015422</v>
      </c>
      <c r="H619">
        <v>21003732</v>
      </c>
      <c r="I619">
        <v>189222.81081081001</v>
      </c>
      <c r="J619">
        <v>0</v>
      </c>
      <c r="K619">
        <v>28508.941196031999</v>
      </c>
      <c r="L619">
        <v>0</v>
      </c>
    </row>
    <row r="620" spans="1:12" x14ac:dyDescent="0.3">
      <c r="A620" s="4">
        <v>43498</v>
      </c>
      <c r="B620" s="6">
        <v>1</v>
      </c>
      <c r="C620">
        <v>247551610.13032001</v>
      </c>
      <c r="D620">
        <v>2313542.5768476101</v>
      </c>
      <c r="E620">
        <v>729.20308186</v>
      </c>
      <c r="F620">
        <v>2077236.79446274</v>
      </c>
      <c r="G620">
        <v>501546.00344255602</v>
      </c>
      <c r="H620">
        <v>18682990</v>
      </c>
      <c r="I620">
        <v>174558.441558441</v>
      </c>
      <c r="J620">
        <v>0</v>
      </c>
      <c r="K620">
        <v>28549.9781939405</v>
      </c>
      <c r="L620">
        <v>0</v>
      </c>
    </row>
    <row r="621" spans="1:12" x14ac:dyDescent="0.3">
      <c r="A621" s="4">
        <v>43497</v>
      </c>
      <c r="B621" s="6">
        <v>1</v>
      </c>
      <c r="C621">
        <v>247034432.46850601</v>
      </c>
      <c r="D621">
        <v>2311778.32351015</v>
      </c>
      <c r="E621">
        <v>731.21567958999901</v>
      </c>
      <c r="F621">
        <v>2071036.83648907</v>
      </c>
      <c r="G621">
        <v>431593.92335527198</v>
      </c>
      <c r="H621">
        <v>18878433</v>
      </c>
      <c r="I621">
        <v>176615.52062868301</v>
      </c>
      <c r="J621">
        <v>0</v>
      </c>
      <c r="K621">
        <v>25800.365829861999</v>
      </c>
      <c r="L621">
        <v>0</v>
      </c>
    </row>
    <row r="622" spans="1:12" x14ac:dyDescent="0.3">
      <c r="A622" s="4">
        <v>43496</v>
      </c>
      <c r="B622" s="6">
        <v>1</v>
      </c>
      <c r="C622">
        <v>250677815.17901599</v>
      </c>
      <c r="D622">
        <v>2299739.1324284598</v>
      </c>
      <c r="E622">
        <v>726.61056705999999</v>
      </c>
      <c r="F622">
        <v>2066282.7414313899</v>
      </c>
      <c r="G622">
        <v>432689.28292032599</v>
      </c>
      <c r="H622">
        <v>18578295</v>
      </c>
      <c r="I622">
        <v>170380.548422597</v>
      </c>
      <c r="J622">
        <v>0</v>
      </c>
      <c r="K622">
        <v>25570.773341389198</v>
      </c>
      <c r="L622">
        <v>0</v>
      </c>
    </row>
    <row r="623" spans="1:12" x14ac:dyDescent="0.3">
      <c r="A623" s="4">
        <v>43495</v>
      </c>
      <c r="B623" s="6">
        <v>1</v>
      </c>
      <c r="C623">
        <v>240202638</v>
      </c>
      <c r="D623">
        <v>2293103.9427207601</v>
      </c>
      <c r="E623">
        <v>724.20526916999995</v>
      </c>
      <c r="F623">
        <v>2060365.8072621401</v>
      </c>
      <c r="G623">
        <v>397096.43201230199</v>
      </c>
      <c r="H623">
        <v>17617835</v>
      </c>
      <c r="I623">
        <v>168189.35560859099</v>
      </c>
      <c r="J623">
        <v>0</v>
      </c>
      <c r="K623">
        <v>25351.046538496899</v>
      </c>
      <c r="L623">
        <v>0</v>
      </c>
    </row>
    <row r="624" spans="1:12" x14ac:dyDescent="0.3">
      <c r="A624" s="4">
        <v>43494</v>
      </c>
      <c r="B624" s="6">
        <v>1</v>
      </c>
      <c r="C624">
        <v>241263015</v>
      </c>
      <c r="D624">
        <v>2268362.3072583601</v>
      </c>
      <c r="E624">
        <v>718.5288534</v>
      </c>
      <c r="F624">
        <v>2047015.09155518</v>
      </c>
      <c r="G624">
        <v>411468.38959592697</v>
      </c>
      <c r="H624">
        <v>17070951</v>
      </c>
      <c r="I624">
        <v>160501.607747273</v>
      </c>
      <c r="J624">
        <v>0</v>
      </c>
      <c r="K624">
        <v>25402.752337114402</v>
      </c>
      <c r="L624">
        <v>0</v>
      </c>
    </row>
    <row r="625" spans="1:12" x14ac:dyDescent="0.3">
      <c r="A625" s="4">
        <v>43493</v>
      </c>
      <c r="B625" s="6">
        <v>1</v>
      </c>
      <c r="C625">
        <v>254581456</v>
      </c>
      <c r="D625">
        <v>2267582.22143048</v>
      </c>
      <c r="E625">
        <v>709.48611491999998</v>
      </c>
      <c r="F625">
        <v>2038902.13083741</v>
      </c>
      <c r="G625">
        <v>401891.28890962002</v>
      </c>
      <c r="H625">
        <v>19025437</v>
      </c>
      <c r="I625">
        <v>169461.45007570999</v>
      </c>
      <c r="J625">
        <v>0</v>
      </c>
      <c r="K625">
        <v>25263.072010380401</v>
      </c>
      <c r="L625">
        <v>0</v>
      </c>
    </row>
    <row r="626" spans="1:12" x14ac:dyDescent="0.3">
      <c r="A626" s="4">
        <v>43492</v>
      </c>
      <c r="B626" s="6">
        <v>1</v>
      </c>
      <c r="C626">
        <v>263712856</v>
      </c>
      <c r="D626">
        <v>2266937.6429124</v>
      </c>
      <c r="E626">
        <v>707.78881488000002</v>
      </c>
      <c r="F626">
        <v>2035481.8627117199</v>
      </c>
      <c r="G626">
        <v>392683.67859040102</v>
      </c>
      <c r="H626">
        <v>19633894</v>
      </c>
      <c r="I626">
        <v>168777.56382704299</v>
      </c>
      <c r="J626">
        <v>0</v>
      </c>
      <c r="K626">
        <v>25452.346835381701</v>
      </c>
      <c r="L626">
        <v>0</v>
      </c>
    </row>
    <row r="627" spans="1:12" x14ac:dyDescent="0.3">
      <c r="A627" s="4">
        <v>43491</v>
      </c>
      <c r="B627" s="6">
        <v>1</v>
      </c>
      <c r="C627">
        <v>262234452</v>
      </c>
      <c r="D627">
        <v>2262201.9668736998</v>
      </c>
      <c r="E627">
        <v>703.62360139999998</v>
      </c>
      <c r="F627">
        <v>2032359.20462778</v>
      </c>
      <c r="G627">
        <v>382121.81945230201</v>
      </c>
      <c r="H627">
        <v>19857411</v>
      </c>
      <c r="I627">
        <v>171302.717391304</v>
      </c>
      <c r="J627">
        <v>0</v>
      </c>
      <c r="K627">
        <v>25392.166971533999</v>
      </c>
      <c r="L627">
        <v>0</v>
      </c>
    </row>
    <row r="628" spans="1:12" x14ac:dyDescent="0.3">
      <c r="A628" s="4">
        <v>43490</v>
      </c>
      <c r="B628" s="6">
        <v>1</v>
      </c>
      <c r="C628">
        <v>266247390</v>
      </c>
      <c r="D628">
        <v>2262084.8768054298</v>
      </c>
      <c r="E628">
        <v>701.43501645999902</v>
      </c>
      <c r="F628">
        <v>2029596.5534842899</v>
      </c>
      <c r="G628">
        <v>331826.37621300999</v>
      </c>
      <c r="H628">
        <v>20628334</v>
      </c>
      <c r="I628">
        <v>175261.97111299899</v>
      </c>
      <c r="J628">
        <v>0</v>
      </c>
      <c r="K628">
        <v>24994.256630165899</v>
      </c>
      <c r="L628">
        <v>0</v>
      </c>
    </row>
    <row r="629" spans="1:12" x14ac:dyDescent="0.3">
      <c r="A629" s="4">
        <v>43489</v>
      </c>
      <c r="B629" s="6">
        <v>1</v>
      </c>
      <c r="C629">
        <v>262336919</v>
      </c>
      <c r="D629">
        <v>2231325.3295908798</v>
      </c>
      <c r="E629">
        <v>696.87540688000001</v>
      </c>
      <c r="F629">
        <v>2003278.8163230701</v>
      </c>
      <c r="G629">
        <v>319060.97239159897</v>
      </c>
      <c r="H629">
        <v>19991485</v>
      </c>
      <c r="I629">
        <v>170038.99804371799</v>
      </c>
      <c r="J629">
        <v>0</v>
      </c>
      <c r="K629">
        <v>24867.430117131302</v>
      </c>
      <c r="L629">
        <v>0</v>
      </c>
    </row>
    <row r="630" spans="1:12" x14ac:dyDescent="0.3">
      <c r="A630" s="4">
        <v>43488</v>
      </c>
      <c r="B630" s="6">
        <v>1</v>
      </c>
      <c r="C630">
        <v>265095598</v>
      </c>
      <c r="D630">
        <v>2225449.94963062</v>
      </c>
      <c r="E630">
        <v>692.06839823999996</v>
      </c>
      <c r="F630">
        <v>1997373.41667505</v>
      </c>
      <c r="G630">
        <v>305194.94933628797</v>
      </c>
      <c r="H630">
        <v>20422124</v>
      </c>
      <c r="I630">
        <v>171441.605104096</v>
      </c>
      <c r="J630">
        <v>0</v>
      </c>
      <c r="K630">
        <v>24917.4173479128</v>
      </c>
      <c r="L630">
        <v>0</v>
      </c>
    </row>
    <row r="631" spans="1:12" x14ac:dyDescent="0.3">
      <c r="A631" s="4">
        <v>43487</v>
      </c>
      <c r="B631" s="6">
        <v>1</v>
      </c>
      <c r="C631">
        <v>262113451</v>
      </c>
      <c r="D631">
        <v>2245660.1353666899</v>
      </c>
      <c r="E631">
        <v>677.79015176999997</v>
      </c>
      <c r="F631">
        <v>2004417.23509829</v>
      </c>
      <c r="G631">
        <v>351926.12939333997</v>
      </c>
      <c r="H631">
        <v>21266832</v>
      </c>
      <c r="I631">
        <v>182203.83824537299</v>
      </c>
      <c r="J631">
        <v>0</v>
      </c>
      <c r="K631">
        <v>25215.318303329401</v>
      </c>
      <c r="L631">
        <v>0</v>
      </c>
    </row>
    <row r="632" spans="1:12" x14ac:dyDescent="0.3">
      <c r="A632" s="4">
        <v>43486</v>
      </c>
      <c r="B632" s="6">
        <v>1</v>
      </c>
      <c r="C632">
        <v>265626451</v>
      </c>
      <c r="D632">
        <v>2243277.1809813301</v>
      </c>
      <c r="E632">
        <v>644.81815309000001</v>
      </c>
      <c r="F632">
        <v>1999748.8542484101</v>
      </c>
      <c r="G632">
        <v>341714.67645062</v>
      </c>
      <c r="H632">
        <v>22409808</v>
      </c>
      <c r="I632">
        <v>189256.04256397201</v>
      </c>
      <c r="J632">
        <v>0</v>
      </c>
      <c r="K632">
        <v>26536.753192334501</v>
      </c>
      <c r="L632">
        <v>0</v>
      </c>
    </row>
    <row r="633" spans="1:12" x14ac:dyDescent="0.3">
      <c r="A633" s="4">
        <v>43485</v>
      </c>
      <c r="B633" s="6">
        <v>1</v>
      </c>
      <c r="C633">
        <v>273672243</v>
      </c>
      <c r="D633">
        <v>2192008.35402482</v>
      </c>
      <c r="E633">
        <v>581.35611295000001</v>
      </c>
      <c r="F633">
        <v>1965652.2626406001</v>
      </c>
      <c r="G633">
        <v>330134.17055399599</v>
      </c>
      <c r="H633">
        <v>21957567</v>
      </c>
      <c r="I633">
        <v>175871.58189827701</v>
      </c>
      <c r="J633">
        <v>0</v>
      </c>
      <c r="K633">
        <v>26759.832250508902</v>
      </c>
      <c r="L633">
        <v>0</v>
      </c>
    </row>
    <row r="634" spans="1:12" x14ac:dyDescent="0.3">
      <c r="A634" s="4">
        <v>43484</v>
      </c>
      <c r="B634" s="6">
        <v>1</v>
      </c>
      <c r="C634">
        <v>263819482</v>
      </c>
      <c r="D634">
        <v>2188102.1978933299</v>
      </c>
      <c r="E634">
        <v>575.35680293999997</v>
      </c>
      <c r="F634">
        <v>1959359.8724521999</v>
      </c>
      <c r="G634">
        <v>335655.79310536798</v>
      </c>
      <c r="H634">
        <v>20878577</v>
      </c>
      <c r="I634">
        <v>173165.605042713</v>
      </c>
      <c r="J634">
        <v>0</v>
      </c>
      <c r="K634">
        <v>26013.667421900402</v>
      </c>
      <c r="L634">
        <v>0</v>
      </c>
    </row>
    <row r="635" spans="1:12" x14ac:dyDescent="0.3">
      <c r="A635" s="4">
        <v>43483</v>
      </c>
      <c r="B635" s="6">
        <v>1</v>
      </c>
      <c r="C635">
        <v>269638358</v>
      </c>
      <c r="D635">
        <v>2179424.16747494</v>
      </c>
      <c r="E635">
        <v>570.90439612</v>
      </c>
      <c r="F635">
        <v>1954922.2294306899</v>
      </c>
      <c r="G635">
        <v>344455.60650285601</v>
      </c>
      <c r="H635">
        <v>21339951</v>
      </c>
      <c r="I635">
        <v>172485.86323957299</v>
      </c>
      <c r="J635">
        <v>0</v>
      </c>
      <c r="K635">
        <v>26515.277643523099</v>
      </c>
      <c r="L635">
        <v>0</v>
      </c>
    </row>
    <row r="636" spans="1:12" x14ac:dyDescent="0.3">
      <c r="A636" s="4">
        <v>43482</v>
      </c>
      <c r="B636" s="6">
        <v>1</v>
      </c>
      <c r="C636">
        <v>267901443</v>
      </c>
      <c r="D636">
        <v>2175937.6461988199</v>
      </c>
      <c r="E636">
        <v>570.55246217000001</v>
      </c>
      <c r="F636">
        <v>1961714.9219593201</v>
      </c>
      <c r="G636">
        <v>355055.58123538899</v>
      </c>
      <c r="H636">
        <v>20160302</v>
      </c>
      <c r="I636">
        <v>163745.142949967</v>
      </c>
      <c r="J636">
        <v>0</v>
      </c>
      <c r="K636">
        <v>26501.028779968699</v>
      </c>
      <c r="L636">
        <v>0</v>
      </c>
    </row>
    <row r="637" spans="1:12" x14ac:dyDescent="0.3">
      <c r="A637" s="4">
        <v>43481</v>
      </c>
      <c r="B637" s="6">
        <v>1</v>
      </c>
      <c r="C637">
        <v>258576812</v>
      </c>
      <c r="D637">
        <v>2133120.0461969902</v>
      </c>
      <c r="E637">
        <v>564.96371420000003</v>
      </c>
      <c r="F637">
        <v>1949755.27923838</v>
      </c>
      <c r="G637">
        <v>342033.47593255999</v>
      </c>
      <c r="H637">
        <v>15925141</v>
      </c>
      <c r="I637">
        <v>131373.87394819301</v>
      </c>
      <c r="J637">
        <v>0</v>
      </c>
      <c r="K637">
        <v>26266.498264012898</v>
      </c>
      <c r="L637">
        <v>0</v>
      </c>
    </row>
    <row r="638" spans="1:12" x14ac:dyDescent="0.3">
      <c r="A638" s="4">
        <v>43480</v>
      </c>
      <c r="B638" s="6">
        <v>1</v>
      </c>
      <c r="C638">
        <v>275852789</v>
      </c>
      <c r="D638">
        <v>2126196.9246184598</v>
      </c>
      <c r="E638">
        <v>562.92254919000004</v>
      </c>
      <c r="F638">
        <v>1945529.19510009</v>
      </c>
      <c r="G638">
        <v>373750.43724099098</v>
      </c>
      <c r="H638">
        <v>16875979</v>
      </c>
      <c r="I638">
        <v>130075.373824572</v>
      </c>
      <c r="J638">
        <v>0</v>
      </c>
      <c r="K638">
        <v>26263.976085189901</v>
      </c>
      <c r="L638">
        <v>0</v>
      </c>
    </row>
    <row r="639" spans="1:12" x14ac:dyDescent="0.3">
      <c r="A639" s="4">
        <v>43479</v>
      </c>
      <c r="B639" s="6">
        <v>1</v>
      </c>
      <c r="C639">
        <v>243273119</v>
      </c>
      <c r="D639">
        <v>2087106.3743994499</v>
      </c>
      <c r="E639">
        <v>551.65687873000002</v>
      </c>
      <c r="F639">
        <v>1908553.4880527901</v>
      </c>
      <c r="G639">
        <v>391889.02285991202</v>
      </c>
      <c r="H639">
        <v>13975014</v>
      </c>
      <c r="I639">
        <v>119895.452985586</v>
      </c>
      <c r="J639">
        <v>0</v>
      </c>
      <c r="K639">
        <v>26154.799716714599</v>
      </c>
      <c r="L639">
        <v>0</v>
      </c>
    </row>
    <row r="640" spans="1:12" x14ac:dyDescent="0.3">
      <c r="A640" s="4">
        <v>43478</v>
      </c>
      <c r="B640" s="6">
        <v>1</v>
      </c>
      <c r="C640">
        <v>260909792</v>
      </c>
      <c r="D640">
        <v>2073510.22808551</v>
      </c>
      <c r="E640">
        <v>547.36052926000002</v>
      </c>
      <c r="F640">
        <v>1894318.9172059901</v>
      </c>
      <c r="G640">
        <v>406499.22829041397</v>
      </c>
      <c r="H640">
        <v>16032643</v>
      </c>
      <c r="I640">
        <v>127415.10768497099</v>
      </c>
      <c r="J640">
        <v>0</v>
      </c>
      <c r="K640">
        <v>25690.2473266163</v>
      </c>
      <c r="L640">
        <v>0</v>
      </c>
    </row>
    <row r="641" spans="1:12" x14ac:dyDescent="0.3">
      <c r="A641" s="4">
        <v>43477</v>
      </c>
      <c r="B641" s="6">
        <v>1</v>
      </c>
      <c r="C641">
        <v>262775839</v>
      </c>
      <c r="D641">
        <v>2066497.6329034199</v>
      </c>
      <c r="E641">
        <v>544.43033478999996</v>
      </c>
      <c r="F641">
        <v>1890195.3607650001</v>
      </c>
      <c r="G641">
        <v>408003.757633931</v>
      </c>
      <c r="H641">
        <v>15779009</v>
      </c>
      <c r="I641">
        <v>124087.834224598</v>
      </c>
      <c r="J641">
        <v>0</v>
      </c>
      <c r="K641">
        <v>25449.334306010802</v>
      </c>
      <c r="L641">
        <v>0</v>
      </c>
    </row>
    <row r="642" spans="1:12" x14ac:dyDescent="0.3">
      <c r="A642" s="4">
        <v>43476</v>
      </c>
      <c r="B642" s="6">
        <v>1</v>
      </c>
      <c r="C642">
        <v>264366447</v>
      </c>
      <c r="D642">
        <v>2066008.49484213</v>
      </c>
      <c r="E642">
        <v>496.167775809999</v>
      </c>
      <c r="F642">
        <v>1891303.42057908</v>
      </c>
      <c r="G642">
        <v>417269.33182542003</v>
      </c>
      <c r="H642">
        <v>15809177</v>
      </c>
      <c r="I642">
        <v>123547.80400125</v>
      </c>
      <c r="J642">
        <v>0</v>
      </c>
      <c r="K642">
        <v>25126.3198758053</v>
      </c>
      <c r="L642">
        <v>0</v>
      </c>
    </row>
    <row r="643" spans="1:12" x14ac:dyDescent="0.3">
      <c r="A643" s="4">
        <v>43475</v>
      </c>
      <c r="B643" s="6">
        <v>1</v>
      </c>
      <c r="C643">
        <v>310190841</v>
      </c>
      <c r="D643">
        <v>2051933.85592379</v>
      </c>
      <c r="E643">
        <v>497.21766678</v>
      </c>
      <c r="F643">
        <v>1884180.1516883799</v>
      </c>
      <c r="G643">
        <v>427915.17794202297</v>
      </c>
      <c r="H643">
        <v>18855971</v>
      </c>
      <c r="I643">
        <v>124733.55163061401</v>
      </c>
      <c r="J643">
        <v>0</v>
      </c>
      <c r="K643">
        <v>25048.345127525299</v>
      </c>
      <c r="L643">
        <v>0</v>
      </c>
    </row>
    <row r="644" spans="1:12" x14ac:dyDescent="0.3">
      <c r="A644" s="4">
        <v>43474</v>
      </c>
      <c r="B644" s="6">
        <v>1</v>
      </c>
      <c r="C644">
        <v>309525374</v>
      </c>
      <c r="D644">
        <v>2048480.30443414</v>
      </c>
      <c r="E644">
        <v>500.217027489999</v>
      </c>
      <c r="F644">
        <v>1878258.51747747</v>
      </c>
      <c r="G644">
        <v>427715.88167607202</v>
      </c>
      <c r="H644">
        <v>18523486</v>
      </c>
      <c r="I644">
        <v>122590.90668431501</v>
      </c>
      <c r="J644">
        <v>0</v>
      </c>
      <c r="K644">
        <v>25042.244360082601</v>
      </c>
      <c r="L644">
        <v>0</v>
      </c>
    </row>
    <row r="645" spans="1:12" x14ac:dyDescent="0.3">
      <c r="A645" s="4">
        <v>43473</v>
      </c>
      <c r="B645" s="6">
        <v>1</v>
      </c>
      <c r="C645">
        <v>311754106</v>
      </c>
      <c r="D645">
        <v>2049800.1578013001</v>
      </c>
      <c r="E645">
        <v>503.14587764999999</v>
      </c>
      <c r="F645">
        <v>1888598.6337989001</v>
      </c>
      <c r="G645">
        <v>401940.81731012301</v>
      </c>
      <c r="H645">
        <v>17397404</v>
      </c>
      <c r="I645">
        <v>114388.875008218</v>
      </c>
      <c r="J645">
        <v>0</v>
      </c>
      <c r="K645">
        <v>24861.854109464599</v>
      </c>
      <c r="L645">
        <v>0</v>
      </c>
    </row>
    <row r="646" spans="1:12" x14ac:dyDescent="0.3">
      <c r="A646" s="4">
        <v>43472</v>
      </c>
      <c r="B646" s="6">
        <v>1</v>
      </c>
      <c r="C646">
        <v>325798602</v>
      </c>
      <c r="D646">
        <v>2054086.1358048001</v>
      </c>
      <c r="E646">
        <v>482.34985649999999</v>
      </c>
      <c r="F646">
        <v>1896347.9469750901</v>
      </c>
      <c r="G646">
        <v>382927.61873973999</v>
      </c>
      <c r="H646">
        <v>17953079</v>
      </c>
      <c r="I646">
        <v>113190.082592522</v>
      </c>
      <c r="J646">
        <v>0</v>
      </c>
      <c r="K646">
        <v>25134.815679008701</v>
      </c>
      <c r="L646">
        <v>0</v>
      </c>
    </row>
    <row r="647" spans="1:12" x14ac:dyDescent="0.3">
      <c r="A647" s="4">
        <v>43471</v>
      </c>
      <c r="B647" s="6">
        <v>1</v>
      </c>
      <c r="C647">
        <v>321885379</v>
      </c>
      <c r="D647">
        <v>2060330.14785892</v>
      </c>
      <c r="E647">
        <v>574.37245619999999</v>
      </c>
      <c r="F647">
        <v>1901676.0685967</v>
      </c>
      <c r="G647">
        <v>408983.71354947699</v>
      </c>
      <c r="H647">
        <v>17482686</v>
      </c>
      <c r="I647">
        <v>111903.514049798</v>
      </c>
      <c r="J647">
        <v>0</v>
      </c>
      <c r="K647">
        <v>24653.341820653401</v>
      </c>
      <c r="L647">
        <v>0</v>
      </c>
    </row>
    <row r="648" spans="1:12" x14ac:dyDescent="0.3">
      <c r="A648" s="4">
        <v>43470</v>
      </c>
      <c r="B648" s="6">
        <v>1</v>
      </c>
      <c r="C648">
        <v>324574806</v>
      </c>
      <c r="D648">
        <v>2080074.3783645199</v>
      </c>
      <c r="E648">
        <v>573.24451867000005</v>
      </c>
      <c r="F648">
        <v>1925204.26824405</v>
      </c>
      <c r="G648">
        <v>382731.18359889399</v>
      </c>
      <c r="H648">
        <v>17196568</v>
      </c>
      <c r="I648">
        <v>110206.15226864901</v>
      </c>
      <c r="J648">
        <v>0</v>
      </c>
      <c r="K648">
        <v>24882.370483796502</v>
      </c>
      <c r="L648">
        <v>0</v>
      </c>
    </row>
    <row r="649" spans="1:12" x14ac:dyDescent="0.3">
      <c r="A649" s="4">
        <v>43469</v>
      </c>
      <c r="B649" s="6">
        <v>1</v>
      </c>
      <c r="C649">
        <v>312652014</v>
      </c>
      <c r="D649">
        <v>2092157.48126338</v>
      </c>
      <c r="E649">
        <v>571.51395529000001</v>
      </c>
      <c r="F649">
        <v>1936668.9732349899</v>
      </c>
      <c r="G649">
        <v>386165.49151696998</v>
      </c>
      <c r="H649">
        <v>16224471</v>
      </c>
      <c r="I649">
        <v>108568.46225909999</v>
      </c>
      <c r="J649">
        <v>0</v>
      </c>
      <c r="K649">
        <v>24427.871318552199</v>
      </c>
      <c r="L649">
        <v>0</v>
      </c>
    </row>
    <row r="650" spans="1:12" x14ac:dyDescent="0.3">
      <c r="A650" s="4">
        <v>43468</v>
      </c>
      <c r="B650" s="6">
        <v>1</v>
      </c>
      <c r="C650">
        <v>326649372</v>
      </c>
      <c r="D650">
        <v>2086283.27265759</v>
      </c>
      <c r="E650">
        <v>569.50125406999996</v>
      </c>
      <c r="F650">
        <v>1937210.1618691201</v>
      </c>
      <c r="G650">
        <v>324870.48135646799</v>
      </c>
      <c r="H650">
        <v>16999755</v>
      </c>
      <c r="I650">
        <v>108576.068212301</v>
      </c>
      <c r="J650">
        <v>0</v>
      </c>
      <c r="K650">
        <v>25245.760102568202</v>
      </c>
      <c r="L650">
        <v>0</v>
      </c>
    </row>
    <row r="651" spans="1:12" x14ac:dyDescent="0.3">
      <c r="A651" s="4">
        <v>43467</v>
      </c>
      <c r="B651" s="6">
        <v>1</v>
      </c>
      <c r="C651">
        <v>297580658</v>
      </c>
      <c r="D651">
        <v>2085943.20762652</v>
      </c>
      <c r="E651">
        <v>566.9248106</v>
      </c>
      <c r="F651">
        <v>1937458.76842608</v>
      </c>
      <c r="G651">
        <v>347055.038437062</v>
      </c>
      <c r="H651">
        <v>14349079</v>
      </c>
      <c r="I651">
        <v>100582.35665217999</v>
      </c>
      <c r="J651">
        <v>0</v>
      </c>
      <c r="K651">
        <v>25401.718579577901</v>
      </c>
      <c r="L651">
        <v>0</v>
      </c>
    </row>
    <row r="652" spans="1:12" x14ac:dyDescent="0.3">
      <c r="A652" s="4">
        <v>43466</v>
      </c>
      <c r="B652" s="6">
        <v>1</v>
      </c>
      <c r="C652">
        <v>278750242</v>
      </c>
      <c r="D652">
        <v>2088173.2114765099</v>
      </c>
      <c r="E652">
        <v>563.37992369000006</v>
      </c>
      <c r="F652">
        <v>1937500.9774925399</v>
      </c>
      <c r="G652">
        <v>337127.88103373599</v>
      </c>
      <c r="H652">
        <v>13453351</v>
      </c>
      <c r="I652">
        <v>100781.713986066</v>
      </c>
      <c r="J652">
        <v>0</v>
      </c>
      <c r="K652">
        <v>25450.792067725801</v>
      </c>
      <c r="L652">
        <v>0</v>
      </c>
    </row>
    <row r="653" spans="1:12" x14ac:dyDescent="0.3">
      <c r="A653" s="4">
        <v>43465</v>
      </c>
      <c r="B653" s="6">
        <v>1</v>
      </c>
      <c r="C653">
        <v>294588917</v>
      </c>
      <c r="D653">
        <v>2084404.7052996501</v>
      </c>
      <c r="E653">
        <v>560.45582245000003</v>
      </c>
      <c r="F653">
        <v>1935710.70858466</v>
      </c>
      <c r="G653">
        <v>332981.13029395801</v>
      </c>
      <c r="H653">
        <v>14659932</v>
      </c>
      <c r="I653">
        <v>103728.38038632899</v>
      </c>
      <c r="J653">
        <v>0</v>
      </c>
      <c r="K653">
        <v>25725.141911818198</v>
      </c>
      <c r="L653">
        <v>0</v>
      </c>
    </row>
    <row r="654" spans="1:12" x14ac:dyDescent="0.3">
      <c r="A654" s="4">
        <v>43464</v>
      </c>
      <c r="B654" s="6">
        <v>1</v>
      </c>
      <c r="C654">
        <v>286899356</v>
      </c>
      <c r="D654">
        <v>2089580.1602330599</v>
      </c>
      <c r="E654">
        <v>558.96678770999995</v>
      </c>
      <c r="F654">
        <v>1933171.87937081</v>
      </c>
      <c r="G654">
        <v>297336.15690963098</v>
      </c>
      <c r="H654">
        <v>14481304</v>
      </c>
      <c r="I654">
        <v>105471.988346686</v>
      </c>
      <c r="J654">
        <v>0</v>
      </c>
      <c r="K654">
        <v>25126.188547115598</v>
      </c>
      <c r="L654">
        <v>0</v>
      </c>
    </row>
    <row r="655" spans="1:12" x14ac:dyDescent="0.3">
      <c r="A655" s="4">
        <v>43463</v>
      </c>
      <c r="B655" s="6">
        <v>1</v>
      </c>
      <c r="C655">
        <v>287981868</v>
      </c>
      <c r="D655">
        <v>2060988.10563229</v>
      </c>
      <c r="E655">
        <v>555.82405625000001</v>
      </c>
      <c r="F655">
        <v>1910169.0757895201</v>
      </c>
      <c r="G655">
        <v>283155.963485852</v>
      </c>
      <c r="H655">
        <v>14411369</v>
      </c>
      <c r="I655">
        <v>103137.257568167</v>
      </c>
      <c r="J655">
        <v>0</v>
      </c>
      <c r="K655">
        <v>25165.783251257199</v>
      </c>
      <c r="L655">
        <v>0</v>
      </c>
    </row>
    <row r="656" spans="1:12" x14ac:dyDescent="0.3">
      <c r="A656" s="4">
        <v>43462</v>
      </c>
      <c r="B656" s="6">
        <v>1</v>
      </c>
      <c r="C656">
        <v>241418261</v>
      </c>
      <c r="D656">
        <v>2068353.8468128799</v>
      </c>
      <c r="E656">
        <v>548.88746937999997</v>
      </c>
      <c r="F656">
        <v>1902633.83872225</v>
      </c>
      <c r="G656">
        <v>270552.578908603</v>
      </c>
      <c r="H656">
        <v>12391971</v>
      </c>
      <c r="I656">
        <v>106168.36017820401</v>
      </c>
      <c r="J656">
        <v>0</v>
      </c>
      <c r="K656">
        <v>25402.065282489901</v>
      </c>
      <c r="L656">
        <v>0</v>
      </c>
    </row>
    <row r="657" spans="1:12" x14ac:dyDescent="0.3">
      <c r="A657" s="4">
        <v>43461</v>
      </c>
      <c r="B657" s="6">
        <v>1</v>
      </c>
      <c r="C657">
        <v>272400756</v>
      </c>
      <c r="D657">
        <v>2054149.43066133</v>
      </c>
      <c r="E657">
        <v>544.16600062999998</v>
      </c>
      <c r="F657">
        <v>1896124.5039739499</v>
      </c>
      <c r="G657">
        <v>276170.018152804</v>
      </c>
      <c r="H657">
        <v>14583613</v>
      </c>
      <c r="I657">
        <v>109973.704848804</v>
      </c>
      <c r="J657">
        <v>0</v>
      </c>
      <c r="K657">
        <v>25317.107979972501</v>
      </c>
      <c r="L657">
        <v>0</v>
      </c>
    </row>
    <row r="658" spans="1:12" x14ac:dyDescent="0.3">
      <c r="A658" s="4">
        <v>43460</v>
      </c>
      <c r="B658" s="6">
        <v>1</v>
      </c>
      <c r="C658">
        <v>266824229</v>
      </c>
      <c r="D658">
        <v>2036981.67035651</v>
      </c>
      <c r="E658">
        <v>539.44023305999997</v>
      </c>
      <c r="F658">
        <v>1882478.98900454</v>
      </c>
      <c r="G658">
        <v>341795.157302982</v>
      </c>
      <c r="H658">
        <v>13494531</v>
      </c>
      <c r="I658">
        <v>103019.551110771</v>
      </c>
      <c r="J658">
        <v>0</v>
      </c>
      <c r="K658">
        <v>25597.073132278001</v>
      </c>
      <c r="L658">
        <v>0</v>
      </c>
    </row>
    <row r="659" spans="1:12" x14ac:dyDescent="0.3">
      <c r="A659" s="4">
        <v>43459</v>
      </c>
      <c r="B659" s="6">
        <v>1</v>
      </c>
      <c r="C659">
        <v>285288072</v>
      </c>
      <c r="D659">
        <v>2025186.8531269899</v>
      </c>
      <c r="E659">
        <v>532.72240785999998</v>
      </c>
      <c r="F659">
        <v>1869333.66008532</v>
      </c>
      <c r="G659">
        <v>325131.50498658803</v>
      </c>
      <c r="H659">
        <v>15012379</v>
      </c>
      <c r="I659">
        <v>106569.028182011</v>
      </c>
      <c r="J659">
        <v>0</v>
      </c>
      <c r="K659">
        <v>23925.8046164976</v>
      </c>
      <c r="L659">
        <v>0</v>
      </c>
    </row>
    <row r="660" spans="1:12" x14ac:dyDescent="0.3">
      <c r="A660" s="4">
        <v>43458</v>
      </c>
      <c r="B660" s="6">
        <v>1</v>
      </c>
      <c r="C660">
        <v>265138513</v>
      </c>
      <c r="D660">
        <v>2015342.90817877</v>
      </c>
      <c r="E660">
        <v>525.88296584</v>
      </c>
      <c r="F660">
        <v>1857707.9417314399</v>
      </c>
      <c r="G660">
        <v>351958.988622943</v>
      </c>
      <c r="H660">
        <v>13298433</v>
      </c>
      <c r="I660">
        <v>101082.646701124</v>
      </c>
      <c r="J660">
        <v>0</v>
      </c>
      <c r="K660">
        <v>24356.7812118035</v>
      </c>
      <c r="L660">
        <v>0</v>
      </c>
    </row>
    <row r="661" spans="1:12" x14ac:dyDescent="0.3">
      <c r="A661" s="4">
        <v>43457</v>
      </c>
      <c r="B661" s="6">
        <v>1</v>
      </c>
      <c r="C661">
        <v>235860175</v>
      </c>
      <c r="D661">
        <v>1992735.5103075299</v>
      </c>
      <c r="E661">
        <v>504.40083540999899</v>
      </c>
      <c r="F661">
        <v>1830745.90429997</v>
      </c>
      <c r="G661">
        <v>322188.82723895099</v>
      </c>
      <c r="H661">
        <v>11905397</v>
      </c>
      <c r="I661">
        <v>100586.32139236201</v>
      </c>
      <c r="J661">
        <v>0</v>
      </c>
      <c r="K661">
        <v>24546.6616662989</v>
      </c>
      <c r="L661">
        <v>0</v>
      </c>
    </row>
    <row r="662" spans="1:12" x14ac:dyDescent="0.3">
      <c r="A662" s="4">
        <v>43456</v>
      </c>
      <c r="B662" s="6">
        <v>1</v>
      </c>
      <c r="C662">
        <v>212999920</v>
      </c>
      <c r="D662">
        <v>1946271.1988303999</v>
      </c>
      <c r="E662">
        <v>504.40083540999899</v>
      </c>
      <c r="F662">
        <v>1778272.5084063399</v>
      </c>
      <c r="G662">
        <v>325330.35535157402</v>
      </c>
      <c r="H662">
        <v>11304120</v>
      </c>
      <c r="I662">
        <v>103290.570175438</v>
      </c>
      <c r="J662">
        <v>0</v>
      </c>
      <c r="K662">
        <v>24683.914163249901</v>
      </c>
      <c r="L662">
        <v>0</v>
      </c>
    </row>
    <row r="663" spans="1:12" x14ac:dyDescent="0.3">
      <c r="A663" s="4">
        <v>43455</v>
      </c>
      <c r="B663" s="6">
        <v>1</v>
      </c>
      <c r="C663">
        <v>222241799</v>
      </c>
      <c r="D663">
        <v>1908801.8466031</v>
      </c>
      <c r="E663">
        <v>504.40083540999899</v>
      </c>
      <c r="F663">
        <v>1755200.8104594101</v>
      </c>
      <c r="G663">
        <v>321137.96143423399</v>
      </c>
      <c r="H663">
        <v>10957114</v>
      </c>
      <c r="I663">
        <v>94109.026883105704</v>
      </c>
      <c r="J663">
        <v>0</v>
      </c>
      <c r="K663">
        <v>24631.715065284799</v>
      </c>
      <c r="L663">
        <v>0</v>
      </c>
    </row>
    <row r="664" spans="1:12" x14ac:dyDescent="0.3">
      <c r="A664" s="4">
        <v>43454</v>
      </c>
      <c r="B664" s="6">
        <v>1</v>
      </c>
      <c r="C664">
        <v>192149069</v>
      </c>
      <c r="D664">
        <v>1909461.0851634699</v>
      </c>
      <c r="E664">
        <v>504.40083540999899</v>
      </c>
      <c r="F664">
        <v>1739950.7559207701</v>
      </c>
      <c r="G664">
        <v>288224.71940374502</v>
      </c>
      <c r="H664">
        <v>9652966</v>
      </c>
      <c r="I664">
        <v>95925.330418364305</v>
      </c>
      <c r="J664">
        <v>0</v>
      </c>
      <c r="K664">
        <v>24671.005005486299</v>
      </c>
      <c r="L664">
        <v>0</v>
      </c>
    </row>
    <row r="665" spans="1:12" x14ac:dyDescent="0.3">
      <c r="A665" s="4">
        <v>43453</v>
      </c>
      <c r="B665" s="6">
        <v>1</v>
      </c>
      <c r="C665">
        <v>192121389</v>
      </c>
      <c r="D665">
        <v>1875452.84068723</v>
      </c>
      <c r="E665">
        <v>504.40083540999899</v>
      </c>
      <c r="F665">
        <v>1715921.40247788</v>
      </c>
      <c r="G665">
        <v>278045.40019384201</v>
      </c>
      <c r="H665">
        <v>9563343</v>
      </c>
      <c r="I665">
        <v>93355.554470909803</v>
      </c>
      <c r="J665">
        <v>0</v>
      </c>
      <c r="K665">
        <v>24814.6254854935</v>
      </c>
      <c r="L665">
        <v>0</v>
      </c>
    </row>
    <row r="666" spans="1:12" x14ac:dyDescent="0.3">
      <c r="A666" s="4">
        <v>43452</v>
      </c>
      <c r="B666" s="6">
        <v>1</v>
      </c>
      <c r="C666">
        <v>178516737</v>
      </c>
      <c r="D666">
        <v>1870460.3625314301</v>
      </c>
      <c r="E666">
        <v>504.40083540999899</v>
      </c>
      <c r="F666">
        <v>1709950.32907715</v>
      </c>
      <c r="G666">
        <v>266664.40405507601</v>
      </c>
      <c r="H666">
        <v>8631906</v>
      </c>
      <c r="I666">
        <v>90443.273260687303</v>
      </c>
      <c r="J666">
        <v>0</v>
      </c>
      <c r="K666">
        <v>25010.0028478198</v>
      </c>
      <c r="L666">
        <v>0</v>
      </c>
    </row>
    <row r="667" spans="1:12" x14ac:dyDescent="0.3">
      <c r="A667" s="4">
        <v>43451</v>
      </c>
      <c r="B667" s="6">
        <v>1</v>
      </c>
      <c r="C667">
        <v>160440455</v>
      </c>
      <c r="D667">
        <v>1878913.86579224</v>
      </c>
      <c r="E667">
        <v>504.40083540999899</v>
      </c>
      <c r="F667">
        <v>1708050.5108747401</v>
      </c>
      <c r="G667">
        <v>286137.33152085001</v>
      </c>
      <c r="H667">
        <v>7882756</v>
      </c>
      <c r="I667">
        <v>92314.744115235895</v>
      </c>
      <c r="J667">
        <v>0</v>
      </c>
      <c r="K667">
        <v>23681.034250918299</v>
      </c>
      <c r="L667">
        <v>0</v>
      </c>
    </row>
    <row r="668" spans="1:12" x14ac:dyDescent="0.3">
      <c r="A668" s="4">
        <v>43450</v>
      </c>
      <c r="B668" s="6">
        <v>1</v>
      </c>
      <c r="C668">
        <v>157753773</v>
      </c>
      <c r="D668">
        <v>1872003.9515841899</v>
      </c>
      <c r="E668">
        <v>500.74013375999999</v>
      </c>
      <c r="F668">
        <v>1705772.2462842099</v>
      </c>
      <c r="G668">
        <v>238532.853545953</v>
      </c>
      <c r="H668">
        <v>7632900</v>
      </c>
      <c r="I668">
        <v>90576.717693129205</v>
      </c>
      <c r="J668">
        <v>0</v>
      </c>
      <c r="K668">
        <v>22503.647795091299</v>
      </c>
      <c r="L668">
        <v>0</v>
      </c>
    </row>
    <row r="669" spans="1:12" x14ac:dyDescent="0.3">
      <c r="A669" s="4">
        <v>43449</v>
      </c>
      <c r="B669" s="6">
        <v>1</v>
      </c>
      <c r="C669">
        <v>156882312</v>
      </c>
      <c r="D669">
        <v>1869872.61025029</v>
      </c>
      <c r="E669">
        <v>496.87832068</v>
      </c>
      <c r="F669">
        <v>1701404.68524929</v>
      </c>
      <c r="G669">
        <v>271231.334437743</v>
      </c>
      <c r="H669">
        <v>7362897</v>
      </c>
      <c r="I669">
        <v>87758.009535160905</v>
      </c>
      <c r="J669">
        <v>0</v>
      </c>
      <c r="K669">
        <v>18848.826762462999</v>
      </c>
      <c r="L669">
        <v>0</v>
      </c>
    </row>
    <row r="670" spans="1:12" x14ac:dyDescent="0.3">
      <c r="A670" s="4">
        <v>43448</v>
      </c>
      <c r="B670" s="6">
        <v>1</v>
      </c>
      <c r="C670">
        <v>161645099</v>
      </c>
      <c r="D670">
        <v>1871108.91306864</v>
      </c>
      <c r="E670">
        <v>495.511611729999</v>
      </c>
      <c r="F670">
        <v>1700568.45818315</v>
      </c>
      <c r="G670">
        <v>253285.20025371201</v>
      </c>
      <c r="H670">
        <v>7926843</v>
      </c>
      <c r="I670">
        <v>91756.488019446697</v>
      </c>
      <c r="J670">
        <v>0</v>
      </c>
      <c r="K670">
        <v>18873.998255675298</v>
      </c>
      <c r="L670">
        <v>0</v>
      </c>
    </row>
    <row r="671" spans="1:12" x14ac:dyDescent="0.3">
      <c r="A671" s="4">
        <v>43447</v>
      </c>
      <c r="B671" s="6">
        <v>1</v>
      </c>
      <c r="C671">
        <v>169952999</v>
      </c>
      <c r="D671">
        <v>1877518.76933274</v>
      </c>
      <c r="E671">
        <v>493.59498864</v>
      </c>
      <c r="F671">
        <v>1702152.1145907899</v>
      </c>
      <c r="G671">
        <v>246268.112884306</v>
      </c>
      <c r="H671">
        <v>9045519</v>
      </c>
      <c r="I671">
        <v>99928.402562969495</v>
      </c>
      <c r="J671">
        <v>0</v>
      </c>
      <c r="K671">
        <v>18797.126382348699</v>
      </c>
      <c r="L671">
        <v>0</v>
      </c>
    </row>
    <row r="672" spans="1:12" x14ac:dyDescent="0.3">
      <c r="A672" s="4">
        <v>43446</v>
      </c>
      <c r="B672" s="6">
        <v>1</v>
      </c>
      <c r="C672">
        <v>164811546</v>
      </c>
      <c r="D672">
        <v>1871794.95741056</v>
      </c>
      <c r="E672">
        <v>491.46156552999997</v>
      </c>
      <c r="F672">
        <v>1689352.9518416</v>
      </c>
      <c r="G672">
        <v>239557.80028779499</v>
      </c>
      <c r="H672">
        <v>8188032</v>
      </c>
      <c r="I672">
        <v>92992.981260647299</v>
      </c>
      <c r="J672">
        <v>0</v>
      </c>
      <c r="K672">
        <v>9796.7861049317999</v>
      </c>
      <c r="L672">
        <v>0</v>
      </c>
    </row>
    <row r="673" spans="1:12" x14ac:dyDescent="0.3">
      <c r="A673" s="4">
        <v>43445</v>
      </c>
      <c r="B673" s="6">
        <v>1</v>
      </c>
      <c r="C673">
        <v>168194072</v>
      </c>
      <c r="D673">
        <v>1854399.91179713</v>
      </c>
      <c r="E673">
        <v>488.00827598000001</v>
      </c>
      <c r="F673">
        <v>1682857.07454842</v>
      </c>
      <c r="G673">
        <v>230401.88799822901</v>
      </c>
      <c r="H673">
        <v>7681465</v>
      </c>
      <c r="I673">
        <v>84690.904079382497</v>
      </c>
      <c r="J673">
        <v>0</v>
      </c>
      <c r="K673">
        <v>9394.2423514107995</v>
      </c>
      <c r="L673">
        <v>0</v>
      </c>
    </row>
    <row r="674" spans="1:12" x14ac:dyDescent="0.3">
      <c r="A674" s="4">
        <v>43444</v>
      </c>
      <c r="B674" s="6">
        <v>1</v>
      </c>
      <c r="C674">
        <v>175129062</v>
      </c>
      <c r="D674">
        <v>1854787.77801313</v>
      </c>
      <c r="E674">
        <v>480.351395139999</v>
      </c>
      <c r="F674">
        <v>1677880.5903565099</v>
      </c>
      <c r="G674">
        <v>220717.56412506101</v>
      </c>
      <c r="H674">
        <v>8805623</v>
      </c>
      <c r="I674">
        <v>93260.146155475493</v>
      </c>
      <c r="J674">
        <v>0</v>
      </c>
      <c r="K674">
        <v>9861.4721614174996</v>
      </c>
      <c r="L674">
        <v>0</v>
      </c>
    </row>
    <row r="675" spans="1:12" x14ac:dyDescent="0.3">
      <c r="A675" s="4">
        <v>43443</v>
      </c>
      <c r="B675" s="6">
        <v>1</v>
      </c>
      <c r="C675">
        <v>168334932</v>
      </c>
      <c r="D675">
        <v>1840933.20209973</v>
      </c>
      <c r="E675">
        <v>477.62513837</v>
      </c>
      <c r="F675">
        <v>1654451.0733175201</v>
      </c>
      <c r="G675">
        <v>202611.300146314</v>
      </c>
      <c r="H675">
        <v>9172087</v>
      </c>
      <c r="I675">
        <v>100307.16316710399</v>
      </c>
      <c r="J675">
        <v>0</v>
      </c>
      <c r="K675">
        <v>10167.870569501199</v>
      </c>
      <c r="L675">
        <v>0</v>
      </c>
    </row>
    <row r="676" spans="1:12" x14ac:dyDescent="0.3">
      <c r="A676" s="4">
        <v>43442</v>
      </c>
      <c r="B676" s="6">
        <v>1</v>
      </c>
      <c r="C676">
        <v>170135139</v>
      </c>
      <c r="D676">
        <v>1817488.93280632</v>
      </c>
      <c r="E676">
        <v>475.7574194</v>
      </c>
      <c r="F676">
        <v>1642194.7058309701</v>
      </c>
      <c r="G676">
        <v>195690.05762815001</v>
      </c>
      <c r="H676">
        <v>8768572</v>
      </c>
      <c r="I676">
        <v>93671.317166969297</v>
      </c>
      <c r="J676">
        <v>0</v>
      </c>
      <c r="K676">
        <v>10372.416880978801</v>
      </c>
      <c r="L676">
        <v>0</v>
      </c>
    </row>
    <row r="677" spans="1:12" x14ac:dyDescent="0.3">
      <c r="A677" s="4">
        <v>43441</v>
      </c>
      <c r="B677" s="6">
        <v>1</v>
      </c>
      <c r="C677">
        <v>156079544</v>
      </c>
      <c r="D677">
        <v>1725970.8503815101</v>
      </c>
      <c r="E677">
        <v>470.373821219999</v>
      </c>
      <c r="F677">
        <v>1557526.2838371301</v>
      </c>
      <c r="G677">
        <v>271934.07420687203</v>
      </c>
      <c r="H677">
        <v>7395705</v>
      </c>
      <c r="I677">
        <v>81783.755390910097</v>
      </c>
      <c r="J677">
        <v>0</v>
      </c>
      <c r="K677">
        <v>9974.5559868703003</v>
      </c>
      <c r="L677">
        <v>0</v>
      </c>
    </row>
    <row r="678" spans="1:12" x14ac:dyDescent="0.3">
      <c r="A678" s="4">
        <v>43440</v>
      </c>
      <c r="B678" s="6">
        <v>1</v>
      </c>
      <c r="C678">
        <v>178626571</v>
      </c>
      <c r="D678">
        <v>1758654.8291818399</v>
      </c>
      <c r="E678">
        <v>465.65806623999998</v>
      </c>
      <c r="F678">
        <v>1594273.2531955601</v>
      </c>
      <c r="G678">
        <v>268600.81864084501</v>
      </c>
      <c r="H678">
        <v>8581960</v>
      </c>
      <c r="I678">
        <v>84493.058974106505</v>
      </c>
      <c r="J678">
        <v>0</v>
      </c>
      <c r="K678">
        <v>9904.5037923974996</v>
      </c>
      <c r="L678">
        <v>0</v>
      </c>
    </row>
    <row r="679" spans="1:12" x14ac:dyDescent="0.3">
      <c r="A679" s="4">
        <v>43439</v>
      </c>
      <c r="B679" s="6">
        <v>1</v>
      </c>
      <c r="C679">
        <v>192889063</v>
      </c>
      <c r="D679">
        <v>1756411.0635585501</v>
      </c>
      <c r="E679">
        <v>464.76556015</v>
      </c>
      <c r="F679">
        <v>1586088.3246454599</v>
      </c>
      <c r="G679">
        <v>269170.11670332198</v>
      </c>
      <c r="H679">
        <v>10200103</v>
      </c>
      <c r="I679">
        <v>92880.194864323406</v>
      </c>
      <c r="J679">
        <v>0</v>
      </c>
      <c r="K679">
        <v>11585.9501257624</v>
      </c>
      <c r="L679">
        <v>0</v>
      </c>
    </row>
    <row r="680" spans="1:12" x14ac:dyDescent="0.3">
      <c r="A680" s="4">
        <v>43438</v>
      </c>
      <c r="B680" s="6">
        <v>1</v>
      </c>
      <c r="C680">
        <v>189299375</v>
      </c>
      <c r="D680">
        <v>1749047.1680680001</v>
      </c>
      <c r="E680">
        <v>463.78048573999899</v>
      </c>
      <c r="F680">
        <v>1576644.4290418299</v>
      </c>
      <c r="G680">
        <v>269861.22205244098</v>
      </c>
      <c r="H680">
        <v>10157422</v>
      </c>
      <c r="I680">
        <v>93850.337244756505</v>
      </c>
      <c r="J680">
        <v>0</v>
      </c>
      <c r="K680">
        <v>13508.799167003101</v>
      </c>
      <c r="L680">
        <v>0</v>
      </c>
    </row>
    <row r="681" spans="1:12" x14ac:dyDescent="0.3">
      <c r="A681" s="4">
        <v>43437</v>
      </c>
      <c r="B681" s="6">
        <v>1</v>
      </c>
      <c r="C681">
        <v>202144356</v>
      </c>
      <c r="D681">
        <v>1743074.5537639</v>
      </c>
      <c r="E681">
        <v>461.18919134999999</v>
      </c>
      <c r="F681">
        <v>1568421.78021819</v>
      </c>
      <c r="G681">
        <v>275359.92480275</v>
      </c>
      <c r="H681">
        <v>11802141</v>
      </c>
      <c r="I681">
        <v>101768.914374407</v>
      </c>
      <c r="J681">
        <v>0</v>
      </c>
      <c r="K681">
        <v>12928.635799833</v>
      </c>
      <c r="L681">
        <v>0</v>
      </c>
    </row>
    <row r="682" spans="1:12" x14ac:dyDescent="0.3">
      <c r="A682" s="4">
        <v>43436</v>
      </c>
      <c r="B682" s="6">
        <v>1</v>
      </c>
      <c r="C682">
        <v>205731308</v>
      </c>
      <c r="D682">
        <v>1736129.1814345899</v>
      </c>
      <c r="E682">
        <v>458.619611429999</v>
      </c>
      <c r="F682">
        <v>1553468.534305</v>
      </c>
      <c r="G682">
        <v>254152.41907330099</v>
      </c>
      <c r="H682">
        <v>12611354</v>
      </c>
      <c r="I682">
        <v>106424.928270042</v>
      </c>
      <c r="J682">
        <v>0</v>
      </c>
      <c r="K682">
        <v>10334.818287128301</v>
      </c>
      <c r="L682">
        <v>0</v>
      </c>
    </row>
    <row r="683" spans="1:12" x14ac:dyDescent="0.3">
      <c r="A683" s="4">
        <v>43435</v>
      </c>
      <c r="B683" s="6">
        <v>1</v>
      </c>
      <c r="C683">
        <v>195790931</v>
      </c>
      <c r="D683">
        <v>1734658.7312837699</v>
      </c>
      <c r="E683">
        <v>456.83440543</v>
      </c>
      <c r="F683">
        <v>1552689.63274934</v>
      </c>
      <c r="G683">
        <v>280387.04395869398</v>
      </c>
      <c r="H683">
        <v>11600384</v>
      </c>
      <c r="I683">
        <v>102776.50394258799</v>
      </c>
      <c r="J683">
        <v>0</v>
      </c>
      <c r="K683">
        <v>10312.878269340699</v>
      </c>
      <c r="L683">
        <v>0</v>
      </c>
    </row>
    <row r="684" spans="1:12" x14ac:dyDescent="0.3">
      <c r="A684" s="4">
        <v>43434</v>
      </c>
      <c r="B684" s="6">
        <v>1</v>
      </c>
      <c r="C684">
        <v>203034986</v>
      </c>
      <c r="D684">
        <v>1728251.4981273401</v>
      </c>
      <c r="E684">
        <v>455.21577636999899</v>
      </c>
      <c r="F684">
        <v>1556041.38771344</v>
      </c>
      <c r="G684">
        <v>349028.85575248499</v>
      </c>
      <c r="H684">
        <v>12049738</v>
      </c>
      <c r="I684">
        <v>102568.420156622</v>
      </c>
      <c r="J684">
        <v>0</v>
      </c>
      <c r="K684">
        <v>15510.5192846146</v>
      </c>
      <c r="L684">
        <v>0</v>
      </c>
    </row>
    <row r="685" spans="1:12" x14ac:dyDescent="0.3">
      <c r="A685" s="4">
        <v>43433</v>
      </c>
      <c r="B685" s="6">
        <v>1</v>
      </c>
      <c r="C685">
        <v>210770902</v>
      </c>
      <c r="D685">
        <v>1715257.9915364501</v>
      </c>
      <c r="E685">
        <v>455.27981402</v>
      </c>
      <c r="F685">
        <v>1547979.5045759201</v>
      </c>
      <c r="G685">
        <v>372012.34346954501</v>
      </c>
      <c r="H685">
        <v>11895069</v>
      </c>
      <c r="I685">
        <v>96802.3193359375</v>
      </c>
      <c r="J685">
        <v>0</v>
      </c>
      <c r="K685">
        <v>15014.1298976822</v>
      </c>
      <c r="L685">
        <v>0</v>
      </c>
    </row>
    <row r="686" spans="1:12" x14ac:dyDescent="0.3">
      <c r="A686" s="4">
        <v>43432</v>
      </c>
      <c r="B686" s="6">
        <v>1</v>
      </c>
      <c r="C686">
        <v>188920916</v>
      </c>
      <c r="D686">
        <v>1714190.32755648</v>
      </c>
      <c r="E686">
        <v>455.27101041999998</v>
      </c>
      <c r="F686">
        <v>1543233.74849744</v>
      </c>
      <c r="G686">
        <v>378650.42017310002</v>
      </c>
      <c r="H686">
        <v>10383061</v>
      </c>
      <c r="I686">
        <v>94211.605117502899</v>
      </c>
      <c r="J686">
        <v>0</v>
      </c>
      <c r="K686">
        <v>15602.101380165501</v>
      </c>
      <c r="L686">
        <v>0</v>
      </c>
    </row>
    <row r="687" spans="1:12" x14ac:dyDescent="0.3">
      <c r="A687" s="4">
        <v>43431</v>
      </c>
      <c r="B687" s="6">
        <v>1</v>
      </c>
      <c r="C687">
        <v>179866059</v>
      </c>
      <c r="D687">
        <v>1651814.2988336801</v>
      </c>
      <c r="E687">
        <v>455.72167926999998</v>
      </c>
      <c r="F687">
        <v>1493130.77025114</v>
      </c>
      <c r="G687">
        <v>351216.55411418498</v>
      </c>
      <c r="H687">
        <v>9788823</v>
      </c>
      <c r="I687">
        <v>89896.436771053297</v>
      </c>
      <c r="J687">
        <v>0</v>
      </c>
      <c r="K687">
        <v>16710.353281006901</v>
      </c>
      <c r="L687">
        <v>0</v>
      </c>
    </row>
    <row r="688" spans="1:12" x14ac:dyDescent="0.3">
      <c r="A688" s="4">
        <v>43430</v>
      </c>
      <c r="B688" s="6">
        <v>1</v>
      </c>
      <c r="C688">
        <v>188422083</v>
      </c>
      <c r="D688">
        <v>1614861.8700719899</v>
      </c>
      <c r="E688">
        <v>455.03481477999998</v>
      </c>
      <c r="F688">
        <v>1476700.71710217</v>
      </c>
      <c r="G688">
        <v>362266.63710884901</v>
      </c>
      <c r="H688">
        <v>10041364</v>
      </c>
      <c r="I688">
        <v>86058.998971546098</v>
      </c>
      <c r="J688">
        <v>0</v>
      </c>
      <c r="K688">
        <v>27975.881387625301</v>
      </c>
      <c r="L688">
        <v>0</v>
      </c>
    </row>
    <row r="689" spans="1:12" x14ac:dyDescent="0.3">
      <c r="A689" s="4">
        <v>43429</v>
      </c>
      <c r="B689" s="6">
        <v>1</v>
      </c>
      <c r="C689">
        <v>175838779</v>
      </c>
      <c r="D689">
        <v>1559684.04293063</v>
      </c>
      <c r="E689">
        <v>455.07950557999999</v>
      </c>
      <c r="F689">
        <v>1444416.96396725</v>
      </c>
      <c r="G689">
        <v>363703.183489808</v>
      </c>
      <c r="H689">
        <v>6581350</v>
      </c>
      <c r="I689">
        <v>58376.3526698598</v>
      </c>
      <c r="J689">
        <v>0</v>
      </c>
      <c r="K689">
        <v>28993.387543377001</v>
      </c>
      <c r="L689">
        <v>0</v>
      </c>
    </row>
    <row r="690" spans="1:12" x14ac:dyDescent="0.3">
      <c r="A690" s="4">
        <v>43428</v>
      </c>
      <c r="B690" s="6">
        <v>1</v>
      </c>
      <c r="C690">
        <v>189358508</v>
      </c>
      <c r="D690">
        <v>1534882.9375050601</v>
      </c>
      <c r="E690">
        <v>453.04687397999999</v>
      </c>
      <c r="F690">
        <v>1432718.90349027</v>
      </c>
      <c r="G690">
        <v>317420.49975238898</v>
      </c>
      <c r="H690">
        <v>7257774</v>
      </c>
      <c r="I690">
        <v>58829.3264164707</v>
      </c>
      <c r="J690">
        <v>0</v>
      </c>
      <c r="K690">
        <v>35497.402785050697</v>
      </c>
      <c r="L690">
        <v>0</v>
      </c>
    </row>
    <row r="691" spans="1:12" x14ac:dyDescent="0.3">
      <c r="A691" s="4">
        <v>43427</v>
      </c>
      <c r="B691" s="6">
        <v>1</v>
      </c>
      <c r="C691">
        <v>192833299</v>
      </c>
      <c r="D691">
        <v>1544767.27549467</v>
      </c>
      <c r="E691">
        <v>450.01790251</v>
      </c>
      <c r="F691">
        <v>1441525.9860306999</v>
      </c>
      <c r="G691">
        <v>316095.85623635602</v>
      </c>
      <c r="H691">
        <v>7666745</v>
      </c>
      <c r="I691">
        <v>61417.487783385397</v>
      </c>
      <c r="J691">
        <v>0</v>
      </c>
      <c r="K691">
        <v>42664.001592059198</v>
      </c>
      <c r="L691">
        <v>0</v>
      </c>
    </row>
    <row r="692" spans="1:12" x14ac:dyDescent="0.3">
      <c r="A692" s="4">
        <v>43426</v>
      </c>
      <c r="B692" s="6">
        <v>1</v>
      </c>
      <c r="C692">
        <v>204068172</v>
      </c>
      <c r="D692">
        <v>1495004.92307692</v>
      </c>
      <c r="E692">
        <v>451.45740114</v>
      </c>
      <c r="F692">
        <v>1411933.56877975</v>
      </c>
      <c r="G692">
        <v>376580.01040029799</v>
      </c>
      <c r="H692">
        <v>6391939</v>
      </c>
      <c r="I692">
        <v>46827.391941391899</v>
      </c>
      <c r="J692">
        <v>0</v>
      </c>
      <c r="K692">
        <v>40774.1332406972</v>
      </c>
      <c r="L692">
        <v>0</v>
      </c>
    </row>
    <row r="693" spans="1:12" x14ac:dyDescent="0.3">
      <c r="A693" s="4">
        <v>43425</v>
      </c>
      <c r="B693" s="6">
        <v>1</v>
      </c>
      <c r="C693">
        <v>190670661</v>
      </c>
      <c r="D693">
        <v>1458395.7549334499</v>
      </c>
      <c r="E693">
        <v>453.42700736</v>
      </c>
      <c r="F693">
        <v>1378114.1611433099</v>
      </c>
      <c r="G693">
        <v>366392.728713052</v>
      </c>
      <c r="H693">
        <v>5217263</v>
      </c>
      <c r="I693">
        <v>39905.637142419997</v>
      </c>
      <c r="J693">
        <v>0</v>
      </c>
      <c r="K693">
        <v>38577.260219742697</v>
      </c>
      <c r="L693">
        <v>0</v>
      </c>
    </row>
    <row r="694" spans="1:12" x14ac:dyDescent="0.3">
      <c r="A694" s="4">
        <v>43424</v>
      </c>
      <c r="B694" s="6">
        <v>1</v>
      </c>
      <c r="C694">
        <v>203126621</v>
      </c>
      <c r="D694">
        <v>1370440.02833625</v>
      </c>
      <c r="E694">
        <v>453.31027614999999</v>
      </c>
      <c r="F694">
        <v>1301276.4036543299</v>
      </c>
      <c r="G694">
        <v>328258.65966581099</v>
      </c>
      <c r="H694">
        <v>4954126</v>
      </c>
      <c r="I694">
        <v>33424.139792200702</v>
      </c>
      <c r="J694">
        <v>0</v>
      </c>
      <c r="K694">
        <v>35202.825960241396</v>
      </c>
      <c r="L694">
        <v>0</v>
      </c>
    </row>
    <row r="695" spans="1:12" x14ac:dyDescent="0.3">
      <c r="A695" s="4">
        <v>43423</v>
      </c>
      <c r="B695" s="6">
        <v>1</v>
      </c>
      <c r="C695">
        <v>229229332</v>
      </c>
      <c r="D695">
        <v>1291069.17488031</v>
      </c>
      <c r="E695">
        <v>453.85978628999999</v>
      </c>
      <c r="F695">
        <v>1221833.7126584901</v>
      </c>
      <c r="G695">
        <v>347939.04206255201</v>
      </c>
      <c r="H695">
        <v>6192115</v>
      </c>
      <c r="I695">
        <v>34875.330892706203</v>
      </c>
      <c r="J695">
        <v>0</v>
      </c>
      <c r="K695">
        <v>33495.032115288799</v>
      </c>
      <c r="L695">
        <v>0</v>
      </c>
    </row>
    <row r="696" spans="1:12" x14ac:dyDescent="0.3">
      <c r="A696" s="4">
        <v>43422</v>
      </c>
      <c r="B696" s="6">
        <v>1</v>
      </c>
      <c r="C696">
        <v>226066123</v>
      </c>
      <c r="D696">
        <v>1297589.96096888</v>
      </c>
      <c r="E696">
        <v>450.39903201999999</v>
      </c>
      <c r="F696">
        <v>1219391.8782083101</v>
      </c>
      <c r="G696">
        <v>344236.77908995602</v>
      </c>
      <c r="H696">
        <v>6066975</v>
      </c>
      <c r="I696">
        <v>34823.642520950503</v>
      </c>
      <c r="J696">
        <v>0</v>
      </c>
      <c r="K696">
        <v>31443.689775335399</v>
      </c>
      <c r="L696">
        <v>0</v>
      </c>
    </row>
    <row r="697" spans="1:12" x14ac:dyDescent="0.3">
      <c r="A697" s="4">
        <v>43421</v>
      </c>
      <c r="B697" s="6">
        <v>1</v>
      </c>
      <c r="C697">
        <v>224915371</v>
      </c>
      <c r="D697">
        <v>1286406.8348204</v>
      </c>
      <c r="E697">
        <v>449.53163174000002</v>
      </c>
      <c r="F697">
        <v>1209559.77041009</v>
      </c>
      <c r="G697">
        <v>322317.718027725</v>
      </c>
      <c r="H697">
        <v>6225307</v>
      </c>
      <c r="I697">
        <v>35605.736673530002</v>
      </c>
      <c r="J697">
        <v>0</v>
      </c>
      <c r="K697">
        <v>29073.932660450198</v>
      </c>
      <c r="L697">
        <v>0</v>
      </c>
    </row>
    <row r="698" spans="1:12" x14ac:dyDescent="0.3">
      <c r="A698" s="4">
        <v>43420</v>
      </c>
      <c r="B698" s="6">
        <v>1</v>
      </c>
      <c r="C698">
        <v>225622288</v>
      </c>
      <c r="D698">
        <v>1242755.6485816501</v>
      </c>
      <c r="E698">
        <v>446.97189801000002</v>
      </c>
      <c r="F698">
        <v>1163037.3300764</v>
      </c>
      <c r="G698">
        <v>329396.288505879</v>
      </c>
      <c r="H698">
        <v>6286350</v>
      </c>
      <c r="I698">
        <v>34625.9983475626</v>
      </c>
      <c r="J698">
        <v>0</v>
      </c>
      <c r="K698">
        <v>22614.322620253999</v>
      </c>
      <c r="L698">
        <v>0</v>
      </c>
    </row>
    <row r="699" spans="1:12" x14ac:dyDescent="0.3">
      <c r="A699" s="4">
        <v>43419</v>
      </c>
      <c r="B699" s="6">
        <v>1</v>
      </c>
      <c r="C699">
        <v>216653808</v>
      </c>
      <c r="D699">
        <v>1185714.79859894</v>
      </c>
      <c r="E699">
        <v>443.22574538999999</v>
      </c>
      <c r="F699">
        <v>1105181.2570786199</v>
      </c>
      <c r="G699">
        <v>323938.09168029</v>
      </c>
      <c r="H699">
        <v>6293862</v>
      </c>
      <c r="I699">
        <v>34445.391856392198</v>
      </c>
      <c r="J699">
        <v>0</v>
      </c>
      <c r="K699">
        <v>21867.2258117438</v>
      </c>
      <c r="L699">
        <v>0</v>
      </c>
    </row>
    <row r="700" spans="1:12" x14ac:dyDescent="0.3">
      <c r="A700" s="4">
        <v>43418</v>
      </c>
      <c r="B700" s="6">
        <v>1</v>
      </c>
      <c r="C700">
        <v>239712763</v>
      </c>
      <c r="D700">
        <v>1161230.2620743101</v>
      </c>
      <c r="E700">
        <v>439.76746129000003</v>
      </c>
      <c r="F700">
        <v>1081328.98160628</v>
      </c>
      <c r="G700">
        <v>328456.891305823</v>
      </c>
      <c r="H700">
        <v>7173542</v>
      </c>
      <c r="I700">
        <v>34750.482003584701</v>
      </c>
      <c r="J700">
        <v>0</v>
      </c>
      <c r="K700">
        <v>19266.551053687501</v>
      </c>
      <c r="L700">
        <v>0</v>
      </c>
    </row>
    <row r="701" spans="1:12" x14ac:dyDescent="0.3">
      <c r="A701" s="4">
        <v>43417</v>
      </c>
      <c r="B701" s="6">
        <v>1</v>
      </c>
      <c r="C701">
        <v>243530778</v>
      </c>
      <c r="D701">
        <v>1155214.5439020901</v>
      </c>
      <c r="E701">
        <v>343.94291294999999</v>
      </c>
      <c r="F701">
        <v>1061984.0640586901</v>
      </c>
      <c r="G701">
        <v>331995.67611559102</v>
      </c>
      <c r="H701">
        <v>7248429</v>
      </c>
      <c r="I701">
        <v>34383.705706560402</v>
      </c>
      <c r="J701">
        <v>0</v>
      </c>
      <c r="K701">
        <v>10864.3717546223</v>
      </c>
      <c r="L701">
        <v>0</v>
      </c>
    </row>
    <row r="702" spans="1:12" x14ac:dyDescent="0.3">
      <c r="A702" s="4">
        <v>43416</v>
      </c>
      <c r="B702" s="6">
        <v>1</v>
      </c>
      <c r="C702">
        <v>243299661</v>
      </c>
      <c r="D702">
        <v>1149266.23051487</v>
      </c>
      <c r="E702">
        <v>343.94291294999999</v>
      </c>
      <c r="F702">
        <v>1055468.58594986</v>
      </c>
      <c r="G702">
        <v>283135.35055980802</v>
      </c>
      <c r="H702">
        <v>6254775</v>
      </c>
      <c r="I702">
        <v>29545.465281058099</v>
      </c>
      <c r="J702">
        <v>0</v>
      </c>
      <c r="K702">
        <v>5744.3447573904004</v>
      </c>
      <c r="L702">
        <v>0</v>
      </c>
    </row>
    <row r="703" spans="1:12" x14ac:dyDescent="0.3">
      <c r="A703" s="4">
        <v>43415</v>
      </c>
      <c r="B703" s="6">
        <v>1</v>
      </c>
      <c r="C703">
        <v>243835276</v>
      </c>
      <c r="D703">
        <v>1150709.1835771501</v>
      </c>
      <c r="E703">
        <v>336.82158286999999</v>
      </c>
      <c r="F703">
        <v>1056377.4487670499</v>
      </c>
      <c r="G703">
        <v>263401.62836097198</v>
      </c>
      <c r="H703">
        <v>6599154</v>
      </c>
      <c r="I703">
        <v>31142.774893817801</v>
      </c>
      <c r="J703">
        <v>0</v>
      </c>
      <c r="K703">
        <v>8742.9743307692006</v>
      </c>
      <c r="L703">
        <v>0</v>
      </c>
    </row>
    <row r="704" spans="1:12" x14ac:dyDescent="0.3">
      <c r="A704" s="4">
        <v>43414</v>
      </c>
      <c r="B704" s="6">
        <v>1</v>
      </c>
      <c r="C704">
        <v>239174843</v>
      </c>
      <c r="D704">
        <v>1142245.7758250099</v>
      </c>
      <c r="E704">
        <v>332.07603344</v>
      </c>
      <c r="F704">
        <v>1054969.14218198</v>
      </c>
      <c r="G704">
        <v>182188.46448691699</v>
      </c>
      <c r="H704">
        <v>4975915</v>
      </c>
      <c r="I704">
        <v>23763.861693490599</v>
      </c>
      <c r="J704">
        <v>0</v>
      </c>
      <c r="K704">
        <v>8873.7578915132999</v>
      </c>
      <c r="L704">
        <v>0</v>
      </c>
    </row>
    <row r="705" spans="1:12" x14ac:dyDescent="0.3">
      <c r="A705" s="4">
        <v>43413</v>
      </c>
      <c r="B705" s="6">
        <v>1</v>
      </c>
      <c r="C705">
        <v>240758186</v>
      </c>
      <c r="D705">
        <v>1139467.9634625299</v>
      </c>
      <c r="E705">
        <v>281.53271215000001</v>
      </c>
      <c r="F705">
        <v>1053014.69023551</v>
      </c>
      <c r="G705">
        <v>196423.60826925799</v>
      </c>
      <c r="H705">
        <v>5062406</v>
      </c>
      <c r="I705">
        <v>23959.515358038701</v>
      </c>
      <c r="J705">
        <v>0</v>
      </c>
      <c r="K705">
        <v>8865.9997039118007</v>
      </c>
      <c r="L705">
        <v>0</v>
      </c>
    </row>
    <row r="706" spans="1:12" x14ac:dyDescent="0.3">
      <c r="A706" s="4">
        <v>43412</v>
      </c>
      <c r="B706" s="6">
        <v>1</v>
      </c>
      <c r="C706">
        <v>245441131</v>
      </c>
      <c r="D706">
        <v>1125670.20271509</v>
      </c>
      <c r="E706">
        <v>145.17137904000001</v>
      </c>
      <c r="F706">
        <v>1040320.57423346</v>
      </c>
      <c r="G706">
        <v>193510.63178782901</v>
      </c>
      <c r="H706">
        <v>5333156</v>
      </c>
      <c r="I706">
        <v>24459.530361401499</v>
      </c>
      <c r="J706">
        <v>0</v>
      </c>
      <c r="K706">
        <v>9020.3381904487997</v>
      </c>
      <c r="L706">
        <v>0</v>
      </c>
    </row>
    <row r="707" spans="1:12" x14ac:dyDescent="0.3">
      <c r="A707" s="4">
        <v>43411</v>
      </c>
      <c r="B707" s="6">
        <v>1</v>
      </c>
      <c r="C707">
        <v>246894999</v>
      </c>
      <c r="D707">
        <v>1124550.21179685</v>
      </c>
      <c r="E707">
        <v>134.37726140999999</v>
      </c>
      <c r="F707">
        <v>1039860.40298556</v>
      </c>
      <c r="G707">
        <v>216370.79266486099</v>
      </c>
      <c r="H707">
        <v>5395103</v>
      </c>
      <c r="I707">
        <v>24573.4593486677</v>
      </c>
      <c r="J707">
        <v>0</v>
      </c>
      <c r="K707">
        <v>9021.5030304273005</v>
      </c>
      <c r="L707">
        <v>0</v>
      </c>
    </row>
    <row r="708" spans="1:12" x14ac:dyDescent="0.3">
      <c r="A708" s="4">
        <v>43410</v>
      </c>
      <c r="B708" s="6">
        <v>1</v>
      </c>
      <c r="C708">
        <v>230783740</v>
      </c>
      <c r="D708">
        <v>1100542.39389604</v>
      </c>
      <c r="E708">
        <v>123.33691355000001</v>
      </c>
      <c r="F708">
        <v>1013257.3064615</v>
      </c>
      <c r="G708">
        <v>257162.50132286499</v>
      </c>
      <c r="H708">
        <v>5274763</v>
      </c>
      <c r="I708">
        <v>25153.8531235097</v>
      </c>
      <c r="J708">
        <v>0</v>
      </c>
      <c r="K708">
        <v>9265.2805131781006</v>
      </c>
      <c r="L708">
        <v>0</v>
      </c>
    </row>
    <row r="709" spans="1:12" x14ac:dyDescent="0.3">
      <c r="A709" s="4">
        <v>43409</v>
      </c>
      <c r="B709" s="6">
        <v>1</v>
      </c>
      <c r="C709">
        <v>231760663</v>
      </c>
      <c r="D709">
        <v>1096780.38426955</v>
      </c>
      <c r="E709">
        <v>113.27790958</v>
      </c>
      <c r="F709">
        <v>1010008.36735629</v>
      </c>
      <c r="G709">
        <v>259629.26032526101</v>
      </c>
      <c r="H709">
        <v>5291529</v>
      </c>
      <c r="I709">
        <v>25041.545596516899</v>
      </c>
      <c r="J709">
        <v>0</v>
      </c>
      <c r="K709">
        <v>8214.3814973984008</v>
      </c>
      <c r="L709">
        <v>0</v>
      </c>
    </row>
    <row r="710" spans="1:12" x14ac:dyDescent="0.3">
      <c r="A710" s="4">
        <v>43408</v>
      </c>
      <c r="B710" s="6">
        <v>1</v>
      </c>
      <c r="C710">
        <v>219884871</v>
      </c>
      <c r="D710">
        <v>1102345.57076252</v>
      </c>
      <c r="E710">
        <v>111.72549698</v>
      </c>
      <c r="F710">
        <v>1009680.21035328</v>
      </c>
      <c r="G710">
        <v>271899.60507890797</v>
      </c>
      <c r="H710">
        <v>5260495</v>
      </c>
      <c r="I710">
        <v>26372.361758660401</v>
      </c>
      <c r="J710">
        <v>0</v>
      </c>
      <c r="K710">
        <v>7951.4231567910001</v>
      </c>
      <c r="L710">
        <v>0</v>
      </c>
    </row>
    <row r="711" spans="1:12" x14ac:dyDescent="0.3">
      <c r="A711" s="4">
        <v>43407</v>
      </c>
      <c r="B711" s="6">
        <v>1</v>
      </c>
      <c r="C711">
        <v>220861071</v>
      </c>
      <c r="D711">
        <v>1098701.9749278601</v>
      </c>
      <c r="E711">
        <v>109.5470917</v>
      </c>
      <c r="F711">
        <v>1010226.6650358</v>
      </c>
      <c r="G711">
        <v>275830.64826569898</v>
      </c>
      <c r="H711">
        <v>5228614</v>
      </c>
      <c r="I711">
        <v>26010.416873942799</v>
      </c>
      <c r="J711">
        <v>0</v>
      </c>
      <c r="K711">
        <v>8922.6244600673999</v>
      </c>
      <c r="L711">
        <v>0</v>
      </c>
    </row>
    <row r="712" spans="1:12" x14ac:dyDescent="0.3">
      <c r="A712" s="4">
        <v>43406</v>
      </c>
      <c r="B712" s="6">
        <v>1</v>
      </c>
      <c r="C712">
        <v>218134225</v>
      </c>
      <c r="D712">
        <v>1097641.1462788701</v>
      </c>
      <c r="E712">
        <v>109.49101367</v>
      </c>
      <c r="F712">
        <v>1008805.90605554</v>
      </c>
      <c r="G712">
        <v>275849.39262718998</v>
      </c>
      <c r="H712">
        <v>5115920</v>
      </c>
      <c r="I712">
        <v>25743.068484878899</v>
      </c>
      <c r="J712">
        <v>0</v>
      </c>
      <c r="K712">
        <v>8904.2134641167995</v>
      </c>
      <c r="L712">
        <v>0</v>
      </c>
    </row>
    <row r="713" spans="1:12" x14ac:dyDescent="0.3">
      <c r="A713" s="4">
        <v>43405</v>
      </c>
      <c r="B713" s="6">
        <v>1</v>
      </c>
      <c r="C713">
        <v>216448296</v>
      </c>
      <c r="D713">
        <v>1094002.0015163</v>
      </c>
      <c r="E713">
        <v>109.62402568</v>
      </c>
      <c r="F713">
        <v>1004969.9167583</v>
      </c>
      <c r="G713">
        <v>266990.32127088198</v>
      </c>
      <c r="H713">
        <v>4993792</v>
      </c>
      <c r="I713">
        <v>25240.2931513773</v>
      </c>
      <c r="J713">
        <v>0</v>
      </c>
      <c r="K713">
        <v>8757.2833744712007</v>
      </c>
      <c r="L713">
        <v>0</v>
      </c>
    </row>
    <row r="714" spans="1:12" x14ac:dyDescent="0.3">
      <c r="A714" s="4">
        <v>43404</v>
      </c>
      <c r="B714" s="6">
        <v>1</v>
      </c>
      <c r="C714">
        <v>214468471</v>
      </c>
      <c r="D714">
        <v>1093000.05605952</v>
      </c>
      <c r="E714">
        <v>109.66337589</v>
      </c>
      <c r="F714">
        <v>1003515.02187892</v>
      </c>
      <c r="G714">
        <v>264088.70975786698</v>
      </c>
      <c r="H714">
        <v>5042693</v>
      </c>
      <c r="I714">
        <v>25699.179492406402</v>
      </c>
      <c r="J714">
        <v>0</v>
      </c>
      <c r="K714">
        <v>8882.2027295851003</v>
      </c>
      <c r="L714">
        <v>0</v>
      </c>
    </row>
    <row r="715" spans="1:12" x14ac:dyDescent="0.3">
      <c r="A715" s="4">
        <v>43403</v>
      </c>
      <c r="B715" s="6">
        <v>1</v>
      </c>
      <c r="C715">
        <v>213380452</v>
      </c>
      <c r="D715">
        <v>1090511.84136556</v>
      </c>
      <c r="E715">
        <v>107.52497661</v>
      </c>
      <c r="F715">
        <v>1001933.31236278</v>
      </c>
      <c r="G715">
        <v>241227.550663331</v>
      </c>
      <c r="H715">
        <v>4977325</v>
      </c>
      <c r="I715">
        <v>25437.343486482299</v>
      </c>
      <c r="J715">
        <v>0</v>
      </c>
      <c r="K715">
        <v>8755.2556030095002</v>
      </c>
      <c r="L715">
        <v>0</v>
      </c>
    </row>
    <row r="716" spans="1:12" x14ac:dyDescent="0.3">
      <c r="A716" s="4">
        <v>43402</v>
      </c>
      <c r="B716" s="6">
        <v>1</v>
      </c>
      <c r="C716">
        <v>220169385</v>
      </c>
      <c r="D716">
        <v>1080692.0188484699</v>
      </c>
      <c r="E716">
        <v>107.1553145</v>
      </c>
      <c r="F716">
        <v>995567.07078539405</v>
      </c>
      <c r="G716">
        <v>246233.29513510299</v>
      </c>
      <c r="H716">
        <v>5247928</v>
      </c>
      <c r="I716">
        <v>25759.2303538997</v>
      </c>
      <c r="J716">
        <v>0</v>
      </c>
      <c r="K716">
        <v>9146.6275747966993</v>
      </c>
      <c r="L716">
        <v>0</v>
      </c>
    </row>
    <row r="717" spans="1:12" x14ac:dyDescent="0.3">
      <c r="A717" s="4">
        <v>43401</v>
      </c>
      <c r="B717" s="6">
        <v>1</v>
      </c>
      <c r="C717">
        <v>218185637</v>
      </c>
      <c r="D717">
        <v>1075919.1133685</v>
      </c>
      <c r="E717">
        <v>107.94322524</v>
      </c>
      <c r="F717">
        <v>992457.174356926</v>
      </c>
      <c r="G717">
        <v>246830.11190964599</v>
      </c>
      <c r="H717">
        <v>5033033</v>
      </c>
      <c r="I717">
        <v>24818.940776172301</v>
      </c>
      <c r="J717">
        <v>0</v>
      </c>
      <c r="K717">
        <v>9153.4539144038008</v>
      </c>
      <c r="L717">
        <v>0</v>
      </c>
    </row>
    <row r="718" spans="1:12" x14ac:dyDescent="0.3">
      <c r="A718" s="4">
        <v>43400</v>
      </c>
      <c r="B718" s="6">
        <v>1</v>
      </c>
      <c r="C718">
        <v>218351399</v>
      </c>
      <c r="D718">
        <v>1073665.7274917599</v>
      </c>
      <c r="E718">
        <v>107.81238376</v>
      </c>
      <c r="F718">
        <v>990855.79095998302</v>
      </c>
      <c r="G718">
        <v>222014.92234901199</v>
      </c>
      <c r="H718">
        <v>5117226</v>
      </c>
      <c r="I718">
        <v>25162.147809411399</v>
      </c>
      <c r="J718">
        <v>0</v>
      </c>
      <c r="K718">
        <v>9135.8214925337998</v>
      </c>
      <c r="L718">
        <v>0</v>
      </c>
    </row>
    <row r="719" spans="1:12" x14ac:dyDescent="0.3">
      <c r="A719" s="4">
        <v>43399</v>
      </c>
      <c r="B719" s="6">
        <v>1</v>
      </c>
      <c r="C719">
        <v>215370960</v>
      </c>
      <c r="D719">
        <v>1070272.62336629</v>
      </c>
      <c r="E719">
        <v>107.29645107</v>
      </c>
      <c r="F719">
        <v>988046.184047719</v>
      </c>
      <c r="G719">
        <v>227706.49795057601</v>
      </c>
      <c r="H719">
        <v>5078503</v>
      </c>
      <c r="I719">
        <v>25237.3055707399</v>
      </c>
      <c r="J719">
        <v>0</v>
      </c>
      <c r="K719">
        <v>9133.2056516892007</v>
      </c>
      <c r="L719">
        <v>0</v>
      </c>
    </row>
    <row r="720" spans="1:12" x14ac:dyDescent="0.3">
      <c r="A720" s="4">
        <v>43398</v>
      </c>
      <c r="B720" s="6">
        <v>1</v>
      </c>
      <c r="C720">
        <v>216490655</v>
      </c>
      <c r="D720">
        <v>1066824.29901936</v>
      </c>
      <c r="E720">
        <v>107.29193223999999</v>
      </c>
      <c r="F720">
        <v>985822.410802447</v>
      </c>
      <c r="G720">
        <v>225460.35895071499</v>
      </c>
      <c r="H720">
        <v>5223439</v>
      </c>
      <c r="I720">
        <v>25740.102498398399</v>
      </c>
      <c r="J720">
        <v>0</v>
      </c>
      <c r="K720">
        <v>9074.8838867917002</v>
      </c>
      <c r="L720">
        <v>0</v>
      </c>
    </row>
    <row r="721" spans="1:12" x14ac:dyDescent="0.3">
      <c r="A721" s="4">
        <v>43397</v>
      </c>
      <c r="B721" s="6">
        <v>1</v>
      </c>
      <c r="C721">
        <v>215999615</v>
      </c>
      <c r="D721">
        <v>1060381.02601865</v>
      </c>
      <c r="E721">
        <v>108.00322932</v>
      </c>
      <c r="F721">
        <v>979091.97685235401</v>
      </c>
      <c r="G721">
        <v>225392.23308521899</v>
      </c>
      <c r="H721">
        <v>4898993</v>
      </c>
      <c r="I721">
        <v>24050.0392734413</v>
      </c>
      <c r="J721">
        <v>0</v>
      </c>
      <c r="K721">
        <v>8785.5323471783995</v>
      </c>
      <c r="L721">
        <v>0</v>
      </c>
    </row>
    <row r="722" spans="1:12" x14ac:dyDescent="0.3">
      <c r="A722" s="4">
        <v>43396</v>
      </c>
      <c r="B722" s="6">
        <v>1</v>
      </c>
      <c r="C722">
        <v>208692540</v>
      </c>
      <c r="D722">
        <v>1025012.47544204</v>
      </c>
      <c r="E722">
        <v>108.15875955</v>
      </c>
      <c r="F722">
        <v>946538.14513337403</v>
      </c>
      <c r="G722">
        <v>224799.99253598301</v>
      </c>
      <c r="H722">
        <v>4800799</v>
      </c>
      <c r="I722">
        <v>23579.562868369299</v>
      </c>
      <c r="J722">
        <v>0</v>
      </c>
      <c r="K722">
        <v>8717.6441800030007</v>
      </c>
      <c r="L722">
        <v>0</v>
      </c>
    </row>
    <row r="723" spans="1:12" x14ac:dyDescent="0.3">
      <c r="A723" s="4">
        <v>43395</v>
      </c>
      <c r="B723" s="6">
        <v>1</v>
      </c>
      <c r="C723">
        <v>208992533</v>
      </c>
      <c r="D723">
        <v>1020620.85754749</v>
      </c>
      <c r="E723">
        <v>109.49724798</v>
      </c>
      <c r="F723">
        <v>943425.70627615403</v>
      </c>
      <c r="G723">
        <v>279206.27351006097</v>
      </c>
      <c r="H723">
        <v>4646370</v>
      </c>
      <c r="I723">
        <v>22690.677345314201</v>
      </c>
      <c r="J723">
        <v>0</v>
      </c>
      <c r="K723">
        <v>8713.7804313746001</v>
      </c>
      <c r="L723">
        <v>0</v>
      </c>
    </row>
    <row r="724" spans="1:12" x14ac:dyDescent="0.3">
      <c r="A724" s="4">
        <v>43394</v>
      </c>
      <c r="B724" s="6">
        <v>1</v>
      </c>
      <c r="C724">
        <v>209228144</v>
      </c>
      <c r="D724">
        <v>1020226.9553344999</v>
      </c>
      <c r="E724">
        <v>111.26875715</v>
      </c>
      <c r="F724">
        <v>942845.07077832101</v>
      </c>
      <c r="G724">
        <v>288225.545889428</v>
      </c>
      <c r="H724">
        <v>4616326</v>
      </c>
      <c r="I724">
        <v>22509.8790715818</v>
      </c>
      <c r="J724">
        <v>0</v>
      </c>
      <c r="K724">
        <v>8710.0996522740006</v>
      </c>
      <c r="L724">
        <v>0</v>
      </c>
    </row>
    <row r="725" spans="1:12" x14ac:dyDescent="0.3">
      <c r="A725" s="4">
        <v>43393</v>
      </c>
      <c r="B725" s="6">
        <v>1</v>
      </c>
      <c r="C725">
        <v>206748084</v>
      </c>
      <c r="D725">
        <v>1019166.34131913</v>
      </c>
      <c r="E725">
        <v>111.15831937</v>
      </c>
      <c r="F725">
        <v>941411.69764698099</v>
      </c>
      <c r="G725">
        <v>285670.99640297203</v>
      </c>
      <c r="H725">
        <v>4579334</v>
      </c>
      <c r="I725">
        <v>22573.8637483979</v>
      </c>
      <c r="J725">
        <v>0</v>
      </c>
      <c r="K725">
        <v>8688.0360402197002</v>
      </c>
      <c r="L725">
        <v>0</v>
      </c>
    </row>
    <row r="726" spans="1:12" x14ac:dyDescent="0.3">
      <c r="A726" s="4">
        <v>43392</v>
      </c>
      <c r="B726" s="6">
        <v>1</v>
      </c>
      <c r="C726">
        <v>205913338</v>
      </c>
      <c r="D726">
        <v>1016906.20771396</v>
      </c>
      <c r="E726">
        <v>111.10932</v>
      </c>
      <c r="F726">
        <v>939238.38964800898</v>
      </c>
      <c r="G726">
        <v>281129.56240154</v>
      </c>
      <c r="H726">
        <v>4393549</v>
      </c>
      <c r="I726">
        <v>21697.6097585065</v>
      </c>
      <c r="J726">
        <v>0</v>
      </c>
      <c r="K726">
        <v>8707.9423374524995</v>
      </c>
      <c r="L726">
        <v>0</v>
      </c>
    </row>
    <row r="727" spans="1:12" x14ac:dyDescent="0.3">
      <c r="A727" s="4">
        <v>43391</v>
      </c>
      <c r="B727" s="6">
        <v>1</v>
      </c>
      <c r="C727">
        <v>210333587</v>
      </c>
      <c r="D727">
        <v>1013167.56743737</v>
      </c>
      <c r="E727">
        <v>111.1944118</v>
      </c>
      <c r="F727">
        <v>936179.49295364297</v>
      </c>
      <c r="G727">
        <v>279741.72162299999</v>
      </c>
      <c r="H727">
        <v>4443201</v>
      </c>
      <c r="I727">
        <v>21402.702312138699</v>
      </c>
      <c r="J727">
        <v>0</v>
      </c>
      <c r="K727">
        <v>8820.1569948335</v>
      </c>
      <c r="L727">
        <v>0</v>
      </c>
    </row>
    <row r="728" spans="1:12" x14ac:dyDescent="0.3">
      <c r="A728" s="4">
        <v>43390</v>
      </c>
      <c r="B728" s="6">
        <v>1</v>
      </c>
      <c r="C728">
        <v>211770576</v>
      </c>
      <c r="D728">
        <v>1007375.96803348</v>
      </c>
      <c r="E728">
        <v>111.94314135</v>
      </c>
      <c r="F728">
        <v>933335.19463334198</v>
      </c>
      <c r="G728">
        <v>278530.29728991602</v>
      </c>
      <c r="H728">
        <v>3896225</v>
      </c>
      <c r="I728">
        <v>18534.035772048301</v>
      </c>
      <c r="J728">
        <v>0</v>
      </c>
      <c r="K728">
        <v>8611.5320961663001</v>
      </c>
      <c r="L728">
        <v>0</v>
      </c>
    </row>
    <row r="729" spans="1:12" x14ac:dyDescent="0.3">
      <c r="A729" s="4">
        <v>43389</v>
      </c>
      <c r="B729" s="6">
        <v>1</v>
      </c>
      <c r="C729">
        <v>212088301</v>
      </c>
      <c r="D729">
        <v>1006111.48481973</v>
      </c>
      <c r="E729">
        <v>111.68870289</v>
      </c>
      <c r="F729">
        <v>932460.96105573897</v>
      </c>
      <c r="G729">
        <v>280375.81349433301</v>
      </c>
      <c r="H729">
        <v>3796375</v>
      </c>
      <c r="I729">
        <v>18009.369070208701</v>
      </c>
      <c r="J729">
        <v>0</v>
      </c>
      <c r="K729">
        <v>8822.7521310175998</v>
      </c>
      <c r="L729">
        <v>0</v>
      </c>
    </row>
    <row r="730" spans="1:12" x14ac:dyDescent="0.3">
      <c r="A730" s="4">
        <v>43388</v>
      </c>
      <c r="B730" s="6">
        <v>1</v>
      </c>
      <c r="C730">
        <v>195442082</v>
      </c>
      <c r="D730">
        <v>1002318.48812759</v>
      </c>
      <c r="E730">
        <v>112.00522014000001</v>
      </c>
      <c r="F730">
        <v>920281.54703356896</v>
      </c>
      <c r="G730">
        <v>278635.11438016797</v>
      </c>
      <c r="H730">
        <v>3590878</v>
      </c>
      <c r="I730">
        <v>18415.703369403502</v>
      </c>
      <c r="J730">
        <v>0</v>
      </c>
      <c r="K730">
        <v>8845.9150178802993</v>
      </c>
      <c r="L730">
        <v>0</v>
      </c>
    </row>
    <row r="731" spans="1:12" x14ac:dyDescent="0.3">
      <c r="A731" s="4">
        <v>43387</v>
      </c>
      <c r="B731" s="6">
        <v>1</v>
      </c>
      <c r="C731">
        <v>198864337</v>
      </c>
      <c r="D731">
        <v>997063.60992730001</v>
      </c>
      <c r="E731">
        <v>112.50968905000001</v>
      </c>
      <c r="F731">
        <v>918302.40864061203</v>
      </c>
      <c r="G731">
        <v>226218.89160328099</v>
      </c>
      <c r="H731">
        <v>3675141</v>
      </c>
      <c r="I731">
        <v>18426.377538230099</v>
      </c>
      <c r="J731">
        <v>0</v>
      </c>
      <c r="K731">
        <v>8885.9663726622002</v>
      </c>
      <c r="L731">
        <v>0</v>
      </c>
    </row>
    <row r="732" spans="1:12" x14ac:dyDescent="0.3">
      <c r="A732" s="4">
        <v>43386</v>
      </c>
      <c r="B732" s="6">
        <v>1</v>
      </c>
      <c r="C732">
        <v>195461840</v>
      </c>
      <c r="D732">
        <v>997406.95004337397</v>
      </c>
      <c r="E732">
        <v>112.48931013000001</v>
      </c>
      <c r="F732">
        <v>917284.62188560003</v>
      </c>
      <c r="G732">
        <v>223480.542461267</v>
      </c>
      <c r="H732">
        <v>3585414</v>
      </c>
      <c r="I732">
        <v>18295.7289381027</v>
      </c>
      <c r="J732">
        <v>0</v>
      </c>
      <c r="K732">
        <v>8852.8616052081998</v>
      </c>
      <c r="L732">
        <v>0</v>
      </c>
    </row>
    <row r="733" spans="1:12" x14ac:dyDescent="0.3">
      <c r="A733" s="4">
        <v>43385</v>
      </c>
      <c r="B733" s="6">
        <v>1</v>
      </c>
      <c r="C733">
        <v>186611789</v>
      </c>
      <c r="D733">
        <v>983046.87878628203</v>
      </c>
      <c r="E733">
        <v>112.13355045</v>
      </c>
      <c r="F733">
        <v>907131.824400899</v>
      </c>
      <c r="G733">
        <v>224027.95727408599</v>
      </c>
      <c r="H733">
        <v>2346581</v>
      </c>
      <c r="I733">
        <v>12361.4865932676</v>
      </c>
      <c r="J733">
        <v>0</v>
      </c>
      <c r="K733">
        <v>8824.1463458262006</v>
      </c>
      <c r="L733">
        <v>0</v>
      </c>
    </row>
    <row r="734" spans="1:12" x14ac:dyDescent="0.3">
      <c r="A734" s="4">
        <v>43384</v>
      </c>
      <c r="B734" s="6">
        <v>1</v>
      </c>
      <c r="C734">
        <v>215066580</v>
      </c>
      <c r="D734">
        <v>954748.20207759901</v>
      </c>
      <c r="E734">
        <v>110.8292893</v>
      </c>
      <c r="F734">
        <v>886418.81879946101</v>
      </c>
      <c r="G734">
        <v>219153.17740056699</v>
      </c>
      <c r="H734">
        <v>2694230</v>
      </c>
      <c r="I734">
        <v>11960.534493474201</v>
      </c>
      <c r="J734">
        <v>0</v>
      </c>
      <c r="K734">
        <v>8829.7154547671998</v>
      </c>
      <c r="L734">
        <v>0</v>
      </c>
    </row>
    <row r="735" spans="1:12" x14ac:dyDescent="0.3">
      <c r="A735" s="4">
        <v>43383</v>
      </c>
      <c r="B735" s="6">
        <v>1</v>
      </c>
      <c r="C735">
        <v>217455564</v>
      </c>
      <c r="D735">
        <v>955890.65013846697</v>
      </c>
      <c r="E735">
        <v>110.51957987999999</v>
      </c>
      <c r="F735">
        <v>885227.28953821806</v>
      </c>
      <c r="G735">
        <v>216230.83491813901</v>
      </c>
      <c r="H735">
        <v>2693116</v>
      </c>
      <c r="I735">
        <v>11838.392896391</v>
      </c>
      <c r="J735">
        <v>0</v>
      </c>
      <c r="K735">
        <v>8788.0401801614007</v>
      </c>
      <c r="L735">
        <v>0</v>
      </c>
    </row>
    <row r="736" spans="1:12" x14ac:dyDescent="0.3">
      <c r="A736" s="4">
        <v>43382</v>
      </c>
      <c r="B736" s="6">
        <v>1</v>
      </c>
      <c r="C736">
        <v>218960843</v>
      </c>
      <c r="D736">
        <v>954784.99542144395</v>
      </c>
      <c r="E736">
        <v>110.53337639</v>
      </c>
      <c r="F736">
        <v>885687.25206601201</v>
      </c>
      <c r="G736">
        <v>216763.04147660901</v>
      </c>
      <c r="H736">
        <v>2678445</v>
      </c>
      <c r="I736">
        <v>11679.435747612601</v>
      </c>
      <c r="J736">
        <v>0</v>
      </c>
      <c r="K736">
        <v>10357.993693182099</v>
      </c>
      <c r="L736">
        <v>0</v>
      </c>
    </row>
    <row r="737" spans="1:12" x14ac:dyDescent="0.3">
      <c r="A737" s="4">
        <v>43381</v>
      </c>
      <c r="B737" s="6">
        <v>1</v>
      </c>
      <c r="C737">
        <v>214795463</v>
      </c>
      <c r="D737">
        <v>951896.57877243496</v>
      </c>
      <c r="E737">
        <v>111.00835214999999</v>
      </c>
      <c r="F737">
        <v>880387.80272976798</v>
      </c>
      <c r="G737">
        <v>216882.790968163</v>
      </c>
      <c r="H737">
        <v>2608255</v>
      </c>
      <c r="I737">
        <v>11558.852204741799</v>
      </c>
      <c r="J737">
        <v>0</v>
      </c>
      <c r="K737">
        <v>8461.2614878229997</v>
      </c>
      <c r="L737">
        <v>0</v>
      </c>
    </row>
    <row r="738" spans="1:12" x14ac:dyDescent="0.3">
      <c r="A738" s="4">
        <v>43380</v>
      </c>
      <c r="B738" s="6">
        <v>1</v>
      </c>
      <c r="C738">
        <v>212425682</v>
      </c>
      <c r="D738">
        <v>945711.34360252798</v>
      </c>
      <c r="E738">
        <v>111.52544536000001</v>
      </c>
      <c r="F738">
        <v>873684.06000725704</v>
      </c>
      <c r="G738">
        <v>215458.85347834401</v>
      </c>
      <c r="H738">
        <v>2661759</v>
      </c>
      <c r="I738">
        <v>11850.053423559701</v>
      </c>
      <c r="J738">
        <v>0</v>
      </c>
      <c r="K738">
        <v>8442.2274481188997</v>
      </c>
      <c r="L738">
        <v>0</v>
      </c>
    </row>
    <row r="739" spans="1:12" x14ac:dyDescent="0.3">
      <c r="A739" s="4">
        <v>43379</v>
      </c>
      <c r="B739" s="6">
        <v>1</v>
      </c>
      <c r="C739">
        <v>215258973</v>
      </c>
      <c r="D739">
        <v>944532.571303203</v>
      </c>
      <c r="E739">
        <v>111.54342434</v>
      </c>
      <c r="F739">
        <v>874062.35330508801</v>
      </c>
      <c r="G739">
        <v>204019.26459868901</v>
      </c>
      <c r="H739">
        <v>2656084</v>
      </c>
      <c r="I739">
        <v>11654.602896007</v>
      </c>
      <c r="J739">
        <v>0</v>
      </c>
      <c r="K739">
        <v>8542.8837632929008</v>
      </c>
      <c r="L739">
        <v>0</v>
      </c>
    </row>
    <row r="740" spans="1:12" x14ac:dyDescent="0.3">
      <c r="A740" s="4">
        <v>43378</v>
      </c>
      <c r="B740" s="6">
        <v>1</v>
      </c>
      <c r="C740">
        <v>208877289</v>
      </c>
      <c r="D740">
        <v>941906.96699134097</v>
      </c>
      <c r="E740">
        <v>110.95019744</v>
      </c>
      <c r="F740">
        <v>871184.657236311</v>
      </c>
      <c r="G740">
        <v>199908.955865089</v>
      </c>
      <c r="H740">
        <v>2594834</v>
      </c>
      <c r="I740">
        <v>11701.091269841199</v>
      </c>
      <c r="J740">
        <v>0</v>
      </c>
      <c r="K740">
        <v>8533.8662198811999</v>
      </c>
      <c r="L740">
        <v>0</v>
      </c>
    </row>
    <row r="741" spans="1:12" x14ac:dyDescent="0.3">
      <c r="A741" s="4">
        <v>43377</v>
      </c>
      <c r="B741" s="6">
        <v>1</v>
      </c>
      <c r="C741">
        <v>206396488</v>
      </c>
      <c r="D741">
        <v>938293.80370050401</v>
      </c>
      <c r="E741">
        <v>110.09712845</v>
      </c>
      <c r="F741">
        <v>867551.01497193798</v>
      </c>
      <c r="G741">
        <v>202493.250243641</v>
      </c>
      <c r="H741">
        <v>2865857</v>
      </c>
      <c r="I741">
        <v>13028.399327180899</v>
      </c>
      <c r="J741">
        <v>0</v>
      </c>
      <c r="K741">
        <v>8528.3449019727996</v>
      </c>
      <c r="L741">
        <v>0</v>
      </c>
    </row>
    <row r="742" spans="1:12" x14ac:dyDescent="0.3">
      <c r="A742" s="4">
        <v>43376</v>
      </c>
      <c r="B742" s="6">
        <v>1</v>
      </c>
      <c r="C742">
        <v>210227655</v>
      </c>
      <c r="D742">
        <v>932604.272025552</v>
      </c>
      <c r="E742">
        <v>110.06433229</v>
      </c>
      <c r="F742">
        <v>864783.13030499604</v>
      </c>
      <c r="G742">
        <v>192206.44027291</v>
      </c>
      <c r="H742">
        <v>2954090</v>
      </c>
      <c r="I742">
        <v>13104.826546003</v>
      </c>
      <c r="J742">
        <v>0</v>
      </c>
      <c r="K742">
        <v>8522.6910498219004</v>
      </c>
      <c r="L742">
        <v>0</v>
      </c>
    </row>
    <row r="743" spans="1:12" x14ac:dyDescent="0.3">
      <c r="A743" s="4">
        <v>43375</v>
      </c>
      <c r="B743" s="6">
        <v>1</v>
      </c>
      <c r="C743">
        <v>214580839</v>
      </c>
      <c r="D743">
        <v>929323.68557817198</v>
      </c>
      <c r="E743">
        <v>110.06433229</v>
      </c>
      <c r="F743">
        <v>863764.98612696806</v>
      </c>
      <c r="G743">
        <v>189275.06035743601</v>
      </c>
      <c r="H743">
        <v>2942085</v>
      </c>
      <c r="I743">
        <v>12741.814638371499</v>
      </c>
      <c r="J743">
        <v>0</v>
      </c>
      <c r="K743">
        <v>8628.2995544787009</v>
      </c>
      <c r="L743">
        <v>0</v>
      </c>
    </row>
    <row r="744" spans="1:12" x14ac:dyDescent="0.3">
      <c r="A744" s="4">
        <v>43374</v>
      </c>
      <c r="B744" s="6">
        <v>1</v>
      </c>
      <c r="C744">
        <v>216040494</v>
      </c>
      <c r="D744">
        <v>928806.938950988</v>
      </c>
      <c r="E744">
        <v>110.06433229</v>
      </c>
      <c r="F744">
        <v>862827.58574601403</v>
      </c>
      <c r="G744">
        <v>204106.55487319201</v>
      </c>
      <c r="H744">
        <v>2918199</v>
      </c>
      <c r="I744">
        <v>12545.9974204643</v>
      </c>
      <c r="J744">
        <v>0</v>
      </c>
      <c r="K744">
        <v>8613.3822925072</v>
      </c>
      <c r="L744">
        <v>0</v>
      </c>
    </row>
    <row r="745" spans="1:12" x14ac:dyDescent="0.3">
      <c r="A745" s="4">
        <v>43373</v>
      </c>
      <c r="B745" s="6">
        <v>1</v>
      </c>
      <c r="C745">
        <v>215060917</v>
      </c>
      <c r="D745">
        <v>929711.72834169096</v>
      </c>
      <c r="E745">
        <v>110.06433229</v>
      </c>
      <c r="F745">
        <v>863490.91474137595</v>
      </c>
      <c r="G745">
        <v>204960.40863514299</v>
      </c>
      <c r="H745">
        <v>2778901</v>
      </c>
      <c r="I745">
        <v>12013.232751167199</v>
      </c>
      <c r="J745">
        <v>0</v>
      </c>
      <c r="K745">
        <v>8585.7989583031995</v>
      </c>
      <c r="L745">
        <v>0</v>
      </c>
    </row>
    <row r="746" spans="1:12" x14ac:dyDescent="0.3">
      <c r="A746" s="4">
        <v>43372</v>
      </c>
      <c r="B746" s="6">
        <v>1</v>
      </c>
      <c r="C746">
        <v>206094673</v>
      </c>
      <c r="D746">
        <v>930198.018595414</v>
      </c>
      <c r="E746">
        <v>110.06433229</v>
      </c>
      <c r="F746">
        <v>863029.18533097499</v>
      </c>
      <c r="G746">
        <v>205816.98975588</v>
      </c>
      <c r="H746">
        <v>2463046</v>
      </c>
      <c r="I746">
        <v>11116.835168803</v>
      </c>
      <c r="J746">
        <v>0</v>
      </c>
      <c r="K746">
        <v>8448.9590010029005</v>
      </c>
      <c r="L746">
        <v>0</v>
      </c>
    </row>
    <row r="747" spans="1:12" x14ac:dyDescent="0.3">
      <c r="A747" s="4">
        <v>43371</v>
      </c>
      <c r="B747" s="6">
        <v>1</v>
      </c>
      <c r="C747">
        <v>211470309</v>
      </c>
      <c r="D747">
        <v>923088.34519184497</v>
      </c>
      <c r="E747">
        <v>110.06433229</v>
      </c>
      <c r="F747">
        <v>862612.83020240301</v>
      </c>
      <c r="G747">
        <v>185176.64279375799</v>
      </c>
      <c r="H747">
        <v>1513428</v>
      </c>
      <c r="I747">
        <v>6606.259548649</v>
      </c>
      <c r="J747">
        <v>0</v>
      </c>
      <c r="K747">
        <v>8364.9529226425002</v>
      </c>
      <c r="L747">
        <v>0</v>
      </c>
    </row>
    <row r="748" spans="1:12" x14ac:dyDescent="0.3">
      <c r="A748" s="4">
        <v>43370</v>
      </c>
      <c r="B748" s="6">
        <v>1</v>
      </c>
      <c r="C748">
        <v>197355567</v>
      </c>
      <c r="D748">
        <v>921318.17842304194</v>
      </c>
      <c r="E748">
        <v>110.06433229</v>
      </c>
      <c r="F748">
        <v>862352.83919888095</v>
      </c>
      <c r="G748">
        <v>185516.24696824499</v>
      </c>
      <c r="H748">
        <v>93223</v>
      </c>
      <c r="I748">
        <v>435.19443536716301</v>
      </c>
      <c r="J748">
        <v>0</v>
      </c>
      <c r="K748">
        <v>8321.8668131479008</v>
      </c>
      <c r="L748">
        <v>0</v>
      </c>
    </row>
    <row r="749" spans="1:12" x14ac:dyDescent="0.3">
      <c r="A749" s="4">
        <v>43369</v>
      </c>
      <c r="B749" s="6">
        <v>1</v>
      </c>
      <c r="C749">
        <v>200575746</v>
      </c>
      <c r="D749">
        <v>915035.33759123995</v>
      </c>
      <c r="E749">
        <v>109.80759444</v>
      </c>
      <c r="F749">
        <v>851898.87833992299</v>
      </c>
      <c r="G749">
        <v>186274.759236816</v>
      </c>
    </row>
    <row r="750" spans="1:12" x14ac:dyDescent="0.3">
      <c r="A750" s="4">
        <v>43368</v>
      </c>
      <c r="B750" s="6">
        <v>1</v>
      </c>
      <c r="C750">
        <v>203238993</v>
      </c>
      <c r="D750">
        <v>891711.97349947295</v>
      </c>
      <c r="E750">
        <v>110.10055719</v>
      </c>
      <c r="F750">
        <v>832414.85355447105</v>
      </c>
      <c r="G750">
        <v>185459.33469848699</v>
      </c>
    </row>
    <row r="751" spans="1:12" x14ac:dyDescent="0.3">
      <c r="A751" s="4">
        <v>43367</v>
      </c>
      <c r="B751" s="6">
        <v>1</v>
      </c>
      <c r="C751">
        <v>216910076</v>
      </c>
      <c r="D751">
        <v>886976.38928644406</v>
      </c>
      <c r="E751">
        <v>110.34292539</v>
      </c>
      <c r="F751">
        <v>829223.92798692104</v>
      </c>
      <c r="G751">
        <v>183685.13832357101</v>
      </c>
    </row>
    <row r="752" spans="1:12" x14ac:dyDescent="0.3">
      <c r="A752" s="4">
        <v>43366</v>
      </c>
      <c r="B752" s="6">
        <v>1</v>
      </c>
      <c r="C752">
        <v>213461887</v>
      </c>
      <c r="D752">
        <v>886543.26356009603</v>
      </c>
      <c r="E752">
        <v>109.95622382000001</v>
      </c>
      <c r="F752">
        <v>826925.35511969996</v>
      </c>
      <c r="G752">
        <v>186662.97047775</v>
      </c>
    </row>
    <row r="753" spans="1:7" x14ac:dyDescent="0.3">
      <c r="A753" s="4">
        <v>43365</v>
      </c>
      <c r="B753" s="6">
        <v>1</v>
      </c>
      <c r="C753">
        <v>218694935</v>
      </c>
      <c r="D753">
        <v>882938.08793249598</v>
      </c>
      <c r="E753">
        <v>109.3465865</v>
      </c>
      <c r="F753">
        <v>824174.05116086197</v>
      </c>
      <c r="G753">
        <v>187031.25686080399</v>
      </c>
    </row>
    <row r="754" spans="1:7" x14ac:dyDescent="0.3">
      <c r="A754" s="4">
        <v>43364</v>
      </c>
      <c r="B754" s="6">
        <v>1</v>
      </c>
      <c r="C754">
        <v>199701062</v>
      </c>
      <c r="D754">
        <v>888508.017440825</v>
      </c>
      <c r="E754">
        <v>109.62275142999999</v>
      </c>
      <c r="F754">
        <v>823698.14519444795</v>
      </c>
      <c r="G754">
        <v>188592.95288506601</v>
      </c>
    </row>
    <row r="755" spans="1:7" x14ac:dyDescent="0.3">
      <c r="A755" s="4">
        <v>43363</v>
      </c>
      <c r="B755" s="6">
        <v>1</v>
      </c>
      <c r="C755">
        <v>186510085</v>
      </c>
      <c r="D755">
        <v>889074.67346744204</v>
      </c>
      <c r="E755">
        <v>109.73578858</v>
      </c>
      <c r="F755">
        <v>823295.96514483099</v>
      </c>
      <c r="G755">
        <v>188047.15121042001</v>
      </c>
    </row>
    <row r="756" spans="1:7" x14ac:dyDescent="0.3">
      <c r="A756" s="4">
        <v>43362</v>
      </c>
      <c r="B756" s="6">
        <v>1</v>
      </c>
      <c r="C756">
        <v>184954799</v>
      </c>
      <c r="D756">
        <v>887541.62387830496</v>
      </c>
      <c r="E756">
        <v>108.22656427</v>
      </c>
      <c r="F756">
        <v>823015.25908634497</v>
      </c>
      <c r="G756">
        <v>184337.185888685</v>
      </c>
    </row>
    <row r="757" spans="1:7" x14ac:dyDescent="0.3">
      <c r="A757" s="4">
        <v>43361</v>
      </c>
      <c r="B757" s="6">
        <v>1</v>
      </c>
      <c r="C757">
        <v>174033502</v>
      </c>
      <c r="D757">
        <v>887744.85819220496</v>
      </c>
      <c r="E757">
        <v>108.2961399</v>
      </c>
      <c r="F757">
        <v>821511.87325135304</v>
      </c>
      <c r="G757">
        <v>186569.966016391</v>
      </c>
    </row>
    <row r="758" spans="1:7" x14ac:dyDescent="0.3">
      <c r="A758" s="4">
        <v>43360</v>
      </c>
      <c r="B758" s="6">
        <v>1</v>
      </c>
      <c r="C758">
        <v>189954707</v>
      </c>
      <c r="D758">
        <v>862959.78102852905</v>
      </c>
      <c r="E758">
        <v>107.96253611</v>
      </c>
      <c r="F758">
        <v>802705.81955184799</v>
      </c>
      <c r="G758">
        <v>182210.51040945199</v>
      </c>
    </row>
    <row r="759" spans="1:7" x14ac:dyDescent="0.3">
      <c r="A759" s="4">
        <v>43359</v>
      </c>
      <c r="B759" s="6">
        <v>1</v>
      </c>
      <c r="C759">
        <v>191092152</v>
      </c>
      <c r="D759">
        <v>862251.38525403803</v>
      </c>
      <c r="E759">
        <v>107.80900268000001</v>
      </c>
      <c r="F759">
        <v>800082.34377829195</v>
      </c>
      <c r="G759">
        <v>181538.015568584</v>
      </c>
    </row>
    <row r="760" spans="1:7" x14ac:dyDescent="0.3">
      <c r="A760" s="4">
        <v>43358</v>
      </c>
      <c r="B760" s="6">
        <v>1</v>
      </c>
      <c r="C760">
        <v>179784064</v>
      </c>
      <c r="D760">
        <v>860746.22492459405</v>
      </c>
      <c r="E760">
        <v>107.41283322</v>
      </c>
      <c r="F760">
        <v>795288.70453323296</v>
      </c>
      <c r="G760">
        <v>184786.15761236401</v>
      </c>
    </row>
    <row r="761" spans="1:7" x14ac:dyDescent="0.3">
      <c r="A761" s="4">
        <v>43357</v>
      </c>
      <c r="B761" s="6">
        <v>1</v>
      </c>
      <c r="C761">
        <v>180436801</v>
      </c>
      <c r="D761">
        <v>854057.84541108506</v>
      </c>
      <c r="E761">
        <v>107.33505752000001</v>
      </c>
      <c r="F761">
        <v>789686.21789659001</v>
      </c>
      <c r="G761">
        <v>190262.13604232299</v>
      </c>
    </row>
    <row r="762" spans="1:7" x14ac:dyDescent="0.3">
      <c r="A762" s="4">
        <v>43356</v>
      </c>
      <c r="B762" s="6">
        <v>1</v>
      </c>
      <c r="C762">
        <v>156799495</v>
      </c>
      <c r="D762">
        <v>856687.40097251802</v>
      </c>
      <c r="E762">
        <v>106.33998859</v>
      </c>
      <c r="F762">
        <v>786479.26204253105</v>
      </c>
      <c r="G762">
        <v>187950.74360822799</v>
      </c>
    </row>
    <row r="763" spans="1:7" x14ac:dyDescent="0.3">
      <c r="A763" s="4">
        <v>43355</v>
      </c>
      <c r="B763" s="6">
        <v>1</v>
      </c>
      <c r="C763">
        <v>153120229</v>
      </c>
      <c r="D763">
        <v>827006.36780988297</v>
      </c>
      <c r="E763">
        <v>107.15508500999999</v>
      </c>
      <c r="F763">
        <v>759381.37850630004</v>
      </c>
      <c r="G763">
        <v>191647.24806301799</v>
      </c>
    </row>
    <row r="764" spans="1:7" x14ac:dyDescent="0.3">
      <c r="A764" s="4">
        <v>43354</v>
      </c>
      <c r="B764" s="6">
        <v>1</v>
      </c>
      <c r="C764">
        <v>153777841</v>
      </c>
      <c r="D764">
        <v>780083.40181605995</v>
      </c>
      <c r="E764">
        <v>107.51290219000001</v>
      </c>
      <c r="F764">
        <v>718416.30780850898</v>
      </c>
      <c r="G764">
        <v>183964.318568663</v>
      </c>
    </row>
    <row r="765" spans="1:7" x14ac:dyDescent="0.3">
      <c r="A765" s="4">
        <v>43353</v>
      </c>
      <c r="B765" s="6">
        <v>1</v>
      </c>
      <c r="C765">
        <v>145792039</v>
      </c>
      <c r="D765">
        <v>743874.88647379901</v>
      </c>
      <c r="E765">
        <v>110.38183764999999</v>
      </c>
      <c r="F765">
        <v>682873.73662875197</v>
      </c>
      <c r="G765">
        <v>177741.36470655899</v>
      </c>
    </row>
    <row r="766" spans="1:7" x14ac:dyDescent="0.3">
      <c r="A766" s="4">
        <v>43352</v>
      </c>
      <c r="B766" s="6">
        <v>1</v>
      </c>
      <c r="C766">
        <v>138545111</v>
      </c>
      <c r="D766">
        <v>704096.71697921399</v>
      </c>
      <c r="E766">
        <v>111.09242236999999</v>
      </c>
      <c r="F766">
        <v>643589.40214654198</v>
      </c>
      <c r="G766">
        <v>177616.65320818199</v>
      </c>
    </row>
    <row r="767" spans="1:7" x14ac:dyDescent="0.3">
      <c r="A767" s="4">
        <v>43351</v>
      </c>
      <c r="B767" s="6">
        <v>1</v>
      </c>
      <c r="C767">
        <v>139095514</v>
      </c>
      <c r="D767">
        <v>646534.87961327401</v>
      </c>
      <c r="E767">
        <v>111.36531852</v>
      </c>
      <c r="F767">
        <v>590320.11732429697</v>
      </c>
      <c r="G767">
        <v>172274.620623047</v>
      </c>
    </row>
    <row r="768" spans="1:7" x14ac:dyDescent="0.3">
      <c r="A768" s="4">
        <v>43350</v>
      </c>
      <c r="B768" s="6">
        <v>1</v>
      </c>
      <c r="C768">
        <v>137659327</v>
      </c>
      <c r="D768">
        <v>599666.00017424603</v>
      </c>
      <c r="E768">
        <v>111.99936927</v>
      </c>
      <c r="F768">
        <v>544074.46325362194</v>
      </c>
      <c r="G768">
        <v>181705.334581609</v>
      </c>
    </row>
    <row r="769" spans="1:7" x14ac:dyDescent="0.3">
      <c r="A769" s="4">
        <v>43349</v>
      </c>
      <c r="B769" s="6">
        <v>1</v>
      </c>
      <c r="C769">
        <v>140767634</v>
      </c>
      <c r="D769">
        <v>616671.63446795405</v>
      </c>
      <c r="E769">
        <v>112.54996856</v>
      </c>
      <c r="F769">
        <v>561647.32376593095</v>
      </c>
      <c r="G769">
        <v>182148.262054819</v>
      </c>
    </row>
    <row r="770" spans="1:7" x14ac:dyDescent="0.3">
      <c r="A770" s="4">
        <v>43348</v>
      </c>
      <c r="B770" s="6">
        <v>1</v>
      </c>
      <c r="C770">
        <v>172350784</v>
      </c>
      <c r="D770">
        <v>604251.95105704095</v>
      </c>
      <c r="E770">
        <v>112.54934894</v>
      </c>
      <c r="F770">
        <v>555435.28093422495</v>
      </c>
      <c r="G770">
        <v>178129.35737934901</v>
      </c>
    </row>
    <row r="771" spans="1:7" x14ac:dyDescent="0.3">
      <c r="A771" s="4">
        <v>43347</v>
      </c>
      <c r="B771" s="6">
        <v>1</v>
      </c>
      <c r="C771">
        <v>175215901</v>
      </c>
      <c r="D771">
        <v>606346.336989998</v>
      </c>
      <c r="E771">
        <v>112.35012621</v>
      </c>
      <c r="F771">
        <v>552819.17268291302</v>
      </c>
      <c r="G771">
        <v>179527.366918332</v>
      </c>
    </row>
    <row r="772" spans="1:7" x14ac:dyDescent="0.3">
      <c r="A772" s="4">
        <v>43346</v>
      </c>
      <c r="B772" s="6">
        <v>1</v>
      </c>
      <c r="C772">
        <v>180999875</v>
      </c>
      <c r="D772">
        <v>613517.30391159898</v>
      </c>
      <c r="E772">
        <v>112.08730573</v>
      </c>
      <c r="F772">
        <v>552585.85675680195</v>
      </c>
      <c r="G772">
        <v>165366.75829808399</v>
      </c>
    </row>
    <row r="773" spans="1:7" x14ac:dyDescent="0.3">
      <c r="A773" s="4">
        <v>43345</v>
      </c>
      <c r="B773" s="6">
        <v>1</v>
      </c>
      <c r="C773">
        <v>181561342</v>
      </c>
      <c r="D773">
        <v>614712.01923076902</v>
      </c>
      <c r="E773">
        <v>111.37082562000001</v>
      </c>
      <c r="F773">
        <v>552033.91113932105</v>
      </c>
      <c r="G773">
        <v>166304.960219525</v>
      </c>
    </row>
    <row r="774" spans="1:7" x14ac:dyDescent="0.3">
      <c r="A774" s="4">
        <v>43344</v>
      </c>
      <c r="B774" s="6">
        <v>1</v>
      </c>
      <c r="C774">
        <v>171377063</v>
      </c>
      <c r="D774">
        <v>608475.28137759597</v>
      </c>
      <c r="E774">
        <v>108.05413018</v>
      </c>
      <c r="F774">
        <v>548803.98803728702</v>
      </c>
      <c r="G774">
        <v>168242.32503777501</v>
      </c>
    </row>
    <row r="775" spans="1:7" x14ac:dyDescent="0.3">
      <c r="A775" s="4">
        <v>43343</v>
      </c>
      <c r="B775" s="6">
        <v>1</v>
      </c>
      <c r="C775">
        <v>172760720</v>
      </c>
      <c r="D775">
        <v>607991.27221537905</v>
      </c>
      <c r="E775">
        <v>108.05413018</v>
      </c>
      <c r="F775">
        <v>548508.62372562801</v>
      </c>
      <c r="G775">
        <v>165564.38038704399</v>
      </c>
    </row>
    <row r="776" spans="1:7" x14ac:dyDescent="0.3">
      <c r="A776" s="4">
        <v>43342</v>
      </c>
      <c r="B776" s="6">
        <v>1</v>
      </c>
      <c r="C776">
        <v>175821755</v>
      </c>
      <c r="D776">
        <v>609075.25894620095</v>
      </c>
      <c r="E776">
        <v>100.93124817</v>
      </c>
      <c r="F776">
        <v>548071.37560266501</v>
      </c>
      <c r="G776">
        <v>166814.06807124001</v>
      </c>
    </row>
    <row r="777" spans="1:7" x14ac:dyDescent="0.3">
      <c r="A777" s="4">
        <v>43341</v>
      </c>
      <c r="B777" s="6">
        <v>1</v>
      </c>
      <c r="C777">
        <v>179977135</v>
      </c>
      <c r="D777">
        <v>608956.640162408</v>
      </c>
      <c r="E777">
        <v>99.235363419999999</v>
      </c>
      <c r="F777">
        <v>547386.26608408103</v>
      </c>
      <c r="G777">
        <v>173860.232905827</v>
      </c>
    </row>
    <row r="778" spans="1:7" x14ac:dyDescent="0.3">
      <c r="A778" s="4">
        <v>43340</v>
      </c>
      <c r="B778" s="6">
        <v>1</v>
      </c>
      <c r="C778">
        <v>174458547</v>
      </c>
      <c r="D778">
        <v>605716.78008471604</v>
      </c>
      <c r="E778">
        <v>97.365461089999997</v>
      </c>
      <c r="F778">
        <v>546405.89756144502</v>
      </c>
      <c r="G778">
        <v>178339.855321112</v>
      </c>
    </row>
    <row r="779" spans="1:7" x14ac:dyDescent="0.3">
      <c r="A779" s="4">
        <v>43339</v>
      </c>
      <c r="B779" s="6">
        <v>1</v>
      </c>
      <c r="C779">
        <v>165799021</v>
      </c>
      <c r="D779">
        <v>604444.11593146098</v>
      </c>
      <c r="E779">
        <v>98.169933990000004</v>
      </c>
      <c r="F779">
        <v>543895.83978007699</v>
      </c>
      <c r="G779">
        <v>177585.63666975001</v>
      </c>
    </row>
    <row r="780" spans="1:7" x14ac:dyDescent="0.3">
      <c r="A780" s="4">
        <v>43338</v>
      </c>
      <c r="B780" s="6">
        <v>1</v>
      </c>
      <c r="C780">
        <v>167438517</v>
      </c>
      <c r="D780">
        <v>603251.610462602</v>
      </c>
      <c r="E780">
        <v>96.218342370000002</v>
      </c>
      <c r="F780">
        <v>543231.59789658396</v>
      </c>
      <c r="G780">
        <v>197309.22202985699</v>
      </c>
    </row>
    <row r="781" spans="1:7" x14ac:dyDescent="0.3">
      <c r="A781" s="4">
        <v>43337</v>
      </c>
      <c r="B781" s="6">
        <v>1</v>
      </c>
      <c r="C781">
        <v>168357612</v>
      </c>
      <c r="D781">
        <v>598349.54686000606</v>
      </c>
      <c r="E781">
        <v>94.210976590000001</v>
      </c>
      <c r="F781">
        <v>543003.468260539</v>
      </c>
      <c r="G781">
        <v>199093.594709703</v>
      </c>
    </row>
    <row r="782" spans="1:7" x14ac:dyDescent="0.3">
      <c r="A782" s="4">
        <v>43336</v>
      </c>
      <c r="B782" s="6">
        <v>1</v>
      </c>
      <c r="C782">
        <v>162000470</v>
      </c>
      <c r="D782">
        <v>587319.97969763901</v>
      </c>
      <c r="E782">
        <v>93.04467081</v>
      </c>
      <c r="F782">
        <v>538033.69157991803</v>
      </c>
      <c r="G782">
        <v>200257.91462741999</v>
      </c>
    </row>
    <row r="783" spans="1:7" x14ac:dyDescent="0.3">
      <c r="A783" s="4">
        <v>43335</v>
      </c>
      <c r="B783" s="6">
        <v>1</v>
      </c>
      <c r="C783">
        <v>157258194</v>
      </c>
      <c r="D783">
        <v>581662.20594762499</v>
      </c>
      <c r="E783">
        <v>91.593501430000003</v>
      </c>
      <c r="F783">
        <v>533321.95242869703</v>
      </c>
      <c r="G783">
        <v>199799.81510841899</v>
      </c>
    </row>
    <row r="784" spans="1:7" x14ac:dyDescent="0.3">
      <c r="A784" s="4">
        <v>43334</v>
      </c>
      <c r="B784" s="6">
        <v>1</v>
      </c>
      <c r="C784">
        <v>164107148</v>
      </c>
      <c r="D784">
        <v>583741.14466616802</v>
      </c>
      <c r="E784">
        <v>91.688142049999996</v>
      </c>
      <c r="F784">
        <v>528292.98810183001</v>
      </c>
      <c r="G784">
        <v>196181.395324871</v>
      </c>
    </row>
    <row r="785" spans="1:7" x14ac:dyDescent="0.3">
      <c r="A785" s="4">
        <v>43333</v>
      </c>
      <c r="B785" s="6">
        <v>1</v>
      </c>
      <c r="C785">
        <v>157624090</v>
      </c>
      <c r="D785">
        <v>582154.26946373098</v>
      </c>
      <c r="E785">
        <v>89.040685069999995</v>
      </c>
      <c r="F785">
        <v>524352.32607858605</v>
      </c>
      <c r="G785">
        <v>196009.32243739101</v>
      </c>
    </row>
    <row r="786" spans="1:7" x14ac:dyDescent="0.3">
      <c r="A786" s="4">
        <v>43332</v>
      </c>
      <c r="B786" s="6">
        <v>1</v>
      </c>
      <c r="C786">
        <v>169444920</v>
      </c>
      <c r="D786">
        <v>565532.74147253099</v>
      </c>
      <c r="E786">
        <v>84.553057170000002</v>
      </c>
      <c r="F786">
        <v>522218.06098637503</v>
      </c>
      <c r="G786">
        <v>197946.022717488</v>
      </c>
    </row>
    <row r="787" spans="1:7" x14ac:dyDescent="0.3">
      <c r="A787" s="4">
        <v>43331</v>
      </c>
      <c r="B787" s="6">
        <v>1</v>
      </c>
      <c r="C787">
        <v>166901716</v>
      </c>
      <c r="D787">
        <v>566056.35407834395</v>
      </c>
      <c r="E787">
        <v>84.258248170000002</v>
      </c>
      <c r="F787">
        <v>520803.42353599798</v>
      </c>
      <c r="G787">
        <v>200190.85384100099</v>
      </c>
    </row>
    <row r="788" spans="1:7" x14ac:dyDescent="0.3">
      <c r="A788" s="4">
        <v>43330</v>
      </c>
      <c r="B788" s="6">
        <v>1</v>
      </c>
      <c r="C788">
        <v>181852154</v>
      </c>
      <c r="D788">
        <v>572636.43921025295</v>
      </c>
      <c r="E788">
        <v>84.80284528</v>
      </c>
      <c r="F788">
        <v>519545.02107420599</v>
      </c>
      <c r="G788">
        <v>195354.688733769</v>
      </c>
    </row>
    <row r="789" spans="1:7" x14ac:dyDescent="0.3">
      <c r="A789" s="4">
        <v>43329</v>
      </c>
      <c r="B789" s="6">
        <v>1</v>
      </c>
      <c r="C789">
        <v>162157007</v>
      </c>
      <c r="D789">
        <v>565401.00069735001</v>
      </c>
      <c r="E789">
        <v>84.061492029999997</v>
      </c>
      <c r="F789">
        <v>519597.796150168</v>
      </c>
      <c r="G789">
        <v>191176.513049917</v>
      </c>
    </row>
    <row r="790" spans="1:7" x14ac:dyDescent="0.3">
      <c r="A790" s="4">
        <v>43328</v>
      </c>
      <c r="B790" s="6">
        <v>1</v>
      </c>
      <c r="C790">
        <v>158364913</v>
      </c>
      <c r="D790">
        <v>563095.26738728397</v>
      </c>
      <c r="E790">
        <v>83.422616410000003</v>
      </c>
      <c r="F790">
        <v>519338.06933521299</v>
      </c>
      <c r="G790">
        <v>192963.59238378599</v>
      </c>
    </row>
    <row r="791" spans="1:7" x14ac:dyDescent="0.3">
      <c r="A791" s="4">
        <v>43327</v>
      </c>
      <c r="B791" s="6">
        <v>1</v>
      </c>
      <c r="C791">
        <v>155522792</v>
      </c>
      <c r="D791">
        <v>558811.368617728</v>
      </c>
      <c r="E791">
        <v>82.536070289999998</v>
      </c>
      <c r="F791">
        <v>515536.779013475</v>
      </c>
      <c r="G791">
        <v>193463.427819403</v>
      </c>
    </row>
    <row r="792" spans="1:7" x14ac:dyDescent="0.3">
      <c r="A792" s="4">
        <v>43326</v>
      </c>
      <c r="B792" s="6">
        <v>1</v>
      </c>
      <c r="C792">
        <v>156896201</v>
      </c>
      <c r="D792">
        <v>552393.06059219094</v>
      </c>
      <c r="E792">
        <v>82.451217990000004</v>
      </c>
      <c r="F792">
        <v>510232.90097038302</v>
      </c>
      <c r="G792">
        <v>191251.06854977601</v>
      </c>
    </row>
    <row r="793" spans="1:7" x14ac:dyDescent="0.3">
      <c r="A793" s="4">
        <v>43325</v>
      </c>
      <c r="B793" s="6">
        <v>1</v>
      </c>
      <c r="C793">
        <v>166267346</v>
      </c>
      <c r="D793">
        <v>522508.23669903498</v>
      </c>
      <c r="E793">
        <v>81.211536089999996</v>
      </c>
      <c r="F793">
        <v>481403.78913768101</v>
      </c>
      <c r="G793">
        <v>189150.18477395701</v>
      </c>
    </row>
    <row r="794" spans="1:7" x14ac:dyDescent="0.3">
      <c r="A794" s="4">
        <v>43324</v>
      </c>
      <c r="B794" s="6">
        <v>1</v>
      </c>
      <c r="C794">
        <v>164880229</v>
      </c>
      <c r="D794">
        <v>518507.59143369203</v>
      </c>
      <c r="E794">
        <v>82.205234250000004</v>
      </c>
      <c r="F794">
        <v>476672.69316740503</v>
      </c>
      <c r="G794">
        <v>192471.40270283501</v>
      </c>
    </row>
    <row r="795" spans="1:7" x14ac:dyDescent="0.3">
      <c r="A795" s="4">
        <v>43323</v>
      </c>
      <c r="B795" s="6">
        <v>1</v>
      </c>
      <c r="C795">
        <v>163822820</v>
      </c>
      <c r="D795">
        <v>494097.05633972702</v>
      </c>
      <c r="E795">
        <v>82.025310480000002</v>
      </c>
      <c r="F795">
        <v>452425.74890133197</v>
      </c>
      <c r="G795">
        <v>187109.479631733</v>
      </c>
    </row>
    <row r="796" spans="1:7" x14ac:dyDescent="0.3">
      <c r="A796" s="4">
        <v>43322</v>
      </c>
      <c r="B796" s="6">
        <v>1</v>
      </c>
      <c r="C796">
        <v>175480266</v>
      </c>
      <c r="D796">
        <v>482738.48312288499</v>
      </c>
      <c r="E796">
        <v>81.593884399999993</v>
      </c>
      <c r="F796">
        <v>444625.96447789599</v>
      </c>
      <c r="G796">
        <v>195547.94022528199</v>
      </c>
    </row>
    <row r="797" spans="1:7" x14ac:dyDescent="0.3">
      <c r="A797" s="4">
        <v>43321</v>
      </c>
      <c r="B797" s="6">
        <v>1</v>
      </c>
      <c r="C797">
        <v>169052859</v>
      </c>
      <c r="D797">
        <v>475441.85111229803</v>
      </c>
      <c r="E797">
        <v>80.742125869999995</v>
      </c>
      <c r="F797">
        <v>434598.33100761601</v>
      </c>
      <c r="G797">
        <v>193718.58041590199</v>
      </c>
    </row>
    <row r="798" spans="1:7" x14ac:dyDescent="0.3">
      <c r="A798" s="4">
        <v>43320</v>
      </c>
      <c r="B798" s="6">
        <v>1</v>
      </c>
      <c r="C798">
        <v>169799074</v>
      </c>
      <c r="D798">
        <v>449275.21299677202</v>
      </c>
      <c r="E798">
        <v>80.360014629999995</v>
      </c>
      <c r="F798">
        <v>400071.04514723102</v>
      </c>
      <c r="G798">
        <v>199283.67175847001</v>
      </c>
    </row>
    <row r="799" spans="1:7" x14ac:dyDescent="0.3">
      <c r="A799" s="4">
        <v>43319</v>
      </c>
      <c r="B799" s="6">
        <v>1</v>
      </c>
      <c r="C799">
        <v>182019699</v>
      </c>
      <c r="D799">
        <v>449486.84775898198</v>
      </c>
      <c r="E799">
        <v>80.38984653</v>
      </c>
      <c r="F799">
        <v>400057.03553355997</v>
      </c>
      <c r="G799">
        <v>188223.53733444499</v>
      </c>
    </row>
    <row r="800" spans="1:7" x14ac:dyDescent="0.3">
      <c r="A800" s="4">
        <v>43318</v>
      </c>
      <c r="B800" s="6">
        <v>1</v>
      </c>
      <c r="C800">
        <v>184078439</v>
      </c>
      <c r="D800">
        <v>450311.75448896701</v>
      </c>
      <c r="E800">
        <v>79.210201560000002</v>
      </c>
      <c r="F800">
        <v>398299.75205865601</v>
      </c>
      <c r="G800">
        <v>186046.69093503599</v>
      </c>
    </row>
    <row r="801" spans="1:7" x14ac:dyDescent="0.3">
      <c r="A801" s="4">
        <v>43317</v>
      </c>
      <c r="B801" s="6">
        <v>1</v>
      </c>
      <c r="C801">
        <v>182816751</v>
      </c>
      <c r="D801">
        <v>449280.55589688098</v>
      </c>
      <c r="E801">
        <v>77.379306560000003</v>
      </c>
      <c r="F801">
        <v>397368.44322229299</v>
      </c>
      <c r="G801">
        <v>184037.89306350701</v>
      </c>
    </row>
    <row r="802" spans="1:7" x14ac:dyDescent="0.3">
      <c r="A802" s="4">
        <v>43316</v>
      </c>
      <c r="B802" s="6">
        <v>1</v>
      </c>
      <c r="C802">
        <v>186439572</v>
      </c>
      <c r="D802">
        <v>446433.532876777</v>
      </c>
      <c r="E802">
        <v>91.344701430000001</v>
      </c>
      <c r="F802">
        <v>396057.720748919</v>
      </c>
      <c r="G802">
        <v>186064.33825676801</v>
      </c>
    </row>
    <row r="803" spans="1:7" x14ac:dyDescent="0.3">
      <c r="A803" s="4">
        <v>43315</v>
      </c>
      <c r="B803" s="6">
        <v>1</v>
      </c>
      <c r="C803">
        <v>183822817</v>
      </c>
      <c r="D803">
        <v>447442.53584207501</v>
      </c>
      <c r="E803">
        <v>91.330285880000005</v>
      </c>
      <c r="F803">
        <v>393443.49501109798</v>
      </c>
      <c r="G803">
        <v>196460.50250362101</v>
      </c>
    </row>
    <row r="804" spans="1:7" x14ac:dyDescent="0.3">
      <c r="A804" s="4">
        <v>43314</v>
      </c>
      <c r="B804" s="6">
        <v>1</v>
      </c>
      <c r="C804">
        <v>187488159</v>
      </c>
      <c r="D804">
        <v>446538.59289780102</v>
      </c>
      <c r="E804">
        <v>91.590631139999999</v>
      </c>
      <c r="F804">
        <v>392156.15784335398</v>
      </c>
      <c r="G804">
        <v>195098.72163367001</v>
      </c>
    </row>
    <row r="805" spans="1:7" x14ac:dyDescent="0.3">
      <c r="A805" s="4">
        <v>43313</v>
      </c>
      <c r="B805" s="6">
        <v>1</v>
      </c>
      <c r="C805">
        <v>192232034</v>
      </c>
      <c r="D805">
        <v>445012.46382850601</v>
      </c>
      <c r="E805">
        <v>93.096870499999994</v>
      </c>
      <c r="F805">
        <v>390148.47305598599</v>
      </c>
      <c r="G805">
        <v>203420.99648964999</v>
      </c>
    </row>
    <row r="806" spans="1:7" x14ac:dyDescent="0.3">
      <c r="A806" s="4">
        <v>43312</v>
      </c>
      <c r="B806" s="6">
        <v>1</v>
      </c>
      <c r="C806">
        <v>196046601</v>
      </c>
      <c r="D806">
        <v>429399.42395303998</v>
      </c>
      <c r="E806">
        <v>94.04158932</v>
      </c>
      <c r="F806">
        <v>387565.27400362497</v>
      </c>
      <c r="G806">
        <v>213805.45664572201</v>
      </c>
    </row>
    <row r="807" spans="1:7" x14ac:dyDescent="0.3">
      <c r="A807" s="4">
        <v>43311</v>
      </c>
      <c r="B807" s="6">
        <v>1</v>
      </c>
      <c r="C807">
        <v>206034861</v>
      </c>
      <c r="D807">
        <v>441945.218790218</v>
      </c>
      <c r="E807">
        <v>93.796637380000007</v>
      </c>
      <c r="F807">
        <v>385846.33299829502</v>
      </c>
      <c r="G807">
        <v>208500.61838432</v>
      </c>
    </row>
    <row r="808" spans="1:7" x14ac:dyDescent="0.3">
      <c r="A808" s="4">
        <v>43310</v>
      </c>
      <c r="B808" s="6">
        <v>1</v>
      </c>
      <c r="C808">
        <v>206570838</v>
      </c>
      <c r="D808">
        <v>440872.56002560997</v>
      </c>
      <c r="E808">
        <v>94.144820460000005</v>
      </c>
      <c r="F808">
        <v>386552.22356796497</v>
      </c>
      <c r="G808">
        <v>217134.80496384899</v>
      </c>
    </row>
    <row r="809" spans="1:7" x14ac:dyDescent="0.3">
      <c r="A809" s="4">
        <v>43309</v>
      </c>
      <c r="B809" s="6">
        <v>1</v>
      </c>
      <c r="C809">
        <v>206634790</v>
      </c>
      <c r="D809">
        <v>439938.66167046299</v>
      </c>
      <c r="E809">
        <v>94.376305470000005</v>
      </c>
      <c r="F809">
        <v>386022.66053514701</v>
      </c>
      <c r="G809">
        <v>221834.95715067201</v>
      </c>
    </row>
    <row r="810" spans="1:7" x14ac:dyDescent="0.3">
      <c r="A810" s="4">
        <v>43308</v>
      </c>
      <c r="B810" s="6">
        <v>1</v>
      </c>
      <c r="C810">
        <v>203415278</v>
      </c>
      <c r="D810">
        <v>440264.22093803401</v>
      </c>
      <c r="E810">
        <v>94.218955230000006</v>
      </c>
      <c r="F810">
        <v>385249.38764915097</v>
      </c>
      <c r="G810">
        <v>223994.075385951</v>
      </c>
    </row>
    <row r="811" spans="1:7" x14ac:dyDescent="0.3">
      <c r="A811" s="4">
        <v>43307</v>
      </c>
      <c r="B811" s="6">
        <v>1</v>
      </c>
      <c r="C811">
        <v>205908268</v>
      </c>
      <c r="D811">
        <v>436866.45874440402</v>
      </c>
      <c r="E811">
        <v>91.655182640000007</v>
      </c>
      <c r="F811">
        <v>384762.62102545099</v>
      </c>
      <c r="G811">
        <v>221649.35698595</v>
      </c>
    </row>
    <row r="812" spans="1:7" x14ac:dyDescent="0.3">
      <c r="A812" s="4">
        <v>43306</v>
      </c>
      <c r="B812" s="6">
        <v>1</v>
      </c>
      <c r="C812">
        <v>209302726</v>
      </c>
      <c r="D812">
        <v>436647.73647098098</v>
      </c>
      <c r="E812">
        <v>92.378698790000001</v>
      </c>
      <c r="F812">
        <v>384108.38780028297</v>
      </c>
      <c r="G812">
        <v>224004.177444017</v>
      </c>
    </row>
    <row r="813" spans="1:7" x14ac:dyDescent="0.3">
      <c r="A813" s="4">
        <v>43305</v>
      </c>
      <c r="B813" s="6">
        <v>1</v>
      </c>
      <c r="C813">
        <v>198639099</v>
      </c>
      <c r="D813">
        <v>441783.46418165998</v>
      </c>
      <c r="E813">
        <v>93.434606869999996</v>
      </c>
      <c r="F813">
        <v>384182.30864603602</v>
      </c>
      <c r="G813">
        <v>223402.89279276301</v>
      </c>
    </row>
    <row r="814" spans="1:7" x14ac:dyDescent="0.3">
      <c r="A814" s="4">
        <v>43304</v>
      </c>
      <c r="B814" s="6">
        <v>1</v>
      </c>
      <c r="C814">
        <v>200162073</v>
      </c>
      <c r="D814">
        <v>437369.32808915101</v>
      </c>
      <c r="E814">
        <v>92.160007410000006</v>
      </c>
      <c r="F814">
        <v>384034.71217098698</v>
      </c>
      <c r="G814">
        <v>225796.86473713501</v>
      </c>
    </row>
    <row r="815" spans="1:7" x14ac:dyDescent="0.3">
      <c r="A815" s="4">
        <v>43303</v>
      </c>
      <c r="B815" s="6">
        <v>1</v>
      </c>
      <c r="C815">
        <v>201035235</v>
      </c>
      <c r="D815">
        <v>436047.27355543902</v>
      </c>
      <c r="E815">
        <v>83.678371729999995</v>
      </c>
      <c r="F815">
        <v>383707.03368366702</v>
      </c>
      <c r="G815">
        <v>230202.960625173</v>
      </c>
    </row>
    <row r="816" spans="1:7" x14ac:dyDescent="0.3">
      <c r="A816" s="4">
        <v>43302</v>
      </c>
      <c r="B816" s="6">
        <v>1</v>
      </c>
      <c r="C816">
        <v>195704666</v>
      </c>
      <c r="D816">
        <v>436023.22876748902</v>
      </c>
      <c r="E816">
        <v>75.929087159999995</v>
      </c>
      <c r="F816">
        <v>383595.56631491199</v>
      </c>
      <c r="G816">
        <v>236902.34069775499</v>
      </c>
    </row>
    <row r="817" spans="1:7" x14ac:dyDescent="0.3">
      <c r="A817" s="4">
        <v>43301</v>
      </c>
      <c r="B817" s="6">
        <v>1</v>
      </c>
      <c r="C817">
        <v>202893479</v>
      </c>
      <c r="D817">
        <v>432931.78064653801</v>
      </c>
      <c r="E817">
        <v>76.011322379999996</v>
      </c>
      <c r="F817">
        <v>381937.47247638798</v>
      </c>
      <c r="G817">
        <v>238377.87465864001</v>
      </c>
    </row>
    <row r="818" spans="1:7" x14ac:dyDescent="0.3">
      <c r="A818" s="4">
        <v>43300</v>
      </c>
      <c r="B818" s="6">
        <v>1</v>
      </c>
      <c r="C818">
        <v>207517242</v>
      </c>
      <c r="D818">
        <v>433203.01860008697</v>
      </c>
      <c r="E818">
        <v>75.203057810000004</v>
      </c>
      <c r="F818">
        <v>379602.503933303</v>
      </c>
      <c r="G818">
        <v>239027.79818778599</v>
      </c>
    </row>
    <row r="819" spans="1:7" x14ac:dyDescent="0.3">
      <c r="A819" s="4">
        <v>43299</v>
      </c>
      <c r="B819" s="6">
        <v>1</v>
      </c>
      <c r="C819">
        <v>213345335</v>
      </c>
      <c r="D819">
        <v>427494.35939566302</v>
      </c>
      <c r="E819">
        <v>114.58497577999999</v>
      </c>
      <c r="F819">
        <v>378032.90356505802</v>
      </c>
      <c r="G819">
        <v>237304.26766675001</v>
      </c>
    </row>
    <row r="820" spans="1:7" x14ac:dyDescent="0.3">
      <c r="A820" s="4">
        <v>43298</v>
      </c>
      <c r="B820" s="6">
        <v>1</v>
      </c>
      <c r="C820">
        <v>205774418</v>
      </c>
      <c r="D820">
        <v>429762.15617885999</v>
      </c>
      <c r="E820">
        <v>113.92443548999999</v>
      </c>
      <c r="F820">
        <v>377154.39265550801</v>
      </c>
      <c r="G820">
        <v>234727.153335879</v>
      </c>
    </row>
    <row r="821" spans="1:7" x14ac:dyDescent="0.3">
      <c r="A821" s="4">
        <v>43297</v>
      </c>
      <c r="B821" s="6">
        <v>1</v>
      </c>
      <c r="C821">
        <v>191639918</v>
      </c>
      <c r="D821">
        <v>426226.40896757197</v>
      </c>
      <c r="E821">
        <v>111.77397618000001</v>
      </c>
      <c r="F821">
        <v>376101.06026248302</v>
      </c>
      <c r="G821">
        <v>239032.20973831799</v>
      </c>
    </row>
    <row r="822" spans="1:7" x14ac:dyDescent="0.3">
      <c r="A822" s="4">
        <v>43296</v>
      </c>
      <c r="B822" s="6">
        <v>1</v>
      </c>
      <c r="C822">
        <v>184306210</v>
      </c>
      <c r="D822">
        <v>424923.24895098398</v>
      </c>
      <c r="E822">
        <v>106.15653417</v>
      </c>
      <c r="F822">
        <v>375513.410302829</v>
      </c>
      <c r="G822">
        <v>238722.37663826399</v>
      </c>
    </row>
    <row r="823" spans="1:7" x14ac:dyDescent="0.3">
      <c r="A823" s="4">
        <v>43295</v>
      </c>
      <c r="B823" s="6">
        <v>1</v>
      </c>
      <c r="C823">
        <v>180564600</v>
      </c>
      <c r="D823">
        <v>417529.02002497303</v>
      </c>
      <c r="E823">
        <v>101.43720362000001</v>
      </c>
      <c r="F823">
        <v>373450.57347251597</v>
      </c>
      <c r="G823">
        <v>231463.21999769501</v>
      </c>
    </row>
    <row r="824" spans="1:7" x14ac:dyDescent="0.3">
      <c r="A824" s="4">
        <v>43294</v>
      </c>
      <c r="B824" s="6">
        <v>1</v>
      </c>
      <c r="C824">
        <v>178199538</v>
      </c>
      <c r="D824">
        <v>413542.359193335</v>
      </c>
      <c r="E824">
        <v>93.508820040000003</v>
      </c>
      <c r="F824">
        <v>372216.85940564098</v>
      </c>
      <c r="G824">
        <v>234471.287445522</v>
      </c>
    </row>
    <row r="825" spans="1:7" x14ac:dyDescent="0.3">
      <c r="A825" s="4">
        <v>43293</v>
      </c>
      <c r="B825" s="6">
        <v>1</v>
      </c>
      <c r="C825">
        <v>183518500</v>
      </c>
      <c r="D825">
        <v>411855.06856078398</v>
      </c>
      <c r="E825">
        <v>87.739118660000003</v>
      </c>
      <c r="F825">
        <v>371380.067863381</v>
      </c>
      <c r="G825">
        <v>235385.43042242</v>
      </c>
    </row>
    <row r="826" spans="1:7" x14ac:dyDescent="0.3">
      <c r="A826" s="4">
        <v>43292</v>
      </c>
      <c r="B826" s="6">
        <v>1</v>
      </c>
      <c r="C826">
        <v>174692638</v>
      </c>
      <c r="D826">
        <v>403736.24997111002</v>
      </c>
      <c r="E826">
        <v>82.238842919999996</v>
      </c>
      <c r="F826">
        <v>368585.00662359397</v>
      </c>
      <c r="G826">
        <v>227936.688040162</v>
      </c>
    </row>
    <row r="827" spans="1:7" x14ac:dyDescent="0.3">
      <c r="A827" s="4">
        <v>43291</v>
      </c>
      <c r="B827" s="6">
        <v>1</v>
      </c>
      <c r="C827">
        <v>187821325</v>
      </c>
      <c r="D827">
        <v>398365.41316704801</v>
      </c>
      <c r="E827">
        <v>79.959287979999999</v>
      </c>
      <c r="F827">
        <v>365243.821383167</v>
      </c>
      <c r="G827">
        <v>234759.15385814101</v>
      </c>
    </row>
    <row r="828" spans="1:7" x14ac:dyDescent="0.3">
      <c r="A828" s="4">
        <v>43290</v>
      </c>
      <c r="B828" s="6">
        <v>1</v>
      </c>
      <c r="C828">
        <v>207255771</v>
      </c>
      <c r="D828">
        <v>426285.54885949899</v>
      </c>
      <c r="E828">
        <v>77.399830120000004</v>
      </c>
      <c r="F828">
        <v>364732.47195613198</v>
      </c>
      <c r="G828">
        <v>231632.249080935</v>
      </c>
    </row>
    <row r="829" spans="1:7" x14ac:dyDescent="0.3">
      <c r="A829" s="4">
        <v>43289</v>
      </c>
      <c r="B829" s="6">
        <v>1</v>
      </c>
      <c r="C829">
        <v>206439565</v>
      </c>
      <c r="D829">
        <v>424930.14902638801</v>
      </c>
      <c r="E829">
        <v>73.588922999999994</v>
      </c>
      <c r="F829">
        <v>362835.66612507601</v>
      </c>
      <c r="G829">
        <v>237902.26476475201</v>
      </c>
    </row>
    <row r="830" spans="1:7" x14ac:dyDescent="0.3">
      <c r="A830" s="4">
        <v>43288</v>
      </c>
      <c r="B830" s="6">
        <v>1</v>
      </c>
      <c r="C830">
        <v>200200600</v>
      </c>
      <c r="D830">
        <v>426022.17351520399</v>
      </c>
      <c r="E830">
        <v>72.720299659999995</v>
      </c>
      <c r="F830">
        <v>361589.71087615303</v>
      </c>
      <c r="G830">
        <v>232632.30696552599</v>
      </c>
    </row>
    <row r="831" spans="1:7" x14ac:dyDescent="0.3">
      <c r="A831" s="4">
        <v>43287</v>
      </c>
      <c r="B831" s="6">
        <v>1</v>
      </c>
      <c r="C831">
        <v>199678657</v>
      </c>
      <c r="D831">
        <v>427074.44551384798</v>
      </c>
      <c r="E831">
        <v>69.411445990000004</v>
      </c>
      <c r="F831">
        <v>361649.97679707</v>
      </c>
      <c r="G831">
        <v>223274.90008712199</v>
      </c>
    </row>
    <row r="832" spans="1:7" x14ac:dyDescent="0.3">
      <c r="A832" s="4">
        <v>43286</v>
      </c>
      <c r="B832" s="6">
        <v>1</v>
      </c>
      <c r="C832">
        <v>201148116</v>
      </c>
      <c r="D832">
        <v>430548.84736402699</v>
      </c>
      <c r="E832">
        <v>69.080596499999999</v>
      </c>
      <c r="F832">
        <v>360593.758660967</v>
      </c>
      <c r="G832">
        <v>220215.383999821</v>
      </c>
    </row>
    <row r="833" spans="1:7" x14ac:dyDescent="0.3">
      <c r="A833" s="4">
        <v>43285</v>
      </c>
      <c r="B833" s="6">
        <v>1</v>
      </c>
      <c r="C833">
        <v>201199595</v>
      </c>
      <c r="D833">
        <v>435695.002057212</v>
      </c>
      <c r="E833">
        <v>62.089569019999999</v>
      </c>
      <c r="F833">
        <v>360334.11831068201</v>
      </c>
      <c r="G833">
        <v>219311.77669902201</v>
      </c>
    </row>
    <row r="834" spans="1:7" x14ac:dyDescent="0.3">
      <c r="A834" s="4">
        <v>43284</v>
      </c>
      <c r="B834" s="6">
        <v>1</v>
      </c>
      <c r="C834">
        <v>206330008</v>
      </c>
      <c r="D834">
        <v>432938.872802047</v>
      </c>
      <c r="E834">
        <v>55.84343105</v>
      </c>
      <c r="F834">
        <v>358938.27566773503</v>
      </c>
      <c r="G834">
        <v>217666.69946509699</v>
      </c>
    </row>
    <row r="835" spans="1:7" x14ac:dyDescent="0.3">
      <c r="A835" s="4">
        <v>43283</v>
      </c>
      <c r="B835" s="6">
        <v>1</v>
      </c>
      <c r="C835">
        <v>192261833</v>
      </c>
      <c r="D835">
        <v>425395.68324630498</v>
      </c>
      <c r="E835">
        <v>54.677378529999999</v>
      </c>
      <c r="F835">
        <v>356828.575534923</v>
      </c>
      <c r="G835">
        <v>220131.33226244801</v>
      </c>
    </row>
    <row r="836" spans="1:7" x14ac:dyDescent="0.3">
      <c r="A836" s="4">
        <v>43282</v>
      </c>
      <c r="B836" s="6">
        <v>1</v>
      </c>
      <c r="C836">
        <v>189629827</v>
      </c>
      <c r="D836">
        <v>418230.35883637302</v>
      </c>
      <c r="E836">
        <v>45.885313600000003</v>
      </c>
      <c r="F836">
        <v>350494.67557090701</v>
      </c>
      <c r="G836">
        <v>220185.544805054</v>
      </c>
    </row>
    <row r="837" spans="1:7" x14ac:dyDescent="0.3">
      <c r="A837" s="4">
        <v>43281</v>
      </c>
      <c r="B837" s="6">
        <v>1</v>
      </c>
      <c r="C837">
        <v>181331022</v>
      </c>
      <c r="D837">
        <v>416603.91949639202</v>
      </c>
      <c r="E837">
        <v>38.19473078</v>
      </c>
      <c r="F837">
        <v>349243.14051202597</v>
      </c>
      <c r="G837">
        <v>220185.544805054</v>
      </c>
    </row>
    <row r="838" spans="1:7" x14ac:dyDescent="0.3">
      <c r="A838" s="4">
        <v>43280</v>
      </c>
      <c r="B838" s="6">
        <v>1</v>
      </c>
      <c r="C838">
        <v>151404933</v>
      </c>
      <c r="D838">
        <v>359888.12217732298</v>
      </c>
      <c r="E838">
        <v>32.966639649999998</v>
      </c>
      <c r="F838">
        <v>312555.60005195398</v>
      </c>
      <c r="G838">
        <v>222864.264897254</v>
      </c>
    </row>
    <row r="839" spans="1:7" x14ac:dyDescent="0.3">
      <c r="A839" s="4">
        <v>43279</v>
      </c>
      <c r="B839" s="6">
        <v>1</v>
      </c>
      <c r="C839">
        <v>152731150</v>
      </c>
      <c r="D839">
        <v>345741.14318053197</v>
      </c>
      <c r="E839">
        <v>30.66148218</v>
      </c>
      <c r="F839">
        <v>301982.113356677</v>
      </c>
      <c r="G839">
        <v>220695.14878356201</v>
      </c>
    </row>
    <row r="840" spans="1:7" x14ac:dyDescent="0.3">
      <c r="A840" s="4">
        <v>43278</v>
      </c>
      <c r="B840" s="6">
        <v>1</v>
      </c>
      <c r="C840">
        <v>148676936</v>
      </c>
      <c r="D840">
        <v>345848.78922515002</v>
      </c>
      <c r="E840">
        <v>29.803559310000001</v>
      </c>
      <c r="F840">
        <v>298945.999949352</v>
      </c>
      <c r="G840">
        <v>219498.84489317401</v>
      </c>
    </row>
    <row r="841" spans="1:7" x14ac:dyDescent="0.3">
      <c r="A841" s="4">
        <v>43277</v>
      </c>
      <c r="B841" s="6">
        <v>1</v>
      </c>
      <c r="C841">
        <v>156738044</v>
      </c>
      <c r="D841">
        <v>341618.63080578001</v>
      </c>
      <c r="E841">
        <v>29.189775480000002</v>
      </c>
      <c r="F841">
        <v>298101.71188592201</v>
      </c>
      <c r="G841">
        <v>217996.607111119</v>
      </c>
    </row>
    <row r="842" spans="1:7" x14ac:dyDescent="0.3">
      <c r="A842" s="4">
        <v>43276</v>
      </c>
      <c r="B842" s="6">
        <v>1</v>
      </c>
      <c r="C842">
        <v>156839697</v>
      </c>
      <c r="D842">
        <v>344513.33772652299</v>
      </c>
      <c r="E842">
        <v>27.979434829999999</v>
      </c>
      <c r="F842">
        <v>298227.847222857</v>
      </c>
      <c r="G842">
        <v>219530.43271988101</v>
      </c>
    </row>
    <row r="843" spans="1:7" x14ac:dyDescent="0.3">
      <c r="A843" s="4">
        <v>43275</v>
      </c>
      <c r="B843" s="6">
        <v>1</v>
      </c>
      <c r="C843">
        <v>142552371</v>
      </c>
      <c r="D843">
        <v>300629.235733265</v>
      </c>
      <c r="E843">
        <v>27.08908825</v>
      </c>
      <c r="F843">
        <v>255658.02275537601</v>
      </c>
      <c r="G843">
        <v>217899.36544089901</v>
      </c>
    </row>
    <row r="844" spans="1:7" x14ac:dyDescent="0.3">
      <c r="A844" s="4">
        <v>43274</v>
      </c>
      <c r="B844" s="6">
        <v>1</v>
      </c>
      <c r="C844">
        <v>140079561</v>
      </c>
      <c r="D844">
        <v>303097.544140557</v>
      </c>
      <c r="E844">
        <v>26.760966440000001</v>
      </c>
      <c r="F844">
        <v>255432.28097001501</v>
      </c>
      <c r="G844">
        <v>219288.81246769999</v>
      </c>
    </row>
    <row r="845" spans="1:7" x14ac:dyDescent="0.3">
      <c r="A845" s="4">
        <v>43273</v>
      </c>
      <c r="B845" s="6">
        <v>1</v>
      </c>
      <c r="C845">
        <v>155782164</v>
      </c>
      <c r="D845">
        <v>296310.27504089399</v>
      </c>
      <c r="E845">
        <v>26.15496211</v>
      </c>
      <c r="F845">
        <v>253912.53587048899</v>
      </c>
      <c r="G845">
        <v>214794.22650842901</v>
      </c>
    </row>
    <row r="846" spans="1:7" x14ac:dyDescent="0.3">
      <c r="A846" s="4">
        <v>43272</v>
      </c>
      <c r="B846" s="6">
        <v>1</v>
      </c>
      <c r="C846">
        <v>160513659</v>
      </c>
      <c r="D846">
        <v>299376.41562220198</v>
      </c>
      <c r="E846">
        <v>26.231878479999999</v>
      </c>
      <c r="F846">
        <v>252948.729813529</v>
      </c>
      <c r="G846">
        <v>213621.06906904501</v>
      </c>
    </row>
    <row r="847" spans="1:7" x14ac:dyDescent="0.3">
      <c r="A847" s="4">
        <v>43271</v>
      </c>
      <c r="B847" s="6">
        <v>1</v>
      </c>
      <c r="C847">
        <v>159855247</v>
      </c>
      <c r="D847">
        <v>296880.39186553902</v>
      </c>
      <c r="E847">
        <v>25.26692048</v>
      </c>
      <c r="F847">
        <v>250978.01745904799</v>
      </c>
      <c r="G847">
        <v>210255.65637565099</v>
      </c>
    </row>
    <row r="848" spans="1:7" x14ac:dyDescent="0.3">
      <c r="A848" s="4">
        <v>43270</v>
      </c>
      <c r="B848" s="6">
        <v>1</v>
      </c>
      <c r="C848">
        <v>154271507</v>
      </c>
      <c r="D848">
        <v>298034.32374475902</v>
      </c>
      <c r="E848">
        <v>23.929763600000001</v>
      </c>
      <c r="F848">
        <v>249997.811392056</v>
      </c>
      <c r="G848">
        <v>206609.32383847999</v>
      </c>
    </row>
    <row r="849" spans="1:7" x14ac:dyDescent="0.3">
      <c r="A849" s="4">
        <v>43269</v>
      </c>
      <c r="B849" s="6">
        <v>1</v>
      </c>
      <c r="C849">
        <v>148708599</v>
      </c>
      <c r="D849">
        <v>299308.82980436302</v>
      </c>
      <c r="E849">
        <v>23.24988982</v>
      </c>
      <c r="F849">
        <v>249744.897003152</v>
      </c>
      <c r="G849">
        <v>211254.02190118399</v>
      </c>
    </row>
    <row r="850" spans="1:7" x14ac:dyDescent="0.3">
      <c r="A850" s="4">
        <v>43268</v>
      </c>
      <c r="B850" s="6">
        <v>1</v>
      </c>
      <c r="C850">
        <v>149123768</v>
      </c>
      <c r="D850">
        <v>299915.06375447399</v>
      </c>
      <c r="E850">
        <v>23.344278500000001</v>
      </c>
      <c r="F850">
        <v>250004.09427628899</v>
      </c>
      <c r="G850">
        <v>210459.673698169</v>
      </c>
    </row>
    <row r="851" spans="1:7" x14ac:dyDescent="0.3">
      <c r="A851" s="4">
        <v>43267</v>
      </c>
      <c r="B851" s="6">
        <v>1</v>
      </c>
      <c r="C851">
        <v>146701753</v>
      </c>
      <c r="D851">
        <v>300920.50009230501</v>
      </c>
      <c r="E851">
        <v>24.066796440000001</v>
      </c>
      <c r="F851">
        <v>249762.36569647799</v>
      </c>
      <c r="G851">
        <v>217445.795945725</v>
      </c>
    </row>
    <row r="852" spans="1:7" x14ac:dyDescent="0.3">
      <c r="A852" s="4">
        <v>43266</v>
      </c>
      <c r="B852" s="6">
        <v>1</v>
      </c>
      <c r="C852">
        <v>154973225</v>
      </c>
      <c r="D852">
        <v>298122.895946751</v>
      </c>
      <c r="E852">
        <v>24.192461470000001</v>
      </c>
      <c r="F852">
        <v>249115.50340439001</v>
      </c>
      <c r="G852">
        <v>214984.30127301501</v>
      </c>
    </row>
    <row r="853" spans="1:7" x14ac:dyDescent="0.3">
      <c r="A853" s="4">
        <v>43265</v>
      </c>
      <c r="B853" s="6">
        <v>1</v>
      </c>
      <c r="C853">
        <v>143859403</v>
      </c>
      <c r="D853">
        <v>302035.27818601701</v>
      </c>
      <c r="E853">
        <v>23.841647699999999</v>
      </c>
      <c r="F853">
        <v>248489.227098709</v>
      </c>
      <c r="G853">
        <v>219590.346250676</v>
      </c>
    </row>
    <row r="854" spans="1:7" x14ac:dyDescent="0.3">
      <c r="A854" s="4">
        <v>43264</v>
      </c>
      <c r="B854" s="6">
        <v>1</v>
      </c>
      <c r="C854">
        <v>145404054</v>
      </c>
      <c r="D854">
        <v>294024.73864072899</v>
      </c>
      <c r="E854">
        <v>23.537859059999999</v>
      </c>
      <c r="F854">
        <v>245083.60730183701</v>
      </c>
      <c r="G854">
        <v>216493.475040669</v>
      </c>
    </row>
    <row r="855" spans="1:7" x14ac:dyDescent="0.3">
      <c r="A855" s="4">
        <v>43263</v>
      </c>
      <c r="B855" s="6">
        <v>1</v>
      </c>
      <c r="C855">
        <v>154199817</v>
      </c>
      <c r="D855">
        <v>290313.126235526</v>
      </c>
      <c r="E855">
        <v>23.071653850000001</v>
      </c>
      <c r="F855">
        <v>241483.927690635</v>
      </c>
      <c r="G855">
        <v>229441.75752022499</v>
      </c>
    </row>
    <row r="856" spans="1:7" x14ac:dyDescent="0.3">
      <c r="A856" s="4">
        <v>43262</v>
      </c>
      <c r="B856" s="6">
        <v>1</v>
      </c>
      <c r="C856">
        <v>147222751</v>
      </c>
      <c r="D856">
        <v>280568.58003163501</v>
      </c>
      <c r="E856">
        <v>23.644289659999998</v>
      </c>
      <c r="F856">
        <v>240448.97089966599</v>
      </c>
      <c r="G856">
        <v>234852.33945130001</v>
      </c>
    </row>
    <row r="857" spans="1:7" x14ac:dyDescent="0.3">
      <c r="A857" s="4">
        <v>43261</v>
      </c>
      <c r="B857" s="6">
        <v>1</v>
      </c>
      <c r="C857">
        <v>164785463</v>
      </c>
      <c r="D857">
        <v>277720.50728912099</v>
      </c>
      <c r="E857">
        <v>23.528165860000001</v>
      </c>
      <c r="F857">
        <v>239906.058803858</v>
      </c>
      <c r="G857">
        <v>233501.01137738401</v>
      </c>
    </row>
    <row r="858" spans="1:7" x14ac:dyDescent="0.3">
      <c r="A858" s="4">
        <v>43260</v>
      </c>
      <c r="B858" s="6">
        <v>1</v>
      </c>
      <c r="C858">
        <v>168541466</v>
      </c>
      <c r="D858">
        <v>281113.27829205198</v>
      </c>
      <c r="E858">
        <v>23.221081009999999</v>
      </c>
      <c r="F858">
        <v>240045.39520836799</v>
      </c>
      <c r="G858">
        <v>230865.58502196401</v>
      </c>
    </row>
    <row r="859" spans="1:7" x14ac:dyDescent="0.3">
      <c r="A859" s="4">
        <v>43259</v>
      </c>
      <c r="B859" s="6">
        <v>1</v>
      </c>
      <c r="C859">
        <v>170572303</v>
      </c>
      <c r="D859">
        <v>282198.89980808599</v>
      </c>
      <c r="E859">
        <v>21.92932927</v>
      </c>
      <c r="F859">
        <v>239775.41367247101</v>
      </c>
      <c r="G859">
        <v>225292.71202793901</v>
      </c>
    </row>
    <row r="860" spans="1:7" x14ac:dyDescent="0.3">
      <c r="A860" s="4">
        <v>43258</v>
      </c>
      <c r="B860" s="6">
        <v>1</v>
      </c>
      <c r="C860">
        <v>170954358</v>
      </c>
      <c r="D860">
        <v>281963.31519049901</v>
      </c>
      <c r="E860">
        <v>21.222410660000001</v>
      </c>
      <c r="F860">
        <v>239358.28706773199</v>
      </c>
      <c r="G860">
        <v>226095.91862266199</v>
      </c>
    </row>
    <row r="861" spans="1:7" x14ac:dyDescent="0.3">
      <c r="A861" s="4">
        <v>43257</v>
      </c>
      <c r="B861" s="6">
        <v>1</v>
      </c>
      <c r="C861">
        <v>170668400</v>
      </c>
      <c r="D861">
        <v>280612.29858599103</v>
      </c>
      <c r="E861">
        <v>20.729659590000001</v>
      </c>
      <c r="F861">
        <v>238301.969763481</v>
      </c>
      <c r="G861">
        <v>224360.090054309</v>
      </c>
    </row>
    <row r="862" spans="1:7" x14ac:dyDescent="0.3">
      <c r="A862" s="4">
        <v>43256</v>
      </c>
      <c r="B862" s="6">
        <v>1</v>
      </c>
      <c r="C862">
        <v>165564313</v>
      </c>
      <c r="D862">
        <v>279995.79408432101</v>
      </c>
      <c r="E862">
        <v>20.652632220000001</v>
      </c>
      <c r="F862">
        <v>238012.399998829</v>
      </c>
      <c r="G862">
        <v>231648.00779368501</v>
      </c>
    </row>
    <row r="863" spans="1:7" x14ac:dyDescent="0.3">
      <c r="A863" s="4">
        <v>43255</v>
      </c>
      <c r="B863" s="6">
        <v>1</v>
      </c>
      <c r="C863">
        <v>172141386</v>
      </c>
      <c r="D863">
        <v>278082.46127005102</v>
      </c>
      <c r="E863">
        <v>20.750320729999999</v>
      </c>
      <c r="F863">
        <v>237556.54364424001</v>
      </c>
      <c r="G863">
        <v>220689.08925507701</v>
      </c>
    </row>
    <row r="864" spans="1:7" x14ac:dyDescent="0.3">
      <c r="A864" s="4">
        <v>43254</v>
      </c>
      <c r="B864" s="6">
        <v>1</v>
      </c>
      <c r="C864">
        <v>165106770</v>
      </c>
      <c r="D864">
        <v>279590.82519092999</v>
      </c>
      <c r="E864">
        <v>21.425777</v>
      </c>
      <c r="F864">
        <v>237748.805644754</v>
      </c>
      <c r="G864">
        <v>225326.771629708</v>
      </c>
    </row>
    <row r="865" spans="1:7" x14ac:dyDescent="0.3">
      <c r="A865" s="4">
        <v>43253</v>
      </c>
      <c r="B865" s="6">
        <v>1</v>
      </c>
      <c r="C865">
        <v>161289757</v>
      </c>
      <c r="D865">
        <v>278561.26319061802</v>
      </c>
      <c r="E865">
        <v>21.154855770000001</v>
      </c>
      <c r="F865">
        <v>236941.22745870199</v>
      </c>
      <c r="G865">
        <v>234938.787720319</v>
      </c>
    </row>
    <row r="866" spans="1:7" x14ac:dyDescent="0.3">
      <c r="A866" s="4">
        <v>43252</v>
      </c>
      <c r="B866" s="6">
        <v>1</v>
      </c>
      <c r="C866">
        <v>160486751</v>
      </c>
      <c r="D866">
        <v>278029.12357292499</v>
      </c>
      <c r="E866">
        <v>21.143226110000001</v>
      </c>
      <c r="F866">
        <v>237139.42844351899</v>
      </c>
      <c r="G866">
        <v>232769.35694691399</v>
      </c>
    </row>
    <row r="867" spans="1:7" x14ac:dyDescent="0.3">
      <c r="A867" s="4">
        <v>43251</v>
      </c>
      <c r="B867" s="6">
        <v>1</v>
      </c>
      <c r="C867">
        <v>153590379</v>
      </c>
      <c r="D867">
        <v>275686.34943997703</v>
      </c>
      <c r="E867">
        <v>22.30381581</v>
      </c>
      <c r="F867">
        <v>235071.15375942699</v>
      </c>
      <c r="G867">
        <v>249722.59271697601</v>
      </c>
    </row>
    <row r="868" spans="1:7" x14ac:dyDescent="0.3">
      <c r="A868" s="4">
        <v>43250</v>
      </c>
      <c r="B868" s="6">
        <v>1</v>
      </c>
      <c r="C868">
        <v>155577525</v>
      </c>
      <c r="D868">
        <v>274532.42456326098</v>
      </c>
      <c r="E868">
        <v>22.30381581</v>
      </c>
      <c r="F868">
        <v>234866.83137709601</v>
      </c>
      <c r="G868">
        <v>251240.070290609</v>
      </c>
    </row>
    <row r="869" spans="1:7" x14ac:dyDescent="0.3">
      <c r="A869" s="4">
        <v>43249</v>
      </c>
      <c r="B869" s="6">
        <v>1</v>
      </c>
      <c r="C869">
        <v>134721771</v>
      </c>
      <c r="D869">
        <v>263113.04220455798</v>
      </c>
      <c r="E869">
        <v>20.691165460000001</v>
      </c>
      <c r="F869">
        <v>224356.261776125</v>
      </c>
      <c r="G869">
        <v>250756.09420868801</v>
      </c>
    </row>
    <row r="870" spans="1:7" x14ac:dyDescent="0.3">
      <c r="A870" s="4">
        <v>43248</v>
      </c>
      <c r="B870" s="6">
        <v>1</v>
      </c>
      <c r="C870">
        <v>143366445</v>
      </c>
      <c r="D870">
        <v>251679.034126816</v>
      </c>
      <c r="E870">
        <v>21.728167039999999</v>
      </c>
      <c r="F870">
        <v>218359.410755141</v>
      </c>
      <c r="G870">
        <v>253466.90673381201</v>
      </c>
    </row>
    <row r="871" spans="1:7" x14ac:dyDescent="0.3">
      <c r="A871" s="4">
        <v>43247</v>
      </c>
      <c r="B871" s="6">
        <v>1</v>
      </c>
      <c r="C871">
        <v>146378643</v>
      </c>
      <c r="D871">
        <v>249895.25232177001</v>
      </c>
      <c r="E871">
        <v>21.1090999</v>
      </c>
      <c r="F871">
        <v>215378.55774055599</v>
      </c>
      <c r="G871">
        <v>253096.843352786</v>
      </c>
    </row>
    <row r="872" spans="1:7" x14ac:dyDescent="0.3">
      <c r="A872" s="4">
        <v>43246</v>
      </c>
      <c r="B872" s="6">
        <v>1</v>
      </c>
      <c r="C872">
        <v>145703377</v>
      </c>
      <c r="D872">
        <v>249163.56345229701</v>
      </c>
      <c r="E872">
        <v>21.225250549999998</v>
      </c>
      <c r="F872">
        <v>214614.05808498801</v>
      </c>
      <c r="G872">
        <v>250789.36663278201</v>
      </c>
    </row>
    <row r="873" spans="1:7" x14ac:dyDescent="0.3">
      <c r="A873" s="4">
        <v>43245</v>
      </c>
      <c r="B873" s="6">
        <v>1</v>
      </c>
      <c r="C873">
        <v>149066738</v>
      </c>
      <c r="D873">
        <v>247347.98725649601</v>
      </c>
      <c r="E873">
        <v>22.441425559999999</v>
      </c>
      <c r="F873">
        <v>213649.722720719</v>
      </c>
      <c r="G873">
        <v>256086.026908439</v>
      </c>
    </row>
    <row r="874" spans="1:7" x14ac:dyDescent="0.3">
      <c r="A874" s="4">
        <v>43244</v>
      </c>
      <c r="B874" s="6">
        <v>1</v>
      </c>
      <c r="C874">
        <v>141856366</v>
      </c>
      <c r="D874">
        <v>245847.32673610499</v>
      </c>
      <c r="E874">
        <v>22.206085250000001</v>
      </c>
      <c r="F874">
        <v>212102.45172805799</v>
      </c>
      <c r="G874">
        <v>252851.98922658199</v>
      </c>
    </row>
    <row r="875" spans="1:7" x14ac:dyDescent="0.3">
      <c r="A875" s="4">
        <v>43243</v>
      </c>
      <c r="B875" s="6">
        <v>1</v>
      </c>
      <c r="C875">
        <v>159396651</v>
      </c>
      <c r="D875">
        <v>248622.17837534301</v>
      </c>
      <c r="E875">
        <v>21.83840494</v>
      </c>
      <c r="F875">
        <v>217126.740378166</v>
      </c>
      <c r="G875">
        <v>247203.16893243199</v>
      </c>
    </row>
    <row r="876" spans="1:7" x14ac:dyDescent="0.3">
      <c r="A876" s="4">
        <v>43242</v>
      </c>
      <c r="B876" s="6">
        <v>1</v>
      </c>
      <c r="C876">
        <v>172713587</v>
      </c>
      <c r="D876">
        <v>247891.70410345399</v>
      </c>
      <c r="E876">
        <v>21.376713429999999</v>
      </c>
      <c r="F876">
        <v>214718.309227049</v>
      </c>
      <c r="G876">
        <v>247582.38695871399</v>
      </c>
    </row>
    <row r="877" spans="1:7" x14ac:dyDescent="0.3">
      <c r="A877" s="4">
        <v>43241</v>
      </c>
      <c r="B877" s="6">
        <v>1</v>
      </c>
      <c r="C877">
        <v>178318713</v>
      </c>
      <c r="D877">
        <v>249344.491365447</v>
      </c>
      <c r="E877">
        <v>21.140597759999999</v>
      </c>
      <c r="F877">
        <v>213742.43234217801</v>
      </c>
      <c r="G877">
        <v>241866.30622276</v>
      </c>
    </row>
    <row r="878" spans="1:7" x14ac:dyDescent="0.3">
      <c r="A878" s="4">
        <v>43240</v>
      </c>
      <c r="B878" s="6">
        <v>1</v>
      </c>
      <c r="C878">
        <v>174593522</v>
      </c>
      <c r="D878">
        <v>250834.741757057</v>
      </c>
      <c r="E878">
        <v>20.93271974</v>
      </c>
      <c r="F878">
        <v>213861.58809076599</v>
      </c>
      <c r="G878">
        <v>242715.304380235</v>
      </c>
    </row>
    <row r="879" spans="1:7" x14ac:dyDescent="0.3">
      <c r="A879" s="4">
        <v>43239</v>
      </c>
      <c r="B879" s="6">
        <v>1</v>
      </c>
      <c r="C879">
        <v>172424873</v>
      </c>
      <c r="D879">
        <v>248604.86036016501</v>
      </c>
      <c r="E879">
        <v>20.887596330000001</v>
      </c>
      <c r="F879">
        <v>211049.767562767</v>
      </c>
      <c r="G879">
        <v>229557.63840229501</v>
      </c>
    </row>
    <row r="880" spans="1:7" x14ac:dyDescent="0.3">
      <c r="A880" s="4">
        <v>43238</v>
      </c>
      <c r="B880" s="6">
        <v>1</v>
      </c>
      <c r="C880">
        <v>165801316</v>
      </c>
      <c r="D880">
        <v>248053.31458236699</v>
      </c>
      <c r="E880">
        <v>20.864457430000002</v>
      </c>
      <c r="F880">
        <v>209818.82835814601</v>
      </c>
      <c r="G880">
        <v>238737.04339058901</v>
      </c>
    </row>
    <row r="881" spans="1:7" x14ac:dyDescent="0.3">
      <c r="A881" s="4">
        <v>43237</v>
      </c>
      <c r="B881" s="6">
        <v>1</v>
      </c>
      <c r="C881">
        <v>172654087</v>
      </c>
      <c r="D881">
        <v>244306.84014659401</v>
      </c>
      <c r="E881">
        <v>20.839646890000001</v>
      </c>
      <c r="F881">
        <v>209071.44567279701</v>
      </c>
      <c r="G881">
        <v>240627.74003434001</v>
      </c>
    </row>
    <row r="882" spans="1:7" x14ac:dyDescent="0.3">
      <c r="A882" s="4">
        <v>43236</v>
      </c>
      <c r="B882" s="6">
        <v>1</v>
      </c>
      <c r="C882">
        <v>171567791</v>
      </c>
      <c r="D882">
        <v>243137.847911116</v>
      </c>
      <c r="E882">
        <v>20.660857920000002</v>
      </c>
      <c r="F882">
        <v>208844.619539187</v>
      </c>
      <c r="G882">
        <v>240753.57729865299</v>
      </c>
    </row>
    <row r="883" spans="1:7" x14ac:dyDescent="0.3">
      <c r="A883" s="4">
        <v>43235</v>
      </c>
      <c r="B883" s="6">
        <v>1</v>
      </c>
      <c r="C883">
        <v>176716559</v>
      </c>
      <c r="D883">
        <v>242939.41381064299</v>
      </c>
      <c r="E883">
        <v>20.362408479999999</v>
      </c>
      <c r="F883">
        <v>208293.24983893</v>
      </c>
      <c r="G883">
        <v>246449.750282989</v>
      </c>
    </row>
    <row r="884" spans="1:7" x14ac:dyDescent="0.3">
      <c r="A884" s="4">
        <v>43234</v>
      </c>
      <c r="B884" s="6">
        <v>1</v>
      </c>
      <c r="C884">
        <v>177209232</v>
      </c>
      <c r="D884">
        <v>242972.04595936</v>
      </c>
      <c r="E884">
        <v>20.023481919999998</v>
      </c>
      <c r="F884">
        <v>207368.26387536101</v>
      </c>
      <c r="G884">
        <v>240716.14900004401</v>
      </c>
    </row>
    <row r="885" spans="1:7" x14ac:dyDescent="0.3">
      <c r="A885" s="4">
        <v>43233</v>
      </c>
      <c r="B885" s="6">
        <v>1</v>
      </c>
      <c r="C885">
        <v>165517449</v>
      </c>
      <c r="D885">
        <v>242112.00193083999</v>
      </c>
      <c r="E885">
        <v>19.65371635</v>
      </c>
      <c r="F885">
        <v>207209.28795796799</v>
      </c>
      <c r="G885">
        <v>254123.887053218</v>
      </c>
    </row>
    <row r="886" spans="1:7" x14ac:dyDescent="0.3">
      <c r="A886" s="4">
        <v>43232</v>
      </c>
      <c r="B886" s="6">
        <v>1</v>
      </c>
      <c r="C886">
        <v>163087860</v>
      </c>
      <c r="D886">
        <v>240613.54381823499</v>
      </c>
      <c r="E886">
        <v>19.506103370000002</v>
      </c>
      <c r="F886">
        <v>206217.26063753999</v>
      </c>
      <c r="G886">
        <v>264907.11534292198</v>
      </c>
    </row>
    <row r="887" spans="1:7" x14ac:dyDescent="0.3">
      <c r="A887" s="4">
        <v>43231</v>
      </c>
      <c r="B887" s="6">
        <v>1</v>
      </c>
      <c r="C887">
        <v>172153067</v>
      </c>
      <c r="D887">
        <v>237902.059063333</v>
      </c>
      <c r="E887">
        <v>19.50264782</v>
      </c>
      <c r="F887">
        <v>204993.262604952</v>
      </c>
      <c r="G887">
        <v>270560.66745935503</v>
      </c>
    </row>
    <row r="888" spans="1:7" x14ac:dyDescent="0.3">
      <c r="A888" s="4">
        <v>43230</v>
      </c>
      <c r="B888" s="6">
        <v>1</v>
      </c>
      <c r="C888">
        <v>176948323</v>
      </c>
      <c r="D888">
        <v>235532.26270182399</v>
      </c>
      <c r="E888">
        <v>19.096650199999999</v>
      </c>
      <c r="F888">
        <v>203661.87984772</v>
      </c>
      <c r="G888">
        <v>264847.32327704399</v>
      </c>
    </row>
    <row r="889" spans="1:7" x14ac:dyDescent="0.3">
      <c r="A889" s="4">
        <v>43229</v>
      </c>
      <c r="B889" s="6">
        <v>1</v>
      </c>
      <c r="C889">
        <v>176495675</v>
      </c>
      <c r="D889">
        <v>236023.04791452101</v>
      </c>
      <c r="E889">
        <v>18.932300049999998</v>
      </c>
      <c r="F889">
        <v>202527.55716492</v>
      </c>
      <c r="G889">
        <v>264100.81242225098</v>
      </c>
    </row>
    <row r="890" spans="1:7" x14ac:dyDescent="0.3">
      <c r="A890" s="4">
        <v>43228</v>
      </c>
      <c r="B890" s="6">
        <v>1</v>
      </c>
      <c r="C890">
        <v>174224263</v>
      </c>
      <c r="D890">
        <v>231561.10926514101</v>
      </c>
      <c r="E890">
        <v>18.791669670000001</v>
      </c>
      <c r="F890">
        <v>198306.42683118299</v>
      </c>
      <c r="G890">
        <v>259211.54288153301</v>
      </c>
    </row>
    <row r="891" spans="1:7" x14ac:dyDescent="0.3">
      <c r="A891" s="4">
        <v>43227</v>
      </c>
      <c r="B891" s="6">
        <v>1</v>
      </c>
      <c r="C891">
        <v>180996674</v>
      </c>
      <c r="D891">
        <v>228996.66493756199</v>
      </c>
      <c r="E891">
        <v>18.707774310000001</v>
      </c>
      <c r="F891">
        <v>196778.53422110999</v>
      </c>
      <c r="G891">
        <v>263566.38946021901</v>
      </c>
    </row>
    <row r="892" spans="1:7" x14ac:dyDescent="0.3">
      <c r="A892" s="4">
        <v>43226</v>
      </c>
      <c r="B892" s="6">
        <v>1</v>
      </c>
      <c r="C892">
        <v>186855019</v>
      </c>
      <c r="D892">
        <v>228823.545475697</v>
      </c>
      <c r="E892">
        <v>18.872452710000001</v>
      </c>
      <c r="F892">
        <v>195769.517966313</v>
      </c>
      <c r="G892">
        <v>263965.25329969003</v>
      </c>
    </row>
    <row r="893" spans="1:7" x14ac:dyDescent="0.3">
      <c r="A893" s="4">
        <v>43225</v>
      </c>
      <c r="B893" s="6">
        <v>1</v>
      </c>
      <c r="C893">
        <v>180360136</v>
      </c>
      <c r="D893">
        <v>229995.45518305499</v>
      </c>
      <c r="E893">
        <v>18.66689715</v>
      </c>
      <c r="F893">
        <v>196791.28982176699</v>
      </c>
      <c r="G893">
        <v>270344.60122820601</v>
      </c>
    </row>
    <row r="894" spans="1:7" x14ac:dyDescent="0.3">
      <c r="A894" s="4">
        <v>43224</v>
      </c>
      <c r="B894" s="6">
        <v>1</v>
      </c>
      <c r="C894">
        <v>178900895</v>
      </c>
      <c r="D894">
        <v>230014.77924348699</v>
      </c>
      <c r="E894">
        <v>18.570216389999999</v>
      </c>
      <c r="F894">
        <v>196553.157604215</v>
      </c>
      <c r="G894">
        <v>270154.65343095199</v>
      </c>
    </row>
    <row r="895" spans="1:7" x14ac:dyDescent="0.3">
      <c r="A895" s="4">
        <v>43223</v>
      </c>
      <c r="B895" s="6">
        <v>1</v>
      </c>
      <c r="C895">
        <v>162812040</v>
      </c>
      <c r="D895">
        <v>237079.59344147699</v>
      </c>
      <c r="E895">
        <v>18.458335930000001</v>
      </c>
      <c r="F895">
        <v>197359.10739409301</v>
      </c>
      <c r="G895">
        <v>259778.11095044401</v>
      </c>
    </row>
    <row r="896" spans="1:7" x14ac:dyDescent="0.3">
      <c r="A896" s="4">
        <v>43222</v>
      </c>
      <c r="B896" s="6">
        <v>1</v>
      </c>
      <c r="C896">
        <v>157696272</v>
      </c>
      <c r="D896">
        <v>235083.36488722501</v>
      </c>
      <c r="E896">
        <v>18.40067213</v>
      </c>
      <c r="F896">
        <v>197632.17282103599</v>
      </c>
      <c r="G896">
        <v>260266.622659399</v>
      </c>
    </row>
    <row r="897" spans="1:7" x14ac:dyDescent="0.3">
      <c r="A897" s="4">
        <v>43221</v>
      </c>
      <c r="B897" s="6">
        <v>1</v>
      </c>
      <c r="C897">
        <v>156692266</v>
      </c>
      <c r="D897">
        <v>233855.09223329899</v>
      </c>
      <c r="E897">
        <v>18.421115570000001</v>
      </c>
      <c r="F897">
        <v>199434.96497093001</v>
      </c>
      <c r="G897">
        <v>272314.48509586102</v>
      </c>
    </row>
    <row r="898" spans="1:7" x14ac:dyDescent="0.3">
      <c r="A898" s="4">
        <v>43220</v>
      </c>
      <c r="B898" s="6">
        <v>1</v>
      </c>
      <c r="C898">
        <v>163161811</v>
      </c>
      <c r="D898">
        <v>236703.09584947201</v>
      </c>
      <c r="E898">
        <v>18.250752559999999</v>
      </c>
      <c r="F898">
        <v>201632.49627435001</v>
      </c>
      <c r="G898">
        <v>276356.39757178898</v>
      </c>
    </row>
    <row r="899" spans="1:7" x14ac:dyDescent="0.3">
      <c r="A899" s="4">
        <v>43219</v>
      </c>
      <c r="B899" s="6">
        <v>1</v>
      </c>
      <c r="C899">
        <v>163311364</v>
      </c>
      <c r="D899">
        <v>239101.87695821401</v>
      </c>
      <c r="E899">
        <v>17.95351389</v>
      </c>
      <c r="F899">
        <v>201073.73134186899</v>
      </c>
      <c r="G899">
        <v>273451.62687417603</v>
      </c>
    </row>
    <row r="900" spans="1:7" x14ac:dyDescent="0.3">
      <c r="A900" s="4">
        <v>43218</v>
      </c>
      <c r="B900" s="6">
        <v>1</v>
      </c>
      <c r="C900">
        <v>152781395</v>
      </c>
      <c r="D900">
        <v>237562.81098395301</v>
      </c>
      <c r="E900">
        <v>17.76884501</v>
      </c>
      <c r="F900">
        <v>200107.57311128601</v>
      </c>
      <c r="G900">
        <v>273548.24068878498</v>
      </c>
    </row>
    <row r="901" spans="1:7" x14ac:dyDescent="0.3">
      <c r="A901" s="4">
        <v>43217</v>
      </c>
      <c r="B901" s="6">
        <v>1</v>
      </c>
      <c r="C901">
        <v>149241031</v>
      </c>
      <c r="D901">
        <v>225640.72360562999</v>
      </c>
      <c r="E901">
        <v>17.309942899999999</v>
      </c>
      <c r="F901">
        <v>191004.15853305999</v>
      </c>
      <c r="G901">
        <v>279201.223416725</v>
      </c>
    </row>
    <row r="902" spans="1:7" x14ac:dyDescent="0.3">
      <c r="A902" s="4">
        <v>43216</v>
      </c>
      <c r="B902" s="6">
        <v>1</v>
      </c>
      <c r="C902">
        <v>140011691</v>
      </c>
      <c r="D902">
        <v>226695.526375441</v>
      </c>
      <c r="E902">
        <v>16.994167059999999</v>
      </c>
      <c r="F902">
        <v>189653.109470358</v>
      </c>
      <c r="G902">
        <v>284097.60756488901</v>
      </c>
    </row>
    <row r="903" spans="1:7" x14ac:dyDescent="0.3">
      <c r="A903" s="4">
        <v>43215</v>
      </c>
      <c r="B903" s="6">
        <v>1</v>
      </c>
      <c r="C903">
        <v>152877574</v>
      </c>
      <c r="D903">
        <v>217340.87858970699</v>
      </c>
      <c r="E903">
        <v>16.935318389999999</v>
      </c>
      <c r="F903">
        <v>184820.766173312</v>
      </c>
      <c r="G903">
        <v>276646.53224918101</v>
      </c>
    </row>
    <row r="904" spans="1:7" x14ac:dyDescent="0.3">
      <c r="A904" s="4">
        <v>43214</v>
      </c>
      <c r="B904" s="6">
        <v>1</v>
      </c>
      <c r="C904">
        <v>142534136</v>
      </c>
      <c r="D904">
        <v>221281.62948473101</v>
      </c>
      <c r="E904">
        <v>16.899765309999999</v>
      </c>
      <c r="F904">
        <v>185730.818889708</v>
      </c>
      <c r="G904">
        <v>278176.37301875203</v>
      </c>
    </row>
    <row r="905" spans="1:7" x14ac:dyDescent="0.3">
      <c r="A905" s="4">
        <v>43213</v>
      </c>
      <c r="B905" s="6">
        <v>1</v>
      </c>
      <c r="C905">
        <v>134757182</v>
      </c>
      <c r="D905">
        <v>216885.04015579401</v>
      </c>
      <c r="E905">
        <v>16.899765309999999</v>
      </c>
      <c r="F905">
        <v>188951.59958473401</v>
      </c>
      <c r="G905">
        <v>264524.81757102202</v>
      </c>
    </row>
    <row r="906" spans="1:7" x14ac:dyDescent="0.3">
      <c r="A906" s="4">
        <v>43212</v>
      </c>
      <c r="B906" s="6">
        <v>1</v>
      </c>
      <c r="C906">
        <v>130767036</v>
      </c>
      <c r="D906">
        <v>216083.14357948999</v>
      </c>
      <c r="E906">
        <v>16.899765309999999</v>
      </c>
      <c r="F906">
        <v>189004.07584179199</v>
      </c>
      <c r="G906">
        <v>260582.94353925099</v>
      </c>
    </row>
    <row r="907" spans="1:7" x14ac:dyDescent="0.3">
      <c r="A907" s="4">
        <v>43211</v>
      </c>
      <c r="B907" s="6">
        <v>1</v>
      </c>
      <c r="C907">
        <v>133184099</v>
      </c>
      <c r="D907">
        <v>215798.07670495901</v>
      </c>
      <c r="E907">
        <v>17.009204700000002</v>
      </c>
      <c r="F907">
        <v>187777.252844806</v>
      </c>
      <c r="G907">
        <v>259758.92219495101</v>
      </c>
    </row>
    <row r="908" spans="1:7" x14ac:dyDescent="0.3">
      <c r="A908" s="4">
        <v>43210</v>
      </c>
      <c r="B908" s="6">
        <v>1</v>
      </c>
      <c r="C908">
        <v>123097085</v>
      </c>
      <c r="D908">
        <v>217006.76068752701</v>
      </c>
      <c r="E908">
        <v>16.57995365</v>
      </c>
      <c r="F908">
        <v>187756.210283377</v>
      </c>
      <c r="G908">
        <v>264797.99750681099</v>
      </c>
    </row>
    <row r="909" spans="1:7" x14ac:dyDescent="0.3">
      <c r="A909" s="4">
        <v>43209</v>
      </c>
      <c r="B909" s="6">
        <v>1</v>
      </c>
      <c r="C909">
        <v>113028841</v>
      </c>
      <c r="D909">
        <v>214973.64106660499</v>
      </c>
      <c r="E909">
        <v>16.41456105</v>
      </c>
      <c r="F909">
        <v>188610.86768294801</v>
      </c>
      <c r="G909">
        <v>266732.92709051498</v>
      </c>
    </row>
    <row r="910" spans="1:7" x14ac:dyDescent="0.3">
      <c r="A910" s="4">
        <v>43208</v>
      </c>
      <c r="B910" s="6">
        <v>1</v>
      </c>
      <c r="C910">
        <v>106473264</v>
      </c>
      <c r="D910">
        <v>211663.84509870099</v>
      </c>
      <c r="E910">
        <v>16.016995250000001</v>
      </c>
      <c r="F910">
        <v>185110.586380739</v>
      </c>
      <c r="G910">
        <v>259054.91098943501</v>
      </c>
    </row>
    <row r="911" spans="1:7" x14ac:dyDescent="0.3">
      <c r="A911" s="4">
        <v>43207</v>
      </c>
      <c r="B911" s="6">
        <v>1</v>
      </c>
      <c r="C911">
        <v>106490164</v>
      </c>
      <c r="D911">
        <v>208122.74317431101</v>
      </c>
      <c r="E911">
        <v>16.05185067</v>
      </c>
      <c r="F911">
        <v>183947.53618528499</v>
      </c>
      <c r="G911">
        <v>260652.428279299</v>
      </c>
    </row>
    <row r="912" spans="1:7" x14ac:dyDescent="0.3">
      <c r="A912" s="4">
        <v>43206</v>
      </c>
      <c r="B912" s="6">
        <v>1</v>
      </c>
      <c r="C912">
        <v>109596066</v>
      </c>
      <c r="D912">
        <v>205174.60311517099</v>
      </c>
      <c r="E912">
        <v>16.435958209999999</v>
      </c>
      <c r="F912">
        <v>182162.94410775599</v>
      </c>
      <c r="G912">
        <v>251074.61427565201</v>
      </c>
    </row>
    <row r="913" spans="1:7" x14ac:dyDescent="0.3">
      <c r="A913" s="4">
        <v>43205</v>
      </c>
      <c r="B913" s="6">
        <v>1</v>
      </c>
      <c r="C913">
        <v>104559325</v>
      </c>
      <c r="D913">
        <v>207958.24300403701</v>
      </c>
      <c r="E913">
        <v>17.17834276</v>
      </c>
      <c r="F913">
        <v>181274.81708644101</v>
      </c>
      <c r="G913">
        <v>264503.91986812698</v>
      </c>
    </row>
    <row r="914" spans="1:7" x14ac:dyDescent="0.3">
      <c r="A914" s="4">
        <v>43204</v>
      </c>
      <c r="B914" s="6">
        <v>1</v>
      </c>
      <c r="C914">
        <v>102124287</v>
      </c>
      <c r="D914">
        <v>206328.36390819401</v>
      </c>
      <c r="E914">
        <v>16.625354789999999</v>
      </c>
      <c r="F914">
        <v>179945.64501767899</v>
      </c>
      <c r="G914">
        <v>248675.929312411</v>
      </c>
    </row>
    <row r="915" spans="1:7" x14ac:dyDescent="0.3">
      <c r="A915" s="4">
        <v>43203</v>
      </c>
      <c r="B915" s="6">
        <v>1</v>
      </c>
      <c r="C915">
        <v>101142114</v>
      </c>
      <c r="D915">
        <v>204761.846340722</v>
      </c>
      <c r="E915">
        <v>16.372404370000002</v>
      </c>
      <c r="F915">
        <v>174355.19456256001</v>
      </c>
      <c r="G915">
        <v>239209.12844796601</v>
      </c>
    </row>
    <row r="916" spans="1:7" x14ac:dyDescent="0.3">
      <c r="A916" s="4">
        <v>43202</v>
      </c>
      <c r="B916" s="6">
        <v>1</v>
      </c>
      <c r="C916">
        <v>85994827</v>
      </c>
      <c r="D916">
        <v>199806.74969213901</v>
      </c>
      <c r="E916">
        <v>16.33381717</v>
      </c>
      <c r="F916">
        <v>167285.312948715</v>
      </c>
      <c r="G916">
        <v>236500.65310130399</v>
      </c>
    </row>
    <row r="917" spans="1:7" x14ac:dyDescent="0.3">
      <c r="A917" s="4">
        <v>43201</v>
      </c>
      <c r="B917" s="6">
        <v>1</v>
      </c>
      <c r="C917">
        <v>79684901</v>
      </c>
      <c r="D917">
        <v>191711.53855407101</v>
      </c>
      <c r="E917">
        <v>16.682268310000001</v>
      </c>
      <c r="F917">
        <v>164457.809477314</v>
      </c>
      <c r="G917">
        <v>238236.20516857301</v>
      </c>
    </row>
    <row r="918" spans="1:7" x14ac:dyDescent="0.3">
      <c r="A918" s="4">
        <v>43200</v>
      </c>
      <c r="B918" s="6">
        <v>1</v>
      </c>
      <c r="C918">
        <v>75411934</v>
      </c>
      <c r="D918">
        <v>188992.867525437</v>
      </c>
      <c r="E918">
        <v>16.669714620000001</v>
      </c>
      <c r="F918">
        <v>162238.09401186899</v>
      </c>
      <c r="G918">
        <v>227667.05165598899</v>
      </c>
    </row>
    <row r="919" spans="1:7" x14ac:dyDescent="0.3">
      <c r="A919" s="4">
        <v>43199</v>
      </c>
      <c r="B919" s="6">
        <v>1</v>
      </c>
      <c r="C919">
        <v>74549899</v>
      </c>
      <c r="D919">
        <v>186039.87572369701</v>
      </c>
      <c r="E919">
        <v>14.48937765</v>
      </c>
      <c r="F919">
        <v>160120.034426222</v>
      </c>
      <c r="G919">
        <v>217672.245989708</v>
      </c>
    </row>
    <row r="920" spans="1:7" x14ac:dyDescent="0.3">
      <c r="A920" s="4">
        <v>43198</v>
      </c>
      <c r="B920" s="6">
        <v>1</v>
      </c>
      <c r="C920">
        <v>71698905</v>
      </c>
      <c r="D920">
        <v>186240.596914125</v>
      </c>
      <c r="E920">
        <v>14.20680099</v>
      </c>
      <c r="F920">
        <v>158272.610901832</v>
      </c>
      <c r="G920">
        <v>212019.255707704</v>
      </c>
    </row>
    <row r="921" spans="1:7" x14ac:dyDescent="0.3">
      <c r="A921" s="4">
        <v>43197</v>
      </c>
      <c r="B921" s="6">
        <v>1</v>
      </c>
      <c r="C921">
        <v>68881346</v>
      </c>
      <c r="D921">
        <v>185989.86364249999</v>
      </c>
      <c r="E921">
        <v>13.884285780000001</v>
      </c>
      <c r="F921">
        <v>157959.74689443101</v>
      </c>
      <c r="G921">
        <v>213494.03462819499</v>
      </c>
    </row>
    <row r="922" spans="1:7" x14ac:dyDescent="0.3">
      <c r="A922" s="4">
        <v>43196</v>
      </c>
      <c r="B922" s="6">
        <v>1</v>
      </c>
      <c r="C922">
        <v>70107146</v>
      </c>
      <c r="D922">
        <v>183800.81797446401</v>
      </c>
      <c r="E922">
        <v>13.428693669999999</v>
      </c>
      <c r="F922">
        <v>156623.908656382</v>
      </c>
      <c r="G922">
        <v>214934.64772680699</v>
      </c>
    </row>
    <row r="923" spans="1:7" x14ac:dyDescent="0.3">
      <c r="A923" s="4">
        <v>43195</v>
      </c>
      <c r="B923" s="6">
        <v>1</v>
      </c>
      <c r="C923">
        <v>69024749</v>
      </c>
      <c r="D923">
        <v>182291.691535719</v>
      </c>
      <c r="E923">
        <v>12.89848327</v>
      </c>
      <c r="F923">
        <v>155913.42505125201</v>
      </c>
      <c r="G923">
        <v>211068.175572179</v>
      </c>
    </row>
    <row r="924" spans="1:7" x14ac:dyDescent="0.3">
      <c r="A924" s="4">
        <v>43194</v>
      </c>
      <c r="B924" s="6">
        <v>1</v>
      </c>
      <c r="C924">
        <v>72630318</v>
      </c>
      <c r="D924">
        <v>174621.49400139399</v>
      </c>
      <c r="E924">
        <v>12.97536335</v>
      </c>
      <c r="F924">
        <v>153940.43645153599</v>
      </c>
      <c r="G924">
        <v>208372.880818857</v>
      </c>
    </row>
    <row r="925" spans="1:7" x14ac:dyDescent="0.3">
      <c r="A925" s="4">
        <v>43193</v>
      </c>
      <c r="B925" s="6">
        <v>1</v>
      </c>
      <c r="C925">
        <v>68179506</v>
      </c>
      <c r="D925">
        <v>177236.93979411401</v>
      </c>
      <c r="E925">
        <v>12.266011410000001</v>
      </c>
      <c r="F925">
        <v>153393.16995227101</v>
      </c>
      <c r="G925">
        <v>207745.019669848</v>
      </c>
    </row>
    <row r="926" spans="1:7" x14ac:dyDescent="0.3">
      <c r="A926" s="4">
        <v>43192</v>
      </c>
      <c r="B926" s="6">
        <v>1</v>
      </c>
      <c r="C926">
        <v>65404640</v>
      </c>
      <c r="D926">
        <v>172639.93665038899</v>
      </c>
      <c r="E926">
        <v>12.28511625</v>
      </c>
      <c r="F926">
        <v>149735.948721611</v>
      </c>
      <c r="G926">
        <v>194903.046968082</v>
      </c>
    </row>
    <row r="927" spans="1:7" x14ac:dyDescent="0.3">
      <c r="A927" s="4">
        <v>43191</v>
      </c>
      <c r="B927" s="6">
        <v>1</v>
      </c>
      <c r="C927">
        <v>66446158</v>
      </c>
      <c r="D927">
        <v>168615.11406602801</v>
      </c>
      <c r="E927">
        <v>12.04772979</v>
      </c>
      <c r="F927">
        <v>144208.665408153</v>
      </c>
      <c r="G927">
        <v>187442.71888211201</v>
      </c>
    </row>
    <row r="928" spans="1:7" x14ac:dyDescent="0.3">
      <c r="A928" s="4">
        <v>43190</v>
      </c>
      <c r="B928" s="6">
        <v>1</v>
      </c>
      <c r="C928">
        <v>67573072</v>
      </c>
      <c r="D928">
        <v>171579.290556839</v>
      </c>
      <c r="E928">
        <v>11.976437300000001</v>
      </c>
      <c r="F928">
        <v>145922.37628075099</v>
      </c>
      <c r="G928">
        <v>182364.00195753801</v>
      </c>
    </row>
    <row r="929" spans="1:7" x14ac:dyDescent="0.3">
      <c r="A929" s="4">
        <v>43189</v>
      </c>
      <c r="B929" s="6">
        <v>1</v>
      </c>
      <c r="C929">
        <v>60454750</v>
      </c>
      <c r="D929">
        <v>157450.64590061401</v>
      </c>
      <c r="E929">
        <v>11.12837257</v>
      </c>
      <c r="F929">
        <v>132860.19431956499</v>
      </c>
      <c r="G929">
        <v>183671.08150995499</v>
      </c>
    </row>
    <row r="930" spans="1:7" x14ac:dyDescent="0.3">
      <c r="A930" s="4">
        <v>43188</v>
      </c>
      <c r="B930" s="6">
        <v>1</v>
      </c>
      <c r="C930">
        <v>64534583</v>
      </c>
      <c r="D930">
        <v>144719.08819769899</v>
      </c>
      <c r="E930">
        <v>10.727196340000001</v>
      </c>
      <c r="F930">
        <v>123349.81269310899</v>
      </c>
      <c r="G930">
        <v>179781.679112351</v>
      </c>
    </row>
    <row r="931" spans="1:7" x14ac:dyDescent="0.3">
      <c r="A931" s="4">
        <v>43187</v>
      </c>
      <c r="B931" s="6">
        <v>1</v>
      </c>
      <c r="C931">
        <v>64699277</v>
      </c>
      <c r="D931">
        <v>144167.02393154701</v>
      </c>
      <c r="E931">
        <v>9.2813276899999995</v>
      </c>
      <c r="F931">
        <v>121284.836875953</v>
      </c>
      <c r="G931">
        <v>175995.90214055401</v>
      </c>
    </row>
    <row r="932" spans="1:7" x14ac:dyDescent="0.3">
      <c r="A932" s="4">
        <v>43186</v>
      </c>
      <c r="B932" s="6">
        <v>1</v>
      </c>
      <c r="C932">
        <v>67563427</v>
      </c>
      <c r="D932">
        <v>138979.36191220599</v>
      </c>
      <c r="E932">
        <v>9.3278277999999997</v>
      </c>
      <c r="F932">
        <v>118475.047639123</v>
      </c>
      <c r="G932">
        <v>180787.10208919499</v>
      </c>
    </row>
    <row r="933" spans="1:7" x14ac:dyDescent="0.3">
      <c r="A933" s="4">
        <v>43185</v>
      </c>
      <c r="B933" s="6">
        <v>1</v>
      </c>
      <c r="C933">
        <v>72197504</v>
      </c>
      <c r="D933">
        <v>138052.859628659</v>
      </c>
      <c r="E933">
        <v>9.0479178999999998</v>
      </c>
      <c r="F933">
        <v>116145.892169912</v>
      </c>
      <c r="G933">
        <v>178536.167278901</v>
      </c>
    </row>
    <row r="934" spans="1:7" x14ac:dyDescent="0.3">
      <c r="A934" s="4">
        <v>43184</v>
      </c>
      <c r="B934" s="6">
        <v>1</v>
      </c>
      <c r="C934">
        <v>72123558</v>
      </c>
      <c r="D934">
        <v>138653.820866255</v>
      </c>
      <c r="E934">
        <v>8.9436511000000003</v>
      </c>
      <c r="F934">
        <v>114867.361222687</v>
      </c>
      <c r="G934">
        <v>183706.91369348299</v>
      </c>
    </row>
    <row r="935" spans="1:7" x14ac:dyDescent="0.3">
      <c r="A935" s="4">
        <v>43183</v>
      </c>
      <c r="B935" s="6">
        <v>1</v>
      </c>
      <c r="C935">
        <v>74822899</v>
      </c>
      <c r="D935">
        <v>137582.55920859001</v>
      </c>
      <c r="E935">
        <v>9.1613582600000001</v>
      </c>
      <c r="F935">
        <v>114801.02093216</v>
      </c>
      <c r="G935">
        <v>178581.17361067</v>
      </c>
    </row>
    <row r="936" spans="1:7" x14ac:dyDescent="0.3">
      <c r="A936" s="4">
        <v>43182</v>
      </c>
      <c r="B936" s="6">
        <v>1</v>
      </c>
      <c r="C936">
        <v>74375836</v>
      </c>
      <c r="D936">
        <v>137761.09207431099</v>
      </c>
      <c r="E936">
        <v>8.5338618999999998</v>
      </c>
      <c r="F936">
        <v>114437.979758107</v>
      </c>
      <c r="G936">
        <v>176124.951397328</v>
      </c>
    </row>
    <row r="937" spans="1:7" x14ac:dyDescent="0.3">
      <c r="A937" s="4">
        <v>43181</v>
      </c>
      <c r="B937" s="6">
        <v>1</v>
      </c>
      <c r="C937">
        <v>76202390</v>
      </c>
      <c r="D937">
        <v>136097.56925220101</v>
      </c>
      <c r="E937">
        <v>7.8994140599999998</v>
      </c>
      <c r="F937">
        <v>114110.181456206</v>
      </c>
      <c r="G937">
        <v>180639.83050496501</v>
      </c>
    </row>
    <row r="938" spans="1:7" x14ac:dyDescent="0.3">
      <c r="A938" s="4">
        <v>43180</v>
      </c>
      <c r="B938" s="6">
        <v>1</v>
      </c>
      <c r="C938">
        <v>75110273</v>
      </c>
      <c r="D938">
        <v>134710.03282099101</v>
      </c>
      <c r="E938">
        <v>7.0053018099999997</v>
      </c>
      <c r="F938">
        <v>113527.257791817</v>
      </c>
      <c r="G938">
        <v>179252.13940763299</v>
      </c>
    </row>
    <row r="939" spans="1:7" x14ac:dyDescent="0.3">
      <c r="A939" s="4">
        <v>43179</v>
      </c>
      <c r="B939" s="6">
        <v>1</v>
      </c>
      <c r="C939">
        <v>74687687</v>
      </c>
      <c r="D939">
        <v>134439.180991809</v>
      </c>
      <c r="E939">
        <v>6.7929666299999996</v>
      </c>
      <c r="F939">
        <v>112647.77600744599</v>
      </c>
      <c r="G939">
        <v>179443.507419609</v>
      </c>
    </row>
    <row r="940" spans="1:7" x14ac:dyDescent="0.3">
      <c r="A940" s="4">
        <v>43178</v>
      </c>
      <c r="B940" s="6">
        <v>1</v>
      </c>
      <c r="C940">
        <v>69588405</v>
      </c>
      <c r="D940">
        <v>129495.710670289</v>
      </c>
      <c r="E940">
        <v>6.05523129</v>
      </c>
      <c r="F940">
        <v>108228.877389639</v>
      </c>
      <c r="G940">
        <v>191236.16893651601</v>
      </c>
    </row>
    <row r="941" spans="1:7" x14ac:dyDescent="0.3">
      <c r="A941" s="4">
        <v>43177</v>
      </c>
      <c r="B941" s="6">
        <v>1</v>
      </c>
      <c r="C941">
        <v>72706836</v>
      </c>
      <c r="D941">
        <v>132244.740719183</v>
      </c>
      <c r="E941">
        <v>5.4519034499999997</v>
      </c>
      <c r="F941">
        <v>110631.208672373</v>
      </c>
      <c r="G941">
        <v>190872.151116305</v>
      </c>
    </row>
    <row r="942" spans="1:7" x14ac:dyDescent="0.3">
      <c r="A942" s="4">
        <v>43176</v>
      </c>
      <c r="B942" s="6">
        <v>1</v>
      </c>
      <c r="C942">
        <v>77939406</v>
      </c>
      <c r="D942">
        <v>129784.367142357</v>
      </c>
      <c r="E942">
        <v>5.2851833099999999</v>
      </c>
      <c r="F942">
        <v>109122.948357867</v>
      </c>
      <c r="G942">
        <v>197655.877983577</v>
      </c>
    </row>
    <row r="943" spans="1:7" x14ac:dyDescent="0.3">
      <c r="A943" s="4">
        <v>43175</v>
      </c>
      <c r="B943" s="6">
        <v>1</v>
      </c>
      <c r="C943">
        <v>77954914</v>
      </c>
      <c r="D943">
        <v>127656.820489306</v>
      </c>
      <c r="E943">
        <v>5.22245516</v>
      </c>
      <c r="F943">
        <v>107583.558579855</v>
      </c>
      <c r="G943">
        <v>207312.48850844501</v>
      </c>
    </row>
    <row r="944" spans="1:7" x14ac:dyDescent="0.3">
      <c r="A944" s="4">
        <v>43174</v>
      </c>
      <c r="B944" s="6">
        <v>1</v>
      </c>
      <c r="C944">
        <v>76177207</v>
      </c>
      <c r="D944">
        <v>124239.104623664</v>
      </c>
      <c r="E944">
        <v>5.2433360000000002</v>
      </c>
      <c r="F944">
        <v>103518.72383072101</v>
      </c>
      <c r="G944">
        <v>207344.37773011799</v>
      </c>
    </row>
    <row r="945" spans="1:7" x14ac:dyDescent="0.3">
      <c r="A945" s="4">
        <v>43173</v>
      </c>
      <c r="B945" s="6">
        <v>1</v>
      </c>
      <c r="C945">
        <v>81671089</v>
      </c>
      <c r="D945">
        <v>118370.759174444</v>
      </c>
      <c r="E945">
        <v>5.1886399299999999</v>
      </c>
      <c r="F945">
        <v>99343.832106418602</v>
      </c>
      <c r="G945">
        <v>208909.58537394501</v>
      </c>
    </row>
    <row r="946" spans="1:7" x14ac:dyDescent="0.3">
      <c r="A946" s="4">
        <v>43172</v>
      </c>
      <c r="B946" s="6">
        <v>1</v>
      </c>
      <c r="C946">
        <v>83466548</v>
      </c>
      <c r="D946">
        <v>119751.14490674299</v>
      </c>
      <c r="E946">
        <v>4.8040501100000004</v>
      </c>
      <c r="F946">
        <v>98655.190726072702</v>
      </c>
      <c r="G946">
        <v>206524.958919747</v>
      </c>
    </row>
    <row r="947" spans="1:7" x14ac:dyDescent="0.3">
      <c r="A947" s="4">
        <v>43171</v>
      </c>
      <c r="B947" s="6">
        <v>1</v>
      </c>
      <c r="C947">
        <v>85584130</v>
      </c>
      <c r="D947">
        <v>118805.794244624</v>
      </c>
      <c r="E947">
        <v>4.5018670299999997</v>
      </c>
      <c r="F947">
        <v>98107.483164803896</v>
      </c>
      <c r="G947">
        <v>211754.989707837</v>
      </c>
    </row>
    <row r="948" spans="1:7" x14ac:dyDescent="0.3">
      <c r="A948" s="4">
        <v>43170</v>
      </c>
      <c r="B948" s="6">
        <v>1</v>
      </c>
      <c r="C948">
        <v>82163637</v>
      </c>
      <c r="D948">
        <v>120421.569690751</v>
      </c>
      <c r="E948">
        <v>4.1885918799999997</v>
      </c>
      <c r="F948">
        <v>96263.458472283601</v>
      </c>
      <c r="G948">
        <v>210207.92745036699</v>
      </c>
    </row>
    <row r="949" spans="1:7" x14ac:dyDescent="0.3">
      <c r="A949" s="4">
        <v>43169</v>
      </c>
      <c r="B949" s="6">
        <v>1</v>
      </c>
      <c r="C949">
        <v>85325813</v>
      </c>
      <c r="D949">
        <v>117405.763938576</v>
      </c>
      <c r="E949">
        <v>3.4241616000000001</v>
      </c>
      <c r="F949">
        <v>95615.051063114501</v>
      </c>
      <c r="G949">
        <v>207400.15972375701</v>
      </c>
    </row>
    <row r="950" spans="1:7" x14ac:dyDescent="0.3">
      <c r="A950" s="4">
        <v>43168</v>
      </c>
      <c r="B950" s="6">
        <v>1</v>
      </c>
      <c r="C950">
        <v>83526322</v>
      </c>
      <c r="D950">
        <v>119523.091452856</v>
      </c>
      <c r="E950">
        <v>3.2799151700000002</v>
      </c>
      <c r="F950">
        <v>94674.013232858502</v>
      </c>
      <c r="G950">
        <v>203091.698267898</v>
      </c>
    </row>
    <row r="951" spans="1:7" x14ac:dyDescent="0.3">
      <c r="A951" s="4">
        <v>43167</v>
      </c>
      <c r="B951" s="6">
        <v>1</v>
      </c>
      <c r="C951">
        <v>89827949</v>
      </c>
      <c r="D951">
        <v>119590.415773567</v>
      </c>
      <c r="E951">
        <v>3.1004599100000001</v>
      </c>
      <c r="F951">
        <v>95954.761372413195</v>
      </c>
      <c r="G951">
        <v>206127.75067566801</v>
      </c>
    </row>
    <row r="952" spans="1:7" x14ac:dyDescent="0.3">
      <c r="A952" s="4">
        <v>43166</v>
      </c>
      <c r="B952" s="6">
        <v>1</v>
      </c>
      <c r="C952">
        <v>96154942</v>
      </c>
      <c r="D952">
        <v>117887.503218292</v>
      </c>
      <c r="E952">
        <v>3.21131564</v>
      </c>
      <c r="F952">
        <v>94201.906240355107</v>
      </c>
      <c r="G952">
        <v>216346.40138743</v>
      </c>
    </row>
    <row r="953" spans="1:7" x14ac:dyDescent="0.3">
      <c r="A953" s="4">
        <v>43165</v>
      </c>
      <c r="B953" s="6">
        <v>1</v>
      </c>
      <c r="C953">
        <v>100856136</v>
      </c>
      <c r="D953">
        <v>118714.33313323199</v>
      </c>
      <c r="E953">
        <v>3.4676024700000001</v>
      </c>
      <c r="F953">
        <v>93670.032860682302</v>
      </c>
      <c r="G953">
        <v>216680.653360111</v>
      </c>
    </row>
    <row r="954" spans="1:7" x14ac:dyDescent="0.3">
      <c r="A954" s="4">
        <v>43164</v>
      </c>
      <c r="B954" s="6">
        <v>1</v>
      </c>
      <c r="C954">
        <v>104005391</v>
      </c>
      <c r="D954">
        <v>120248.567497572</v>
      </c>
      <c r="E954">
        <v>3.8755391000000001</v>
      </c>
      <c r="F954">
        <v>94151.125789425903</v>
      </c>
      <c r="G954">
        <v>221712.45206895101</v>
      </c>
    </row>
    <row r="955" spans="1:7" x14ac:dyDescent="0.3">
      <c r="A955" s="4">
        <v>43163</v>
      </c>
      <c r="B955" s="6">
        <v>1</v>
      </c>
      <c r="C955">
        <v>102696576</v>
      </c>
      <c r="D955">
        <v>120021.709811254</v>
      </c>
      <c r="E955">
        <v>3.9177875900000001</v>
      </c>
      <c r="F955">
        <v>94250.493742344202</v>
      </c>
      <c r="G955">
        <v>235984.08920604899</v>
      </c>
    </row>
    <row r="956" spans="1:7" x14ac:dyDescent="0.3">
      <c r="A956" s="4">
        <v>43162</v>
      </c>
      <c r="B956" s="6">
        <v>1</v>
      </c>
      <c r="C956">
        <v>103379499</v>
      </c>
      <c r="D956">
        <v>120826.90392706799</v>
      </c>
      <c r="E956">
        <v>3.89145713</v>
      </c>
      <c r="F956">
        <v>94453.730084644601</v>
      </c>
      <c r="G956">
        <v>238384.99165108701</v>
      </c>
    </row>
    <row r="957" spans="1:7" x14ac:dyDescent="0.3">
      <c r="A957" s="4">
        <v>43161</v>
      </c>
      <c r="B957" s="6">
        <v>1</v>
      </c>
      <c r="C957">
        <v>103545997</v>
      </c>
      <c r="D957">
        <v>119040.279821576</v>
      </c>
      <c r="E957">
        <v>4.02961467</v>
      </c>
      <c r="F957">
        <v>93764.195008414303</v>
      </c>
      <c r="G957">
        <v>244417.31953101099</v>
      </c>
    </row>
    <row r="958" spans="1:7" x14ac:dyDescent="0.3">
      <c r="A958" s="4">
        <v>43160</v>
      </c>
      <c r="B958" s="6">
        <v>1</v>
      </c>
      <c r="C958">
        <v>98820460</v>
      </c>
      <c r="D958">
        <v>116054.562536699</v>
      </c>
      <c r="E958">
        <v>4.5552079799999996</v>
      </c>
      <c r="F958">
        <v>94370.375769677397</v>
      </c>
      <c r="G958">
        <v>238512.326796637</v>
      </c>
    </row>
    <row r="959" spans="1:7" x14ac:dyDescent="0.3">
      <c r="A959" s="4">
        <v>43159</v>
      </c>
      <c r="B959" s="6">
        <v>1</v>
      </c>
      <c r="C959">
        <v>99825253</v>
      </c>
      <c r="D959">
        <v>114532.35236751199</v>
      </c>
      <c r="E959">
        <v>4.4886306899999999</v>
      </c>
      <c r="F959">
        <v>93298.878041199103</v>
      </c>
      <c r="G959">
        <v>243631.88337035899</v>
      </c>
    </row>
    <row r="960" spans="1:7" x14ac:dyDescent="0.3">
      <c r="A960" s="4">
        <v>43158</v>
      </c>
      <c r="B960" s="6">
        <v>1</v>
      </c>
      <c r="C960">
        <v>98691300</v>
      </c>
      <c r="D960">
        <v>113749.452525299</v>
      </c>
      <c r="E960">
        <v>4.5946827700000004</v>
      </c>
      <c r="F960">
        <v>93884.016148802504</v>
      </c>
      <c r="G960">
        <v>240958.190695539</v>
      </c>
    </row>
    <row r="961" spans="1:7" x14ac:dyDescent="0.3">
      <c r="A961" s="4">
        <v>43157</v>
      </c>
      <c r="B961" s="6">
        <v>1</v>
      </c>
      <c r="C961">
        <v>92536272</v>
      </c>
      <c r="D961">
        <v>110125.52006474001</v>
      </c>
      <c r="E961">
        <v>4.6003651999999997</v>
      </c>
      <c r="F961">
        <v>90552.673344928597</v>
      </c>
      <c r="G961">
        <v>256577.607626221</v>
      </c>
    </row>
    <row r="962" spans="1:7" x14ac:dyDescent="0.3">
      <c r="A962" s="4">
        <v>43156</v>
      </c>
      <c r="B962" s="6">
        <v>1</v>
      </c>
      <c r="C962">
        <v>89373648</v>
      </c>
      <c r="D962">
        <v>107228.218694885</v>
      </c>
      <c r="E962">
        <v>4.6054099800000001</v>
      </c>
      <c r="F962">
        <v>89948.7497493626</v>
      </c>
      <c r="G962">
        <v>268900.97372817202</v>
      </c>
    </row>
    <row r="963" spans="1:7" x14ac:dyDescent="0.3">
      <c r="A963" s="4">
        <v>43155</v>
      </c>
      <c r="B963" s="6">
        <v>1</v>
      </c>
      <c r="C963">
        <v>90910790</v>
      </c>
      <c r="D963">
        <v>106365.73066573001</v>
      </c>
      <c r="E963">
        <v>4.5641741299999996</v>
      </c>
      <c r="F963">
        <v>89888.421251303997</v>
      </c>
      <c r="G963">
        <v>275634.75917122199</v>
      </c>
    </row>
    <row r="964" spans="1:7" x14ac:dyDescent="0.3">
      <c r="A964" s="4">
        <v>43154</v>
      </c>
      <c r="B964" s="6">
        <v>1</v>
      </c>
      <c r="C964">
        <v>85610279</v>
      </c>
      <c r="D964">
        <v>106399.720361417</v>
      </c>
      <c r="E964">
        <v>4.4693556900000004</v>
      </c>
      <c r="F964">
        <v>89050.865447255797</v>
      </c>
      <c r="G964">
        <v>277248.522768797</v>
      </c>
    </row>
    <row r="965" spans="1:7" x14ac:dyDescent="0.3">
      <c r="A965" s="4">
        <v>43153</v>
      </c>
      <c r="B965" s="6">
        <v>1</v>
      </c>
      <c r="C965">
        <v>88301085</v>
      </c>
      <c r="D965">
        <v>105096.56744307801</v>
      </c>
      <c r="E965">
        <v>4.2510267500000003</v>
      </c>
      <c r="F965">
        <v>89057.819432124801</v>
      </c>
      <c r="G965">
        <v>277913.53474650899</v>
      </c>
    </row>
    <row r="966" spans="1:7" x14ac:dyDescent="0.3">
      <c r="A966" s="4">
        <v>43152</v>
      </c>
      <c r="B966" s="6">
        <v>1</v>
      </c>
      <c r="C966">
        <v>93045466</v>
      </c>
      <c r="D966">
        <v>105074.38115457501</v>
      </c>
      <c r="E966">
        <v>3.9383108</v>
      </c>
      <c r="F966">
        <v>88868.191832828103</v>
      </c>
      <c r="G966">
        <v>278491.06347835599</v>
      </c>
    </row>
    <row r="967" spans="1:7" x14ac:dyDescent="0.3">
      <c r="A967" s="4">
        <v>43151</v>
      </c>
      <c r="B967" s="6">
        <v>1</v>
      </c>
      <c r="C967">
        <v>99891414</v>
      </c>
      <c r="D967">
        <v>106291.20761021</v>
      </c>
      <c r="E967">
        <v>3.8859158800000002</v>
      </c>
      <c r="F967">
        <v>88753.683323295394</v>
      </c>
      <c r="G967">
        <v>280393.66101151501</v>
      </c>
    </row>
    <row r="968" spans="1:7" x14ac:dyDescent="0.3">
      <c r="A968" s="4">
        <v>43150</v>
      </c>
      <c r="B968" s="6">
        <v>1</v>
      </c>
      <c r="C968">
        <v>97714894</v>
      </c>
      <c r="D968">
        <v>106920.77251340399</v>
      </c>
      <c r="E968">
        <v>3.9036632899999999</v>
      </c>
      <c r="F968">
        <v>87761.027208704501</v>
      </c>
      <c r="G968">
        <v>274600.20893866499</v>
      </c>
    </row>
    <row r="969" spans="1:7" x14ac:dyDescent="0.3">
      <c r="A969" s="4">
        <v>43149</v>
      </c>
      <c r="B969" s="6">
        <v>1</v>
      </c>
      <c r="C969">
        <v>102220287</v>
      </c>
      <c r="D969">
        <v>104864.981842056</v>
      </c>
      <c r="E969">
        <v>4.0578711800000002</v>
      </c>
      <c r="F969">
        <v>88730.145262222402</v>
      </c>
      <c r="G969">
        <v>280317.74779154302</v>
      </c>
    </row>
    <row r="970" spans="1:7" x14ac:dyDescent="0.3">
      <c r="A970" s="4">
        <v>43148</v>
      </c>
      <c r="B970" s="6">
        <v>1</v>
      </c>
      <c r="C970">
        <v>98604963</v>
      </c>
      <c r="D970">
        <v>105131.52827533201</v>
      </c>
      <c r="E970">
        <v>3.395035</v>
      </c>
      <c r="F970">
        <v>89111.917576443404</v>
      </c>
      <c r="G970">
        <v>279674.16032684903</v>
      </c>
    </row>
    <row r="971" spans="1:7" x14ac:dyDescent="0.3">
      <c r="A971" s="4">
        <v>43147</v>
      </c>
      <c r="B971" s="6">
        <v>1</v>
      </c>
      <c r="C971">
        <v>96519516</v>
      </c>
      <c r="D971">
        <v>104013.70332453201</v>
      </c>
      <c r="E971">
        <v>3.3713560400000002</v>
      </c>
      <c r="F971">
        <v>89164.761950337401</v>
      </c>
      <c r="G971">
        <v>275412.85914498899</v>
      </c>
    </row>
    <row r="972" spans="1:7" x14ac:dyDescent="0.3">
      <c r="A972" s="4">
        <v>43146</v>
      </c>
      <c r="B972" s="6">
        <v>1</v>
      </c>
      <c r="C972">
        <v>90268949</v>
      </c>
      <c r="D972">
        <v>98106.692678049294</v>
      </c>
      <c r="E972">
        <v>3.7268920200000002</v>
      </c>
      <c r="F972">
        <v>83025.457644035603</v>
      </c>
      <c r="G972">
        <v>273781.73862759501</v>
      </c>
    </row>
    <row r="973" spans="1:7" x14ac:dyDescent="0.3">
      <c r="A973" s="4">
        <v>43145</v>
      </c>
      <c r="B973" s="6">
        <v>1</v>
      </c>
      <c r="C973">
        <v>82113672</v>
      </c>
      <c r="D973">
        <v>97639.296543359596</v>
      </c>
      <c r="E973">
        <v>4.0338053800000004</v>
      </c>
      <c r="F973">
        <v>82156.309888600896</v>
      </c>
      <c r="G973">
        <v>277671.11011988402</v>
      </c>
    </row>
    <row r="974" spans="1:7" x14ac:dyDescent="0.3">
      <c r="A974" s="4">
        <v>43144</v>
      </c>
      <c r="B974" s="6">
        <v>1</v>
      </c>
      <c r="C974">
        <v>82064851</v>
      </c>
      <c r="D974">
        <v>94841.959828032501</v>
      </c>
      <c r="E974">
        <v>4.0266957300000001</v>
      </c>
      <c r="F974">
        <v>81415.411645025903</v>
      </c>
      <c r="G974">
        <v>272099.97250904102</v>
      </c>
    </row>
    <row r="975" spans="1:7" x14ac:dyDescent="0.3">
      <c r="A975" s="4">
        <v>43143</v>
      </c>
      <c r="B975" s="6">
        <v>1</v>
      </c>
      <c r="C975">
        <v>77833965</v>
      </c>
      <c r="D975">
        <v>95952.716446614097</v>
      </c>
      <c r="E975">
        <v>4.5947859500000003</v>
      </c>
      <c r="F975">
        <v>80692.376204345099</v>
      </c>
      <c r="G975">
        <v>282788.29093186703</v>
      </c>
    </row>
    <row r="976" spans="1:7" x14ac:dyDescent="0.3">
      <c r="A976" s="4">
        <v>43142</v>
      </c>
      <c r="B976" s="6">
        <v>1</v>
      </c>
      <c r="C976">
        <v>79665163</v>
      </c>
      <c r="D976">
        <v>93614.687599149198</v>
      </c>
      <c r="E976">
        <v>4.63350069</v>
      </c>
      <c r="F976">
        <v>80150.107564410893</v>
      </c>
      <c r="G976">
        <v>290244.94384706998</v>
      </c>
    </row>
    <row r="977" spans="1:7" x14ac:dyDescent="0.3">
      <c r="A977" s="4">
        <v>43141</v>
      </c>
      <c r="B977" s="6">
        <v>1</v>
      </c>
      <c r="C977">
        <v>82222365</v>
      </c>
      <c r="D977">
        <v>93683.618941275607</v>
      </c>
      <c r="E977">
        <v>4.6032614199999999</v>
      </c>
      <c r="F977">
        <v>79927.240749372795</v>
      </c>
      <c r="G977">
        <v>301615.39079892699</v>
      </c>
    </row>
    <row r="978" spans="1:7" x14ac:dyDescent="0.3">
      <c r="A978" s="4">
        <v>43140</v>
      </c>
      <c r="B978" s="6">
        <v>1</v>
      </c>
      <c r="C978">
        <v>70451708</v>
      </c>
      <c r="D978">
        <v>86597.883350746706</v>
      </c>
      <c r="E978">
        <v>4.5867072599999998</v>
      </c>
      <c r="F978">
        <v>72334.310487941199</v>
      </c>
      <c r="G978">
        <v>299305.63651411899</v>
      </c>
    </row>
    <row r="979" spans="1:7" x14ac:dyDescent="0.3">
      <c r="A979" s="4">
        <v>43139</v>
      </c>
      <c r="B979" s="6">
        <v>1</v>
      </c>
      <c r="C979">
        <v>65300967</v>
      </c>
      <c r="D979">
        <v>86852.561647115101</v>
      </c>
      <c r="E979">
        <v>4.7777657199999997</v>
      </c>
      <c r="F979">
        <v>72420.542846761702</v>
      </c>
      <c r="G979">
        <v>305379.11501651403</v>
      </c>
    </row>
    <row r="980" spans="1:7" x14ac:dyDescent="0.3">
      <c r="A980" s="4">
        <v>43138</v>
      </c>
      <c r="B980" s="6">
        <v>1</v>
      </c>
      <c r="C980">
        <v>65971481</v>
      </c>
      <c r="D980">
        <v>84022.977482296599</v>
      </c>
      <c r="E980">
        <v>5.7645756099999996</v>
      </c>
      <c r="F980">
        <v>71123.667099430197</v>
      </c>
      <c r="G980">
        <v>300013.68885594199</v>
      </c>
    </row>
    <row r="981" spans="1:7" x14ac:dyDescent="0.3">
      <c r="A981" s="4">
        <v>43137</v>
      </c>
      <c r="B981" s="6">
        <v>1</v>
      </c>
      <c r="C981">
        <v>57176760</v>
      </c>
      <c r="D981">
        <v>82262.801237320993</v>
      </c>
      <c r="E981">
        <v>5.6969648299999998</v>
      </c>
      <c r="F981">
        <v>68094.778632055299</v>
      </c>
      <c r="G981">
        <v>298348.42804318701</v>
      </c>
    </row>
    <row r="982" spans="1:7" x14ac:dyDescent="0.3">
      <c r="A982" s="4">
        <v>43136</v>
      </c>
      <c r="B982" s="6">
        <v>1</v>
      </c>
      <c r="C982">
        <v>61988724</v>
      </c>
      <c r="D982">
        <v>75016.0030979984</v>
      </c>
      <c r="E982">
        <v>5.8469730200000001</v>
      </c>
      <c r="F982">
        <v>61717.859063966098</v>
      </c>
      <c r="G982">
        <v>296811.01746647101</v>
      </c>
    </row>
    <row r="983" spans="1:7" x14ac:dyDescent="0.3">
      <c r="A983" s="4">
        <v>43135</v>
      </c>
      <c r="B983" s="6">
        <v>1</v>
      </c>
      <c r="C983">
        <v>71789512</v>
      </c>
      <c r="D983">
        <v>73943.485739594296</v>
      </c>
      <c r="E983">
        <v>5.8840135299999998</v>
      </c>
      <c r="F983">
        <v>60191.015768327998</v>
      </c>
      <c r="G983">
        <v>284576.14368535602</v>
      </c>
    </row>
    <row r="984" spans="1:7" x14ac:dyDescent="0.3">
      <c r="A984" s="4">
        <v>43134</v>
      </c>
      <c r="B984" s="6">
        <v>1</v>
      </c>
      <c r="C984">
        <v>68896116</v>
      </c>
      <c r="D984">
        <v>75093.589981143799</v>
      </c>
      <c r="E984">
        <v>5.7977618099999999</v>
      </c>
      <c r="F984">
        <v>59436.4022607148</v>
      </c>
      <c r="G984">
        <v>288492.91398184898</v>
      </c>
    </row>
    <row r="985" spans="1:7" x14ac:dyDescent="0.3">
      <c r="A985" s="4">
        <v>43133</v>
      </c>
      <c r="B985" s="6">
        <v>1</v>
      </c>
      <c r="C985">
        <v>72945655</v>
      </c>
      <c r="D985">
        <v>71083.9659322347</v>
      </c>
      <c r="E985">
        <v>5.6200492899999999</v>
      </c>
      <c r="F985">
        <v>57710.028906695901</v>
      </c>
      <c r="G985">
        <v>265715.52279354399</v>
      </c>
    </row>
    <row r="986" spans="1:7" x14ac:dyDescent="0.3">
      <c r="A986" s="4">
        <v>43132</v>
      </c>
      <c r="B986" s="6">
        <v>1</v>
      </c>
      <c r="C986">
        <v>78328314</v>
      </c>
      <c r="D986">
        <v>70484.134654320602</v>
      </c>
      <c r="E986">
        <v>5.5936857</v>
      </c>
      <c r="F986">
        <v>57461.266618927802</v>
      </c>
      <c r="G986">
        <v>269845.99040057103</v>
      </c>
    </row>
    <row r="987" spans="1:7" x14ac:dyDescent="0.3">
      <c r="A987" s="4">
        <v>43131</v>
      </c>
      <c r="B987" s="6">
        <v>1</v>
      </c>
      <c r="C987">
        <v>77008937</v>
      </c>
      <c r="D987">
        <v>72392.469236771096</v>
      </c>
      <c r="E987">
        <v>5.5767930000000003</v>
      </c>
      <c r="F987">
        <v>57826.832073563703</v>
      </c>
      <c r="G987">
        <v>273288.152476024</v>
      </c>
    </row>
    <row r="988" spans="1:7" x14ac:dyDescent="0.3">
      <c r="A988" s="4">
        <v>43130</v>
      </c>
      <c r="B988" s="6">
        <v>1</v>
      </c>
      <c r="C988">
        <v>83475721</v>
      </c>
      <c r="D988">
        <v>71350.429081833194</v>
      </c>
      <c r="E988">
        <v>5.4976300499999997</v>
      </c>
      <c r="F988">
        <v>57040.760294309002</v>
      </c>
      <c r="G988">
        <v>263433.60975765501</v>
      </c>
    </row>
    <row r="989" spans="1:7" x14ac:dyDescent="0.3">
      <c r="A989" s="4">
        <v>43129</v>
      </c>
      <c r="B989" s="6">
        <v>1</v>
      </c>
      <c r="C989">
        <v>89232298</v>
      </c>
      <c r="D989">
        <v>72454.101675097598</v>
      </c>
      <c r="E989">
        <v>5.4604515400000002</v>
      </c>
      <c r="F989">
        <v>56284.2055685788</v>
      </c>
      <c r="G989">
        <v>255097.69604576999</v>
      </c>
    </row>
    <row r="990" spans="1:7" x14ac:dyDescent="0.3">
      <c r="A990" s="4">
        <v>43128</v>
      </c>
      <c r="B990" s="6">
        <v>1</v>
      </c>
      <c r="C990">
        <v>82983347</v>
      </c>
      <c r="D990">
        <v>74821.786525769101</v>
      </c>
      <c r="E990">
        <v>5.3485533500000004</v>
      </c>
      <c r="F990">
        <v>56452.871873700897</v>
      </c>
      <c r="G990">
        <v>257932.65316691599</v>
      </c>
    </row>
    <row r="991" spans="1:7" x14ac:dyDescent="0.3">
      <c r="A991" s="4">
        <v>43127</v>
      </c>
      <c r="B991" s="6">
        <v>1</v>
      </c>
      <c r="C991">
        <v>78831535</v>
      </c>
      <c r="D991">
        <v>75179.323466020694</v>
      </c>
      <c r="E991">
        <v>4.4819915899999998</v>
      </c>
      <c r="F991">
        <v>56393.964765492899</v>
      </c>
      <c r="G991">
        <v>242130.066443346</v>
      </c>
    </row>
    <row r="992" spans="1:7" x14ac:dyDescent="0.3">
      <c r="A992" s="4">
        <v>43126</v>
      </c>
      <c r="B992" s="6">
        <v>1</v>
      </c>
      <c r="C992">
        <v>79242602</v>
      </c>
      <c r="D992">
        <v>75730.957500692806</v>
      </c>
      <c r="E992">
        <v>4.1647352599999996</v>
      </c>
      <c r="F992">
        <v>58151.582948275201</v>
      </c>
      <c r="G992">
        <v>271996.15683366399</v>
      </c>
    </row>
    <row r="993" spans="1:7" x14ac:dyDescent="0.3">
      <c r="A993" s="4">
        <v>43125</v>
      </c>
      <c r="B993" s="6">
        <v>1</v>
      </c>
      <c r="C993">
        <v>80973666</v>
      </c>
      <c r="D993">
        <v>76274.400203464495</v>
      </c>
      <c r="E993">
        <v>4.1669118200000002</v>
      </c>
      <c r="F993">
        <v>59011.8714945272</v>
      </c>
      <c r="G993">
        <v>293292.76909336401</v>
      </c>
    </row>
    <row r="994" spans="1:7" x14ac:dyDescent="0.3">
      <c r="A994" s="4">
        <v>43124</v>
      </c>
      <c r="B994" s="6">
        <v>1</v>
      </c>
      <c r="C994">
        <v>75850735</v>
      </c>
      <c r="D994">
        <v>77046.496627661298</v>
      </c>
      <c r="E994">
        <v>4.0328808499999997</v>
      </c>
      <c r="F994">
        <v>58945.437236104299</v>
      </c>
      <c r="G994">
        <v>287700.169630213</v>
      </c>
    </row>
    <row r="995" spans="1:7" x14ac:dyDescent="0.3">
      <c r="A995" s="4">
        <v>43123</v>
      </c>
      <c r="B995" s="6">
        <v>1</v>
      </c>
      <c r="C995">
        <v>75026171</v>
      </c>
      <c r="D995">
        <v>75044.932233058207</v>
      </c>
      <c r="E995">
        <v>3.9911744800000002</v>
      </c>
      <c r="F995">
        <v>57884.860020171502</v>
      </c>
      <c r="G995">
        <v>302695.77818415599</v>
      </c>
    </row>
    <row r="996" spans="1:7" x14ac:dyDescent="0.3">
      <c r="A996" s="4">
        <v>43122</v>
      </c>
      <c r="B996" s="6">
        <v>1</v>
      </c>
      <c r="C996">
        <v>77716764</v>
      </c>
      <c r="D996">
        <v>74080.168527009097</v>
      </c>
      <c r="E996">
        <v>3.8609063400000001</v>
      </c>
      <c r="F996">
        <v>57736.135993142198</v>
      </c>
      <c r="G996">
        <v>314225.20147431397</v>
      </c>
    </row>
    <row r="997" spans="1:7" x14ac:dyDescent="0.3">
      <c r="A997" s="4">
        <v>43121</v>
      </c>
      <c r="B997" s="6">
        <v>1</v>
      </c>
      <c r="C997">
        <v>85638433</v>
      </c>
      <c r="D997">
        <v>74435.839200347604</v>
      </c>
      <c r="E997">
        <v>3.6637441399999999</v>
      </c>
      <c r="F997">
        <v>58104.599724909698</v>
      </c>
      <c r="G997">
        <v>312777.24096692097</v>
      </c>
    </row>
    <row r="998" spans="1:7" x14ac:dyDescent="0.3">
      <c r="A998" s="4">
        <v>43120</v>
      </c>
      <c r="B998" s="6">
        <v>1</v>
      </c>
      <c r="C998">
        <v>78054938</v>
      </c>
      <c r="D998">
        <v>75243.828564818294</v>
      </c>
      <c r="E998">
        <v>3.67753525</v>
      </c>
      <c r="F998">
        <v>58704.5243077622</v>
      </c>
      <c r="G998">
        <v>334145.05163729802</v>
      </c>
    </row>
    <row r="999" spans="1:7" x14ac:dyDescent="0.3">
      <c r="A999" s="4">
        <v>43119</v>
      </c>
      <c r="B999" s="6">
        <v>1</v>
      </c>
      <c r="C999">
        <v>75238286</v>
      </c>
      <c r="D999">
        <v>74274.940027838893</v>
      </c>
      <c r="E999">
        <v>0</v>
      </c>
      <c r="F999">
        <v>59800.645422288901</v>
      </c>
      <c r="G999">
        <v>344310.05549372302</v>
      </c>
    </row>
    <row r="1000" spans="1:7" x14ac:dyDescent="0.3">
      <c r="A1000" s="4">
        <v>43118</v>
      </c>
      <c r="B1000" s="6">
        <v>1</v>
      </c>
      <c r="C1000">
        <v>74326033</v>
      </c>
      <c r="D1000">
        <v>72520.278075909795</v>
      </c>
      <c r="E1000">
        <v>0</v>
      </c>
      <c r="F1000">
        <v>60787.9562465907</v>
      </c>
      <c r="G1000">
        <v>326521.49576383299</v>
      </c>
    </row>
    <row r="1001" spans="1:7" x14ac:dyDescent="0.3">
      <c r="A1001" s="4">
        <v>43117</v>
      </c>
      <c r="B1001" s="6">
        <v>1</v>
      </c>
      <c r="C1001">
        <v>71399412</v>
      </c>
      <c r="D1001">
        <v>67982.606211795093</v>
      </c>
      <c r="E1001">
        <v>0</v>
      </c>
      <c r="F1001">
        <v>56539.853736693301</v>
      </c>
      <c r="G1001">
        <v>310835.22481108602</v>
      </c>
    </row>
    <row r="1002" spans="1:7" x14ac:dyDescent="0.3">
      <c r="A1002" s="4">
        <v>43116</v>
      </c>
      <c r="B1002" s="6">
        <v>1</v>
      </c>
      <c r="C1002">
        <v>88219997</v>
      </c>
      <c r="D1002">
        <v>68991.942597950998</v>
      </c>
      <c r="E1002">
        <v>0</v>
      </c>
      <c r="F1002">
        <v>57421.066090943903</v>
      </c>
      <c r="G1002">
        <v>310680.96971396799</v>
      </c>
    </row>
    <row r="1003" spans="1:7" x14ac:dyDescent="0.3">
      <c r="A1003" s="4">
        <v>43115</v>
      </c>
      <c r="B1003" s="6">
        <v>1</v>
      </c>
      <c r="C1003">
        <v>99806389</v>
      </c>
      <c r="D1003">
        <v>73420.521855551706</v>
      </c>
      <c r="E1003">
        <v>0</v>
      </c>
      <c r="F1003">
        <v>57713.836113451202</v>
      </c>
      <c r="G1003">
        <v>307521.42300043401</v>
      </c>
    </row>
    <row r="1004" spans="1:7" x14ac:dyDescent="0.3">
      <c r="A1004" s="4">
        <v>43114</v>
      </c>
      <c r="B1004" s="6">
        <v>1</v>
      </c>
      <c r="C1004">
        <v>103374935</v>
      </c>
      <c r="D1004">
        <v>74637.864435170603</v>
      </c>
      <c r="E1004">
        <v>0</v>
      </c>
      <c r="F1004">
        <v>57798.2336452647</v>
      </c>
      <c r="G1004">
        <v>304436.84487083001</v>
      </c>
    </row>
    <row r="1005" spans="1:7" x14ac:dyDescent="0.3">
      <c r="A1005" s="4">
        <v>43113</v>
      </c>
      <c r="B1005" s="6">
        <v>1</v>
      </c>
      <c r="C1005">
        <v>98858837</v>
      </c>
      <c r="D1005">
        <v>78393.444403914094</v>
      </c>
      <c r="E1005">
        <v>0</v>
      </c>
      <c r="F1005">
        <v>57570.0714162039</v>
      </c>
      <c r="G1005">
        <v>0</v>
      </c>
    </row>
    <row r="1006" spans="1:7" x14ac:dyDescent="0.3">
      <c r="A1006" s="4">
        <v>43112</v>
      </c>
      <c r="B1006" s="6">
        <v>1</v>
      </c>
      <c r="C1006">
        <v>88712830</v>
      </c>
      <c r="D1006">
        <v>77864.717550819798</v>
      </c>
      <c r="E1006">
        <v>0</v>
      </c>
      <c r="F1006">
        <v>58753.944199135003</v>
      </c>
      <c r="G1006">
        <v>0</v>
      </c>
    </row>
    <row r="1007" spans="1:7" x14ac:dyDescent="0.3">
      <c r="A1007" s="4">
        <v>43111</v>
      </c>
      <c r="B1007" s="6">
        <v>1</v>
      </c>
      <c r="C1007">
        <v>95293222</v>
      </c>
      <c r="D1007">
        <v>76298.057583909802</v>
      </c>
      <c r="E1007">
        <v>0</v>
      </c>
      <c r="F1007">
        <v>59508.196214600401</v>
      </c>
      <c r="G1007">
        <v>0</v>
      </c>
    </row>
    <row r="1008" spans="1:7" x14ac:dyDescent="0.3">
      <c r="A1008" s="4">
        <v>43110</v>
      </c>
      <c r="B1008" s="6">
        <v>1</v>
      </c>
      <c r="C1008">
        <v>103410300</v>
      </c>
      <c r="D1008">
        <v>80210.278924017199</v>
      </c>
      <c r="E1008">
        <v>0</v>
      </c>
      <c r="F1008">
        <v>58545.9469787751</v>
      </c>
      <c r="G1008">
        <v>0</v>
      </c>
    </row>
    <row r="1009" spans="1:7" x14ac:dyDescent="0.3">
      <c r="A1009" s="4">
        <v>43109</v>
      </c>
      <c r="B1009" s="6">
        <v>1</v>
      </c>
      <c r="C1009">
        <v>89677700</v>
      </c>
      <c r="D1009">
        <v>78933.994067475796</v>
      </c>
      <c r="E1009">
        <v>0</v>
      </c>
      <c r="F1009">
        <v>58357.219171364399</v>
      </c>
      <c r="G1009">
        <v>0</v>
      </c>
    </row>
    <row r="1010" spans="1:7" x14ac:dyDescent="0.3">
      <c r="A1010" s="4">
        <v>43108</v>
      </c>
      <c r="B1010" s="6">
        <v>1</v>
      </c>
      <c r="C1010">
        <v>87758898</v>
      </c>
      <c r="D1010">
        <v>78513.887720867802</v>
      </c>
      <c r="E1010">
        <v>0</v>
      </c>
      <c r="F1010">
        <v>57471.595936072299</v>
      </c>
      <c r="G1010">
        <v>0</v>
      </c>
    </row>
    <row r="1011" spans="1:7" x14ac:dyDescent="0.3">
      <c r="A1011" s="4">
        <v>43107</v>
      </c>
      <c r="B1011" s="6">
        <v>1</v>
      </c>
      <c r="C1011">
        <v>78593372</v>
      </c>
      <c r="D1011">
        <v>78092.797170139398</v>
      </c>
      <c r="E1011">
        <v>0</v>
      </c>
      <c r="F1011">
        <v>57633.811084921501</v>
      </c>
      <c r="G1011">
        <v>0</v>
      </c>
    </row>
    <row r="1012" spans="1:7" x14ac:dyDescent="0.3">
      <c r="A1012" s="4">
        <v>43106</v>
      </c>
      <c r="B1012" s="6">
        <v>1</v>
      </c>
      <c r="C1012">
        <v>73542908</v>
      </c>
      <c r="D1012">
        <v>76042.4224251134</v>
      </c>
      <c r="E1012">
        <v>0</v>
      </c>
      <c r="F1012">
        <v>58671.145670550097</v>
      </c>
      <c r="G1012">
        <v>0</v>
      </c>
    </row>
    <row r="1013" spans="1:7" x14ac:dyDescent="0.3">
      <c r="A1013" s="4">
        <v>43105</v>
      </c>
      <c r="B1013" s="6">
        <v>1</v>
      </c>
      <c r="C1013">
        <v>71301491</v>
      </c>
      <c r="D1013">
        <v>75464.8889218166</v>
      </c>
      <c r="E1013">
        <v>0</v>
      </c>
      <c r="F1013">
        <v>61238.344642571501</v>
      </c>
      <c r="G1013">
        <v>0</v>
      </c>
    </row>
    <row r="1014" spans="1:7" x14ac:dyDescent="0.3">
      <c r="A1014" s="4">
        <v>43104</v>
      </c>
      <c r="B1014" s="6">
        <v>1</v>
      </c>
      <c r="C1014">
        <v>63044139</v>
      </c>
      <c r="D1014">
        <v>66996.959617428205</v>
      </c>
      <c r="E1014">
        <v>0</v>
      </c>
      <c r="F1014">
        <v>58715.460769885802</v>
      </c>
      <c r="G1014">
        <v>0</v>
      </c>
    </row>
    <row r="1015" spans="1:7" x14ac:dyDescent="0.3">
      <c r="A1015" s="4">
        <v>43103</v>
      </c>
      <c r="B1015" s="6">
        <v>1</v>
      </c>
      <c r="C1015">
        <v>56942145</v>
      </c>
      <c r="D1015">
        <v>66060.471942178905</v>
      </c>
      <c r="E1015">
        <v>0</v>
      </c>
      <c r="F1015">
        <v>56553.0867716219</v>
      </c>
      <c r="G1015">
        <v>0</v>
      </c>
    </row>
    <row r="1016" spans="1:7" x14ac:dyDescent="0.3">
      <c r="A1016" s="4">
        <v>43102</v>
      </c>
      <c r="B1016" s="6">
        <v>1</v>
      </c>
      <c r="C1016">
        <v>50815621</v>
      </c>
      <c r="D1016">
        <v>67201.318486583696</v>
      </c>
      <c r="E1016">
        <v>0</v>
      </c>
      <c r="F1016">
        <v>56845.735708856599</v>
      </c>
      <c r="G1016">
        <v>0</v>
      </c>
    </row>
    <row r="1017" spans="1:7" x14ac:dyDescent="0.3">
      <c r="A1017" s="4">
        <v>43101</v>
      </c>
      <c r="B1017" s="6">
        <v>1</v>
      </c>
      <c r="C1017">
        <v>48518175</v>
      </c>
      <c r="D1017">
        <v>65468.667773144902</v>
      </c>
      <c r="E1017">
        <v>0</v>
      </c>
      <c r="F1017">
        <v>57327.8221370889</v>
      </c>
      <c r="G1017">
        <v>0</v>
      </c>
    </row>
    <row r="1018" spans="1:7" x14ac:dyDescent="0.3">
      <c r="A1018" s="4">
        <v>43100</v>
      </c>
      <c r="B1018" s="6">
        <v>1</v>
      </c>
      <c r="C1018">
        <v>45320142</v>
      </c>
      <c r="D1018">
        <v>65397.973996738699</v>
      </c>
      <c r="E1018">
        <v>0</v>
      </c>
      <c r="F1018">
        <v>58253.9276866238</v>
      </c>
      <c r="G1018">
        <v>0</v>
      </c>
    </row>
    <row r="1019" spans="1:7" x14ac:dyDescent="0.3">
      <c r="A1019" s="4">
        <v>43099</v>
      </c>
      <c r="B1019" s="6">
        <v>1</v>
      </c>
      <c r="C1019">
        <v>48578456</v>
      </c>
      <c r="D1019">
        <v>65682.065981611595</v>
      </c>
      <c r="E1019">
        <v>0</v>
      </c>
      <c r="F1019">
        <v>58388.805179667703</v>
      </c>
      <c r="G1019">
        <v>0</v>
      </c>
    </row>
    <row r="1020" spans="1:7" x14ac:dyDescent="0.3">
      <c r="A1020" s="4">
        <v>43098</v>
      </c>
      <c r="B1020" s="6">
        <v>1</v>
      </c>
      <c r="C1020">
        <v>44371099</v>
      </c>
      <c r="D1020">
        <v>61911.1456836289</v>
      </c>
      <c r="E1020">
        <v>0</v>
      </c>
      <c r="F1020">
        <v>57930.139084494003</v>
      </c>
      <c r="G1020">
        <v>0</v>
      </c>
    </row>
    <row r="1021" spans="1:7" x14ac:dyDescent="0.3">
      <c r="A1021" s="4">
        <v>43097</v>
      </c>
      <c r="B1021" s="6">
        <v>1</v>
      </c>
      <c r="C1021">
        <v>43007119</v>
      </c>
      <c r="D1021">
        <v>58123.226521427699</v>
      </c>
      <c r="E1021">
        <v>0</v>
      </c>
      <c r="F1021">
        <v>58244.824570565099</v>
      </c>
      <c r="G1021">
        <v>0</v>
      </c>
    </row>
    <row r="1022" spans="1:7" x14ac:dyDescent="0.3">
      <c r="A1022" s="4">
        <v>43096</v>
      </c>
      <c r="B1022" s="6">
        <v>1</v>
      </c>
      <c r="C1022">
        <v>41765822</v>
      </c>
      <c r="D1022">
        <v>55433.507644935198</v>
      </c>
      <c r="E1022">
        <v>0</v>
      </c>
      <c r="F1022">
        <v>55438.192815417497</v>
      </c>
      <c r="G1022">
        <v>0</v>
      </c>
    </row>
    <row r="1023" spans="1:7" x14ac:dyDescent="0.3">
      <c r="A1023" s="4">
        <v>43095</v>
      </c>
      <c r="B1023" s="6">
        <v>1</v>
      </c>
      <c r="C1023">
        <v>40972890</v>
      </c>
      <c r="D1023">
        <v>56659.692452360498</v>
      </c>
      <c r="E1023">
        <v>0</v>
      </c>
      <c r="F1023">
        <v>54341.6700285888</v>
      </c>
      <c r="G1023">
        <v>0</v>
      </c>
    </row>
    <row r="1024" spans="1:7" x14ac:dyDescent="0.3">
      <c r="A1024" s="4">
        <v>43094</v>
      </c>
      <c r="B1024" s="6">
        <v>1</v>
      </c>
      <c r="C1024">
        <v>31646081</v>
      </c>
      <c r="D1024">
        <v>46808.189859188198</v>
      </c>
      <c r="E1024">
        <v>0</v>
      </c>
      <c r="F1024">
        <v>51241.526537121099</v>
      </c>
      <c r="G1024">
        <v>0</v>
      </c>
    </row>
    <row r="1025" spans="1:7" x14ac:dyDescent="0.3">
      <c r="A1025" s="4">
        <v>43093</v>
      </c>
      <c r="B1025" s="6">
        <v>1</v>
      </c>
      <c r="C1025">
        <v>30291023</v>
      </c>
      <c r="D1025">
        <v>43245.706984181299</v>
      </c>
      <c r="E1025">
        <v>0</v>
      </c>
      <c r="F1025">
        <v>48743.285269776497</v>
      </c>
      <c r="G1025">
        <v>0</v>
      </c>
    </row>
    <row r="1026" spans="1:7" x14ac:dyDescent="0.3">
      <c r="A1026" s="4">
        <v>43092</v>
      </c>
      <c r="B1026" s="6">
        <v>1</v>
      </c>
      <c r="C1026">
        <v>28096734</v>
      </c>
      <c r="D1026">
        <v>42712.537054772598</v>
      </c>
      <c r="E1026">
        <v>0</v>
      </c>
      <c r="F1026">
        <v>47458.403449477002</v>
      </c>
      <c r="G1026">
        <v>0</v>
      </c>
    </row>
    <row r="1027" spans="1:7" x14ac:dyDescent="0.3">
      <c r="A1027" s="4">
        <v>43091</v>
      </c>
      <c r="B1027" s="6">
        <v>1</v>
      </c>
      <c r="C1027">
        <v>30312295</v>
      </c>
      <c r="D1027">
        <v>38399.644028933697</v>
      </c>
      <c r="E1027">
        <v>0</v>
      </c>
      <c r="F1027">
        <v>43899.610604711699</v>
      </c>
      <c r="G1027">
        <v>0</v>
      </c>
    </row>
    <row r="1028" spans="1:7" x14ac:dyDescent="0.3">
      <c r="A1028" s="4">
        <v>43090</v>
      </c>
      <c r="B1028" s="6">
        <v>1</v>
      </c>
      <c r="C1028">
        <v>29386938</v>
      </c>
      <c r="D1028">
        <v>36771.823266639098</v>
      </c>
      <c r="E1028">
        <v>0</v>
      </c>
      <c r="F1028">
        <v>42264.278447975201</v>
      </c>
      <c r="G1028">
        <v>0</v>
      </c>
    </row>
    <row r="1029" spans="1:7" x14ac:dyDescent="0.3">
      <c r="A1029" s="4">
        <v>43089</v>
      </c>
      <c r="B1029" s="6">
        <v>1</v>
      </c>
      <c r="C1029">
        <v>24685057</v>
      </c>
      <c r="D1029">
        <v>30381.608615384601</v>
      </c>
      <c r="E1029">
        <v>0</v>
      </c>
      <c r="F1029">
        <v>36992.869055007002</v>
      </c>
      <c r="G1029">
        <v>0</v>
      </c>
    </row>
    <row r="1030" spans="1:7" x14ac:dyDescent="0.3">
      <c r="A1030" s="4">
        <v>43088</v>
      </c>
      <c r="B1030" s="6">
        <v>1</v>
      </c>
      <c r="C1030">
        <v>20846431</v>
      </c>
      <c r="D1030">
        <v>26516.441736519999</v>
      </c>
      <c r="E1030">
        <v>0</v>
      </c>
      <c r="F1030">
        <v>29061.5563063956</v>
      </c>
      <c r="G1030">
        <v>0</v>
      </c>
    </row>
    <row r="1031" spans="1:7" x14ac:dyDescent="0.3">
      <c r="A1031" s="4">
        <v>43087</v>
      </c>
      <c r="B1031" s="6">
        <v>1</v>
      </c>
      <c r="C1031">
        <v>15797364</v>
      </c>
      <c r="D1031">
        <v>22010.1765287782</v>
      </c>
      <c r="E1031">
        <v>0</v>
      </c>
      <c r="F1031">
        <v>23992.887603230702</v>
      </c>
      <c r="G1031">
        <v>0</v>
      </c>
    </row>
    <row r="1032" spans="1:7" x14ac:dyDescent="0.3">
      <c r="A1032" s="4">
        <v>43086</v>
      </c>
      <c r="B1032" s="6">
        <v>1</v>
      </c>
      <c r="C1032">
        <v>14600775</v>
      </c>
      <c r="D1032">
        <v>21089.633406517201</v>
      </c>
      <c r="E1032">
        <v>0</v>
      </c>
      <c r="F1032">
        <v>24118.740802703</v>
      </c>
      <c r="G1032">
        <v>0</v>
      </c>
    </row>
    <row r="1033" spans="1:7" x14ac:dyDescent="0.3">
      <c r="A1033" s="4">
        <v>43085</v>
      </c>
      <c r="B1033" s="6">
        <v>1</v>
      </c>
      <c r="C1033">
        <v>13715902</v>
      </c>
      <c r="D1033">
        <v>20049.850165913798</v>
      </c>
      <c r="E1033">
        <v>0</v>
      </c>
      <c r="F1033">
        <v>23342.907397464602</v>
      </c>
      <c r="G1033">
        <v>0</v>
      </c>
    </row>
    <row r="1034" spans="1:7" x14ac:dyDescent="0.3">
      <c r="A1034" s="4">
        <v>43084</v>
      </c>
      <c r="B1034" s="6">
        <v>1</v>
      </c>
      <c r="C1034">
        <v>13219941</v>
      </c>
      <c r="D1034">
        <v>19060.441477551201</v>
      </c>
      <c r="E1034">
        <v>0</v>
      </c>
      <c r="F1034">
        <v>15473.1397150424</v>
      </c>
      <c r="G1034">
        <v>0</v>
      </c>
    </row>
    <row r="1035" spans="1:7" x14ac:dyDescent="0.3">
      <c r="A1035" s="4">
        <v>43083</v>
      </c>
      <c r="B1035" s="6">
        <v>1</v>
      </c>
      <c r="C1035">
        <v>13612594</v>
      </c>
      <c r="D1035">
        <v>19471.876296327999</v>
      </c>
      <c r="E1035">
        <v>0</v>
      </c>
      <c r="F1035">
        <v>15266.389761783599</v>
      </c>
      <c r="G1035">
        <v>0</v>
      </c>
    </row>
    <row r="1036" spans="1:7" x14ac:dyDescent="0.3">
      <c r="A1036" s="4">
        <v>43082</v>
      </c>
      <c r="B1036" s="6">
        <v>1</v>
      </c>
      <c r="C1036">
        <v>13343930</v>
      </c>
      <c r="D1036">
        <v>20325.245232437701</v>
      </c>
      <c r="E1036">
        <v>0</v>
      </c>
      <c r="F1036">
        <v>16291.995902124299</v>
      </c>
      <c r="G1036">
        <v>0</v>
      </c>
    </row>
    <row r="1037" spans="1:7" x14ac:dyDescent="0.3">
      <c r="A1037" s="4">
        <v>43081</v>
      </c>
      <c r="B1037" s="6">
        <v>1</v>
      </c>
      <c r="C1037">
        <v>11630174</v>
      </c>
      <c r="D1037">
        <v>22655.0062334424</v>
      </c>
      <c r="E1037">
        <v>0</v>
      </c>
      <c r="F1037">
        <v>16627.587760585899</v>
      </c>
      <c r="G1037">
        <v>0</v>
      </c>
    </row>
    <row r="1038" spans="1:7" x14ac:dyDescent="0.3">
      <c r="A1038" s="4">
        <v>43080</v>
      </c>
      <c r="B1038" s="6">
        <v>1</v>
      </c>
      <c r="C1038">
        <v>10339780</v>
      </c>
      <c r="D1038">
        <v>23685.756173546499</v>
      </c>
      <c r="E1038">
        <v>0</v>
      </c>
      <c r="F1038">
        <v>15928.0226321887</v>
      </c>
      <c r="G1038">
        <v>0</v>
      </c>
    </row>
    <row r="1039" spans="1:7" x14ac:dyDescent="0.3">
      <c r="A1039" s="4">
        <v>43079</v>
      </c>
      <c r="B1039" s="6">
        <v>1</v>
      </c>
      <c r="C1039">
        <v>11046204</v>
      </c>
      <c r="D1039">
        <v>23387.614067032198</v>
      </c>
      <c r="E1039">
        <v>0</v>
      </c>
      <c r="F1039">
        <v>17329.074153604899</v>
      </c>
      <c r="G1039">
        <v>0</v>
      </c>
    </row>
    <row r="1040" spans="1:7" x14ac:dyDescent="0.3">
      <c r="A1040" s="4">
        <v>43078</v>
      </c>
      <c r="B1040" s="6">
        <v>1</v>
      </c>
      <c r="C1040">
        <v>10571618</v>
      </c>
      <c r="D1040">
        <v>23399.924742131101</v>
      </c>
      <c r="E1040">
        <v>0</v>
      </c>
      <c r="F1040">
        <v>17287.439206265601</v>
      </c>
      <c r="G1040">
        <v>0</v>
      </c>
    </row>
    <row r="1041" spans="1:7" x14ac:dyDescent="0.3">
      <c r="A1041" s="4">
        <v>43077</v>
      </c>
      <c r="B1041" s="6">
        <v>1</v>
      </c>
      <c r="C1041">
        <v>10195547</v>
      </c>
      <c r="D1041">
        <v>24231.264854073499</v>
      </c>
      <c r="E1041">
        <v>0</v>
      </c>
      <c r="F1041">
        <v>15046.9181404635</v>
      </c>
      <c r="G1041">
        <v>0</v>
      </c>
    </row>
    <row r="1042" spans="1:7" x14ac:dyDescent="0.3">
      <c r="A1042" s="4">
        <v>43076</v>
      </c>
      <c r="B1042" s="6">
        <v>1</v>
      </c>
      <c r="C1042">
        <v>10984395</v>
      </c>
      <c r="D1042">
        <v>26005.338668055501</v>
      </c>
      <c r="E1042">
        <v>0</v>
      </c>
      <c r="F1042">
        <v>14556.764998173199</v>
      </c>
      <c r="G1042">
        <v>0</v>
      </c>
    </row>
    <row r="1043" spans="1:7" x14ac:dyDescent="0.3">
      <c r="A1043" s="4">
        <v>43075</v>
      </c>
      <c r="B1043" s="6">
        <v>1</v>
      </c>
      <c r="C1043">
        <v>11582730</v>
      </c>
      <c r="D1043">
        <v>25514.869151466999</v>
      </c>
      <c r="E1043">
        <v>0</v>
      </c>
      <c r="F1043">
        <v>14339.358585628999</v>
      </c>
      <c r="G1043">
        <v>0</v>
      </c>
    </row>
    <row r="1044" spans="1:7" x14ac:dyDescent="0.3">
      <c r="A1044" s="4">
        <v>43074</v>
      </c>
      <c r="B1044" s="6">
        <v>1</v>
      </c>
      <c r="C1044">
        <v>9739269</v>
      </c>
      <c r="D1044">
        <v>20858.092219390401</v>
      </c>
      <c r="E1044">
        <v>0</v>
      </c>
      <c r="F1044">
        <v>14175.115749397</v>
      </c>
      <c r="G1044">
        <v>0</v>
      </c>
    </row>
    <row r="1045" spans="1:7" x14ac:dyDescent="0.3">
      <c r="A1045" s="4">
        <v>43073</v>
      </c>
      <c r="B1045" s="6">
        <v>1</v>
      </c>
      <c r="C1045">
        <v>9276538</v>
      </c>
      <c r="D1045">
        <v>20039.181716063202</v>
      </c>
      <c r="E1045">
        <v>0</v>
      </c>
      <c r="F1045">
        <v>14960.6214334412</v>
      </c>
      <c r="G1045">
        <v>0</v>
      </c>
    </row>
    <row r="1046" spans="1:7" x14ac:dyDescent="0.3">
      <c r="A1046" s="4">
        <v>43072</v>
      </c>
      <c r="B1046" s="6">
        <v>1</v>
      </c>
      <c r="C1046">
        <v>8998308</v>
      </c>
      <c r="D1046">
        <v>19648.676740326599</v>
      </c>
      <c r="E1046">
        <v>0</v>
      </c>
      <c r="F1046">
        <v>15749.499941751799</v>
      </c>
      <c r="G1046">
        <v>0</v>
      </c>
    </row>
    <row r="1047" spans="1:7" x14ac:dyDescent="0.3">
      <c r="A1047" s="4">
        <v>43071</v>
      </c>
      <c r="B1047" s="6">
        <v>1</v>
      </c>
      <c r="C1047">
        <v>9168312</v>
      </c>
      <c r="D1047">
        <v>19862.8883400493</v>
      </c>
      <c r="E1047">
        <v>0</v>
      </c>
      <c r="F1047">
        <v>17061.964784791999</v>
      </c>
      <c r="G1047">
        <v>0</v>
      </c>
    </row>
    <row r="1048" spans="1:7" x14ac:dyDescent="0.3">
      <c r="A1048" s="4">
        <v>43070</v>
      </c>
      <c r="B1048" s="6">
        <v>1</v>
      </c>
      <c r="C1048">
        <v>8845547</v>
      </c>
      <c r="D1048">
        <v>20320.109806804299</v>
      </c>
      <c r="E1048">
        <v>0</v>
      </c>
      <c r="F1048">
        <v>17549.8006423144</v>
      </c>
      <c r="G1048">
        <v>0</v>
      </c>
    </row>
    <row r="1049" spans="1:7" x14ac:dyDescent="0.3">
      <c r="A1049" s="4">
        <v>43069</v>
      </c>
      <c r="B1049" s="6">
        <v>1</v>
      </c>
      <c r="C1049">
        <v>8697058</v>
      </c>
      <c r="D1049">
        <v>20353.5174350573</v>
      </c>
      <c r="E1049">
        <v>0</v>
      </c>
      <c r="F1049">
        <v>17818.0983215042</v>
      </c>
      <c r="G1049">
        <v>0</v>
      </c>
    </row>
    <row r="1050" spans="1:7" x14ac:dyDescent="0.3">
      <c r="A1050" s="4">
        <v>43068</v>
      </c>
      <c r="B1050" s="6">
        <v>1</v>
      </c>
      <c r="C1050">
        <v>8824505</v>
      </c>
      <c r="D1050">
        <v>18926.958218943</v>
      </c>
      <c r="E1050">
        <v>0</v>
      </c>
      <c r="F1050">
        <v>18011.6674151894</v>
      </c>
      <c r="G1050">
        <v>0</v>
      </c>
    </row>
    <row r="1051" spans="1:7" x14ac:dyDescent="0.3">
      <c r="A1051" s="4">
        <v>43067</v>
      </c>
      <c r="B1051" s="6">
        <v>1</v>
      </c>
      <c r="C1051">
        <v>8832017</v>
      </c>
      <c r="D1051">
        <v>18585.8943602693</v>
      </c>
      <c r="E1051">
        <v>0</v>
      </c>
      <c r="F1051">
        <v>18525.986566539701</v>
      </c>
      <c r="G1051">
        <v>0</v>
      </c>
    </row>
    <row r="1052" spans="1:7" x14ac:dyDescent="0.3">
      <c r="A1052" s="4">
        <v>43066</v>
      </c>
      <c r="B1052" s="6">
        <v>1</v>
      </c>
      <c r="C1052">
        <v>8939618</v>
      </c>
      <c r="D1052">
        <v>19002.270166861501</v>
      </c>
      <c r="E1052">
        <v>0</v>
      </c>
      <c r="F1052">
        <v>18973.699075151399</v>
      </c>
      <c r="G1052">
        <v>0</v>
      </c>
    </row>
    <row r="1053" spans="1:7" x14ac:dyDescent="0.3">
      <c r="A1053" s="4">
        <v>43065</v>
      </c>
      <c r="B1053" s="6">
        <v>1</v>
      </c>
      <c r="C1053">
        <v>8758371</v>
      </c>
      <c r="D1053">
        <v>18853.451727478201</v>
      </c>
      <c r="E1053">
        <v>0</v>
      </c>
      <c r="F1053">
        <v>18801.635724512002</v>
      </c>
      <c r="G1053">
        <v>0</v>
      </c>
    </row>
    <row r="1054" spans="1:7" x14ac:dyDescent="0.3">
      <c r="A1054" s="4">
        <v>43064</v>
      </c>
      <c r="B1054" s="6">
        <v>1</v>
      </c>
      <c r="C1054">
        <v>8983722</v>
      </c>
      <c r="D1054">
        <v>19098.048469387701</v>
      </c>
      <c r="E1054">
        <v>0</v>
      </c>
      <c r="F1054">
        <v>15445.1746701228</v>
      </c>
      <c r="G1054">
        <v>0</v>
      </c>
    </row>
    <row r="1055" spans="1:7" x14ac:dyDescent="0.3">
      <c r="A1055" s="4">
        <v>43063</v>
      </c>
      <c r="B1055" s="6">
        <v>1</v>
      </c>
      <c r="C1055">
        <v>8023171</v>
      </c>
      <c r="D1055">
        <v>19736.712503997402</v>
      </c>
      <c r="E1055">
        <v>0</v>
      </c>
      <c r="F1055">
        <v>14592.665657178901</v>
      </c>
      <c r="G1055">
        <v>0</v>
      </c>
    </row>
    <row r="1056" spans="1:7" x14ac:dyDescent="0.3">
      <c r="A1056" s="4">
        <v>43062</v>
      </c>
      <c r="B1056" s="6">
        <v>1</v>
      </c>
      <c r="C1056">
        <v>7817731</v>
      </c>
      <c r="D1056">
        <v>20528.138539505799</v>
      </c>
      <c r="E1056">
        <v>0</v>
      </c>
      <c r="F1056">
        <v>14441.5517496259</v>
      </c>
      <c r="G1056">
        <v>0</v>
      </c>
    </row>
    <row r="1057" spans="1:7" x14ac:dyDescent="0.3">
      <c r="A1057" s="4">
        <v>43061</v>
      </c>
      <c r="B1057" s="6">
        <v>1</v>
      </c>
      <c r="C1057">
        <v>7127275</v>
      </c>
      <c r="D1057">
        <v>19769.430267391501</v>
      </c>
      <c r="E1057">
        <v>0</v>
      </c>
      <c r="F1057">
        <v>14567.2702737901</v>
      </c>
      <c r="G1057">
        <v>0</v>
      </c>
    </row>
    <row r="1058" spans="1:7" x14ac:dyDescent="0.3">
      <c r="A1058" s="4">
        <v>43060</v>
      </c>
      <c r="B1058" s="6">
        <v>1</v>
      </c>
      <c r="C1058">
        <v>7304792</v>
      </c>
      <c r="D1058">
        <v>19865.6332435886</v>
      </c>
      <c r="E1058">
        <v>0</v>
      </c>
      <c r="F1058">
        <v>15096.315622095801</v>
      </c>
      <c r="G1058">
        <v>0</v>
      </c>
    </row>
    <row r="1059" spans="1:7" x14ac:dyDescent="0.3">
      <c r="A1059" s="4">
        <v>43059</v>
      </c>
      <c r="B1059" s="6">
        <v>1</v>
      </c>
      <c r="C1059">
        <v>7178571</v>
      </c>
      <c r="D1059">
        <v>20240.141540023102</v>
      </c>
      <c r="E1059">
        <v>0</v>
      </c>
      <c r="F1059">
        <v>15276.9313086518</v>
      </c>
      <c r="G1059">
        <v>0</v>
      </c>
    </row>
    <row r="1060" spans="1:7" x14ac:dyDescent="0.3">
      <c r="A1060" s="4">
        <v>43058</v>
      </c>
      <c r="B1060" s="6">
        <v>1</v>
      </c>
      <c r="C1060">
        <v>7163984</v>
      </c>
      <c r="D1060">
        <v>20666.332035193998</v>
      </c>
      <c r="E1060">
        <v>0</v>
      </c>
      <c r="F1060">
        <v>15422.084340621501</v>
      </c>
      <c r="G1060">
        <v>0</v>
      </c>
    </row>
    <row r="1061" spans="1:7" x14ac:dyDescent="0.3">
      <c r="A1061" s="4">
        <v>43057</v>
      </c>
      <c r="B1061" s="6">
        <v>1</v>
      </c>
      <c r="C1061">
        <v>6848192</v>
      </c>
      <c r="D1061">
        <v>20644.495357530399</v>
      </c>
      <c r="E1061">
        <v>0</v>
      </c>
      <c r="F1061">
        <v>15616.010865520901</v>
      </c>
      <c r="G1061">
        <v>0</v>
      </c>
    </row>
    <row r="1062" spans="1:7" x14ac:dyDescent="0.3">
      <c r="A1062" s="4">
        <v>43056</v>
      </c>
      <c r="B1062" s="6">
        <v>1</v>
      </c>
      <c r="C1062">
        <v>6908299</v>
      </c>
      <c r="D1062">
        <v>20913.959191087401</v>
      </c>
      <c r="E1062">
        <v>0</v>
      </c>
      <c r="F1062">
        <v>16011.902578454001</v>
      </c>
      <c r="G1062">
        <v>0</v>
      </c>
    </row>
    <row r="1063" spans="1:7" x14ac:dyDescent="0.3">
      <c r="A1063" s="4">
        <v>43055</v>
      </c>
      <c r="B1063" s="6">
        <v>1</v>
      </c>
      <c r="C1063">
        <v>1706140</v>
      </c>
      <c r="D1063">
        <v>5151.3888888888796</v>
      </c>
      <c r="E1063">
        <v>0</v>
      </c>
      <c r="F1063">
        <v>16147.140219254299</v>
      </c>
      <c r="G1063">
        <v>0</v>
      </c>
    </row>
    <row r="1064" spans="1:7" x14ac:dyDescent="0.3">
      <c r="A1064" s="4">
        <v>43054</v>
      </c>
      <c r="B1064" s="6">
        <v>1</v>
      </c>
      <c r="C1064">
        <v>1871145</v>
      </c>
      <c r="D1064">
        <v>5590.1798518164396</v>
      </c>
      <c r="E1064">
        <v>0</v>
      </c>
      <c r="F1064">
        <v>16262.751572258199</v>
      </c>
      <c r="G1064">
        <v>0</v>
      </c>
    </row>
    <row r="1065" spans="1:7" x14ac:dyDescent="0.3">
      <c r="A1065" s="4">
        <v>43053</v>
      </c>
      <c r="B1065" s="6">
        <v>1</v>
      </c>
      <c r="C1065">
        <v>1917241</v>
      </c>
      <c r="D1065">
        <v>6094.2180546725904</v>
      </c>
      <c r="E1065">
        <v>0</v>
      </c>
      <c r="F1065">
        <v>17061.9791322085</v>
      </c>
      <c r="G1065">
        <v>0</v>
      </c>
    </row>
    <row r="1066" spans="1:7" x14ac:dyDescent="0.3">
      <c r="A1066" s="4">
        <v>43052</v>
      </c>
      <c r="B1066" s="6">
        <v>1</v>
      </c>
      <c r="C1066">
        <v>1550713</v>
      </c>
      <c r="D1066">
        <v>5067.3583425919796</v>
      </c>
      <c r="E1066">
        <v>0</v>
      </c>
      <c r="F1066">
        <v>18054.879850086101</v>
      </c>
      <c r="G1066">
        <v>0</v>
      </c>
    </row>
    <row r="1067" spans="1:7" x14ac:dyDescent="0.3">
      <c r="A1067" s="4">
        <v>43051</v>
      </c>
      <c r="B1067" s="6">
        <v>1</v>
      </c>
      <c r="C1067">
        <v>1727079</v>
      </c>
      <c r="D1067">
        <v>5496.2256945549398</v>
      </c>
      <c r="E1067">
        <v>0</v>
      </c>
      <c r="F1067">
        <v>17233.752956175402</v>
      </c>
      <c r="G1067">
        <v>0</v>
      </c>
    </row>
    <row r="1068" spans="1:7" x14ac:dyDescent="0.3">
      <c r="A1068" s="4">
        <v>43050</v>
      </c>
      <c r="B1068" s="6">
        <v>1</v>
      </c>
      <c r="C1068">
        <v>2312229</v>
      </c>
      <c r="D1068">
        <v>7788.9543892743995</v>
      </c>
      <c r="E1068">
        <v>0</v>
      </c>
      <c r="F1068">
        <v>17297.345863845501</v>
      </c>
      <c r="G1068">
        <v>0</v>
      </c>
    </row>
    <row r="1069" spans="1:7" x14ac:dyDescent="0.3">
      <c r="A1069" s="4">
        <v>43049</v>
      </c>
      <c r="B1069" s="6">
        <v>1</v>
      </c>
      <c r="C1069">
        <v>2819162</v>
      </c>
      <c r="D1069">
        <v>8818.9758188131509</v>
      </c>
      <c r="E1069">
        <v>0</v>
      </c>
      <c r="F1069">
        <v>17539.349911275</v>
      </c>
      <c r="G1069">
        <v>0</v>
      </c>
    </row>
    <row r="1070" spans="1:7" x14ac:dyDescent="0.3">
      <c r="A1070" s="4">
        <v>43048</v>
      </c>
      <c r="B1070" s="6">
        <v>1</v>
      </c>
      <c r="C1070">
        <v>2452697</v>
      </c>
      <c r="D1070">
        <v>7980.1431592646804</v>
      </c>
      <c r="E1070">
        <v>0</v>
      </c>
      <c r="F1070">
        <v>17879.3000581458</v>
      </c>
      <c r="G1070">
        <v>0</v>
      </c>
    </row>
    <row r="1071" spans="1:7" x14ac:dyDescent="0.3">
      <c r="A1071" s="4">
        <v>43047</v>
      </c>
      <c r="B1071" s="6">
        <v>1</v>
      </c>
      <c r="C1071">
        <v>2604644</v>
      </c>
      <c r="D1071">
        <v>8924.9040570175403</v>
      </c>
      <c r="E1071">
        <v>0</v>
      </c>
      <c r="F1071">
        <v>17926.808946559599</v>
      </c>
      <c r="G1071">
        <v>0</v>
      </c>
    </row>
    <row r="1072" spans="1:7" x14ac:dyDescent="0.3">
      <c r="A1072" s="4">
        <v>43046</v>
      </c>
      <c r="B1072" s="6">
        <v>1</v>
      </c>
      <c r="C1072">
        <v>2369142</v>
      </c>
      <c r="D1072">
        <v>7981.7465130381997</v>
      </c>
      <c r="E1072">
        <v>0</v>
      </c>
      <c r="F1072">
        <v>18120.483277543099</v>
      </c>
      <c r="G1072">
        <v>0</v>
      </c>
    </row>
    <row r="1073" spans="1:7" x14ac:dyDescent="0.3">
      <c r="A1073" s="4">
        <v>43045</v>
      </c>
      <c r="B1073" s="6">
        <v>1</v>
      </c>
      <c r="C1073">
        <v>2278501</v>
      </c>
      <c r="D1073">
        <v>7691.9215447977804</v>
      </c>
      <c r="E1073">
        <v>0</v>
      </c>
      <c r="F1073">
        <v>2090.9546807073998</v>
      </c>
      <c r="G1073">
        <v>0</v>
      </c>
    </row>
    <row r="1074" spans="1:7" x14ac:dyDescent="0.3">
      <c r="A1074" s="4">
        <v>43044</v>
      </c>
      <c r="B1074" s="6">
        <v>1</v>
      </c>
      <c r="C1074">
        <v>2383687</v>
      </c>
      <c r="D1074">
        <v>7945.6233333333303</v>
      </c>
      <c r="E1074">
        <v>0</v>
      </c>
      <c r="F1074">
        <v>2439.6883615185998</v>
      </c>
      <c r="G1074">
        <v>0</v>
      </c>
    </row>
    <row r="1075" spans="1:7" x14ac:dyDescent="0.3">
      <c r="A1075" s="4">
        <v>43043</v>
      </c>
      <c r="B1075" s="6">
        <v>1</v>
      </c>
      <c r="C1075">
        <v>2250921</v>
      </c>
      <c r="D1075">
        <v>7391.9444353223198</v>
      </c>
      <c r="E1075">
        <v>0</v>
      </c>
      <c r="F1075">
        <v>3011.7542739757</v>
      </c>
      <c r="G1075">
        <v>0</v>
      </c>
    </row>
    <row r="1076" spans="1:7" x14ac:dyDescent="0.3">
      <c r="A1076" s="4">
        <v>43042</v>
      </c>
      <c r="B1076" s="6">
        <v>1</v>
      </c>
      <c r="C1076">
        <v>2182976</v>
      </c>
      <c r="D1076">
        <v>7661.7155692826</v>
      </c>
      <c r="E1076">
        <v>0</v>
      </c>
      <c r="F1076">
        <v>1903.9310929306</v>
      </c>
      <c r="G1076">
        <v>0</v>
      </c>
    </row>
    <row r="1077" spans="1:7" x14ac:dyDescent="0.3">
      <c r="A1077" s="4">
        <v>43041</v>
      </c>
      <c r="B1077" s="6">
        <v>1</v>
      </c>
      <c r="C1077">
        <v>2498818</v>
      </c>
      <c r="D1077">
        <v>8633.8815562158798</v>
      </c>
      <c r="E1077">
        <v>0</v>
      </c>
      <c r="F1077">
        <v>2453.4342161678001</v>
      </c>
      <c r="G1077">
        <v>0</v>
      </c>
    </row>
    <row r="1078" spans="1:7" x14ac:dyDescent="0.3">
      <c r="A1078" s="4">
        <v>43040</v>
      </c>
      <c r="B1078" s="6">
        <v>1</v>
      </c>
      <c r="C1078">
        <v>2615404</v>
      </c>
      <c r="D1078">
        <v>8613.7865164838695</v>
      </c>
      <c r="E1078">
        <v>0</v>
      </c>
      <c r="F1078">
        <v>4431.3863484572003</v>
      </c>
      <c r="G1078">
        <v>0</v>
      </c>
    </row>
    <row r="1079" spans="1:7" x14ac:dyDescent="0.3">
      <c r="A1079" s="4">
        <v>43039</v>
      </c>
      <c r="B1079" s="6">
        <v>1</v>
      </c>
      <c r="C1079">
        <v>2660420</v>
      </c>
      <c r="D1079">
        <v>8671.5123859191608</v>
      </c>
      <c r="E1079">
        <v>0</v>
      </c>
      <c r="F1079">
        <v>5068.9176390884004</v>
      </c>
      <c r="G1079">
        <v>0</v>
      </c>
    </row>
    <row r="1080" spans="1:7" x14ac:dyDescent="0.3">
      <c r="A1080" s="4">
        <v>43038</v>
      </c>
      <c r="B1080" s="6">
        <v>1</v>
      </c>
      <c r="C1080">
        <v>2620378</v>
      </c>
      <c r="D1080">
        <v>8618.5304565188708</v>
      </c>
      <c r="E1080">
        <v>0</v>
      </c>
      <c r="F1080">
        <v>4294.5534799019997</v>
      </c>
      <c r="G1080">
        <v>0</v>
      </c>
    </row>
    <row r="1081" spans="1:7" x14ac:dyDescent="0.3">
      <c r="A1081" s="4">
        <v>43037</v>
      </c>
      <c r="B1081" s="6">
        <v>1</v>
      </c>
      <c r="C1081">
        <v>2599813</v>
      </c>
      <c r="D1081">
        <v>8863.0995806770497</v>
      </c>
      <c r="E1081">
        <v>0</v>
      </c>
      <c r="F1081">
        <v>4579.8833562700001</v>
      </c>
      <c r="G1081">
        <v>0</v>
      </c>
    </row>
    <row r="1082" spans="1:7" x14ac:dyDescent="0.3">
      <c r="A1082" s="4">
        <v>43036</v>
      </c>
      <c r="B1082" s="6">
        <v>1</v>
      </c>
      <c r="C1082">
        <v>2586193</v>
      </c>
      <c r="D1082">
        <v>8726.2307251071197</v>
      </c>
      <c r="E1082">
        <v>0</v>
      </c>
      <c r="F1082">
        <v>4198.6606567510999</v>
      </c>
      <c r="G1082">
        <v>0</v>
      </c>
    </row>
    <row r="1083" spans="1:7" x14ac:dyDescent="0.3">
      <c r="A1083" s="4">
        <v>43035</v>
      </c>
      <c r="B1083" s="6">
        <v>1</v>
      </c>
      <c r="C1083">
        <v>2495857</v>
      </c>
      <c r="D1083">
        <v>8445.0734249171001</v>
      </c>
      <c r="E1083">
        <v>0</v>
      </c>
      <c r="F1083">
        <v>4526.3886512248</v>
      </c>
      <c r="G1083">
        <v>0</v>
      </c>
    </row>
    <row r="1084" spans="1:7" x14ac:dyDescent="0.3">
      <c r="A1084" s="4">
        <v>43034</v>
      </c>
      <c r="B1084" s="6">
        <v>1</v>
      </c>
      <c r="C1084">
        <v>3077011</v>
      </c>
      <c r="D1084">
        <v>10383.0302007761</v>
      </c>
      <c r="E1084">
        <v>0</v>
      </c>
      <c r="F1084">
        <v>4820.2574675028</v>
      </c>
      <c r="G1084">
        <v>0</v>
      </c>
    </row>
    <row r="1085" spans="1:7" x14ac:dyDescent="0.3">
      <c r="A1085" s="4">
        <v>43033</v>
      </c>
      <c r="B1085" s="6">
        <v>1</v>
      </c>
      <c r="C1085">
        <v>3130369</v>
      </c>
      <c r="D1085">
        <v>10557.736930859999</v>
      </c>
      <c r="E1085">
        <v>0</v>
      </c>
      <c r="F1085">
        <v>4491.2416019363</v>
      </c>
      <c r="G1085">
        <v>0</v>
      </c>
    </row>
    <row r="1086" spans="1:7" x14ac:dyDescent="0.3">
      <c r="A1086" s="4">
        <v>43032</v>
      </c>
      <c r="B1086" s="6">
        <v>1</v>
      </c>
      <c r="C1086">
        <v>2976913</v>
      </c>
      <c r="D1086">
        <v>10435.422582115099</v>
      </c>
      <c r="E1086">
        <v>0</v>
      </c>
      <c r="F1086">
        <v>4829.7234437827001</v>
      </c>
      <c r="G1086">
        <v>0</v>
      </c>
    </row>
    <row r="1087" spans="1:7" x14ac:dyDescent="0.3">
      <c r="A1087" s="4">
        <v>43031</v>
      </c>
      <c r="B1087" s="6">
        <v>1</v>
      </c>
      <c r="C1087">
        <v>3167783</v>
      </c>
      <c r="D1087">
        <v>10773.6727544808</v>
      </c>
      <c r="E1087">
        <v>0</v>
      </c>
      <c r="F1087">
        <v>5467.8086572541997</v>
      </c>
      <c r="G1087">
        <v>0</v>
      </c>
    </row>
    <row r="1088" spans="1:7" x14ac:dyDescent="0.3">
      <c r="A1088" s="4">
        <v>43030</v>
      </c>
      <c r="B1088" s="6">
        <v>1</v>
      </c>
      <c r="C1088">
        <v>3372824</v>
      </c>
      <c r="D1088">
        <v>11259.636120847899</v>
      </c>
      <c r="E1088">
        <v>0</v>
      </c>
      <c r="F1088">
        <v>5679.3498688250002</v>
      </c>
      <c r="G1088">
        <v>0</v>
      </c>
    </row>
    <row r="1089" spans="1:7" x14ac:dyDescent="0.3">
      <c r="A1089" s="4">
        <v>43029</v>
      </c>
      <c r="B1089" s="6">
        <v>1</v>
      </c>
      <c r="C1089">
        <v>3614010</v>
      </c>
      <c r="D1089">
        <v>11924.277418503299</v>
      </c>
      <c r="E1089">
        <v>0</v>
      </c>
      <c r="F1089">
        <v>5697.8991620835995</v>
      </c>
      <c r="G1089">
        <v>0</v>
      </c>
    </row>
    <row r="1090" spans="1:7" x14ac:dyDescent="0.3">
      <c r="A1090" s="4">
        <v>43028</v>
      </c>
      <c r="B1090" s="6">
        <v>1</v>
      </c>
      <c r="C1090">
        <v>3727645</v>
      </c>
      <c r="D1090">
        <v>12125.971829153201</v>
      </c>
      <c r="E1090">
        <v>0</v>
      </c>
      <c r="F1090">
        <v>5770.8367780006001</v>
      </c>
      <c r="G1090">
        <v>0</v>
      </c>
    </row>
    <row r="1091" spans="1:7" x14ac:dyDescent="0.3">
      <c r="A1091" s="4">
        <v>43027</v>
      </c>
      <c r="B1091" s="6">
        <v>1</v>
      </c>
      <c r="C1091">
        <v>3765240</v>
      </c>
      <c r="D1091">
        <v>12008.802704599</v>
      </c>
      <c r="E1091">
        <v>0</v>
      </c>
      <c r="F1091">
        <v>5826.8443165637</v>
      </c>
      <c r="G1091">
        <v>0</v>
      </c>
    </row>
    <row r="1092" spans="1:7" x14ac:dyDescent="0.3">
      <c r="A1092" s="4">
        <v>43026</v>
      </c>
      <c r="B1092" s="6">
        <v>1</v>
      </c>
      <c r="C1092">
        <v>4105398</v>
      </c>
      <c r="D1092">
        <v>12986.012526095999</v>
      </c>
      <c r="E1092">
        <v>0</v>
      </c>
      <c r="F1092">
        <v>5904.9665554134999</v>
      </c>
      <c r="G1092">
        <v>0</v>
      </c>
    </row>
    <row r="1093" spans="1:7" x14ac:dyDescent="0.3">
      <c r="A1093" s="4">
        <v>43025</v>
      </c>
      <c r="B1093" s="6">
        <v>1</v>
      </c>
      <c r="C1093">
        <v>4392076</v>
      </c>
      <c r="D1093">
        <v>13140.879035394701</v>
      </c>
      <c r="E1093">
        <v>0</v>
      </c>
      <c r="F1093">
        <v>5705.7619179372996</v>
      </c>
      <c r="G1093">
        <v>0</v>
      </c>
    </row>
    <row r="1094" spans="1:7" x14ac:dyDescent="0.3">
      <c r="A1094" s="4">
        <v>43024</v>
      </c>
      <c r="B1094" s="6">
        <v>1</v>
      </c>
      <c r="C1094">
        <v>4538303</v>
      </c>
      <c r="D1094">
        <v>13483.578941113499</v>
      </c>
      <c r="E1094">
        <v>0</v>
      </c>
      <c r="F1094">
        <v>7327.6929955783999</v>
      </c>
      <c r="G1094">
        <v>0</v>
      </c>
    </row>
    <row r="1095" spans="1:7" x14ac:dyDescent="0.3">
      <c r="A1095" s="4">
        <v>43023</v>
      </c>
      <c r="B1095" s="6">
        <v>1</v>
      </c>
      <c r="C1095">
        <v>1348483</v>
      </c>
      <c r="D1095">
        <v>3980.0566689294801</v>
      </c>
      <c r="E1095">
        <v>0</v>
      </c>
      <c r="F1095">
        <v>7511.0467641228997</v>
      </c>
      <c r="G1095">
        <v>0</v>
      </c>
    </row>
    <row r="1096" spans="1:7" x14ac:dyDescent="0.3">
      <c r="A1096" s="4">
        <v>43022</v>
      </c>
      <c r="B1096" s="6">
        <v>1</v>
      </c>
      <c r="C1096">
        <v>1803655</v>
      </c>
      <c r="D1096">
        <v>5354.7932191313103</v>
      </c>
      <c r="E1096">
        <v>0</v>
      </c>
      <c r="F1096">
        <v>7801.5523412761004</v>
      </c>
      <c r="G1096">
        <v>0</v>
      </c>
    </row>
    <row r="1097" spans="1:7" x14ac:dyDescent="0.3">
      <c r="A1097" s="4">
        <v>43021</v>
      </c>
      <c r="B1097" s="6">
        <v>1</v>
      </c>
      <c r="C1097">
        <v>2184832</v>
      </c>
      <c r="D1097">
        <v>7213.2853511175599</v>
      </c>
      <c r="E1097">
        <v>0</v>
      </c>
      <c r="F1097">
        <v>7871.5683300508999</v>
      </c>
      <c r="G1097">
        <v>0</v>
      </c>
    </row>
    <row r="1098" spans="1:7" x14ac:dyDescent="0.3">
      <c r="A1098" s="4">
        <v>43020</v>
      </c>
      <c r="B1098" s="6">
        <v>1</v>
      </c>
      <c r="C1098">
        <v>2368811</v>
      </c>
      <c r="D1098">
        <v>7821.4719672455903</v>
      </c>
      <c r="E1098">
        <v>0</v>
      </c>
      <c r="F1098">
        <v>8313.2228821489007</v>
      </c>
      <c r="G1098">
        <v>0</v>
      </c>
    </row>
    <row r="1099" spans="1:7" x14ac:dyDescent="0.3">
      <c r="A1099" s="4">
        <v>43019</v>
      </c>
      <c r="B1099" s="6">
        <v>1</v>
      </c>
      <c r="C1099">
        <v>1779275</v>
      </c>
      <c r="D1099">
        <v>5961.5191315419097</v>
      </c>
      <c r="E1099">
        <v>0</v>
      </c>
      <c r="F1099">
        <v>8930.6094845644002</v>
      </c>
      <c r="G1099">
        <v>0</v>
      </c>
    </row>
    <row r="1100" spans="1:7" x14ac:dyDescent="0.3">
      <c r="A1100" s="4">
        <v>43018</v>
      </c>
      <c r="B1100" s="6">
        <v>1</v>
      </c>
      <c r="C1100">
        <v>1157661</v>
      </c>
      <c r="D1100">
        <v>3898.5047987876701</v>
      </c>
      <c r="E1100">
        <v>0</v>
      </c>
      <c r="F1100">
        <v>8868.5349436080996</v>
      </c>
      <c r="G1100">
        <v>0</v>
      </c>
    </row>
    <row r="1101" spans="1:7" x14ac:dyDescent="0.3">
      <c r="A1101" s="4">
        <v>43017</v>
      </c>
      <c r="B1101" s="6">
        <v>1</v>
      </c>
      <c r="C1101">
        <v>1230356</v>
      </c>
      <c r="D1101">
        <v>3975.4305470289801</v>
      </c>
      <c r="E1101">
        <v>0</v>
      </c>
      <c r="F1101">
        <v>8936.3369197247994</v>
      </c>
      <c r="G1101">
        <v>0</v>
      </c>
    </row>
    <row r="1102" spans="1:7" x14ac:dyDescent="0.3">
      <c r="A1102" s="4">
        <v>43016</v>
      </c>
      <c r="B1102" s="6">
        <v>1</v>
      </c>
      <c r="C1102">
        <v>1721351</v>
      </c>
      <c r="D1102">
        <v>5530.2673006489704</v>
      </c>
      <c r="E1102">
        <v>0</v>
      </c>
      <c r="F1102">
        <v>9874.4931015827005</v>
      </c>
      <c r="G1102">
        <v>0</v>
      </c>
    </row>
    <row r="1103" spans="1:7" x14ac:dyDescent="0.3">
      <c r="A1103" s="4">
        <v>43015</v>
      </c>
      <c r="B1103" s="6">
        <v>1</v>
      </c>
      <c r="C1103">
        <v>1529506</v>
      </c>
      <c r="D1103">
        <v>4960.6136282554398</v>
      </c>
      <c r="E1103">
        <v>0</v>
      </c>
      <c r="F1103">
        <v>10082.392800174301</v>
      </c>
      <c r="G1103">
        <v>0</v>
      </c>
    </row>
    <row r="1104" spans="1:7" x14ac:dyDescent="0.3">
      <c r="A1104" s="4">
        <v>43014</v>
      </c>
      <c r="B1104" s="6">
        <v>1</v>
      </c>
      <c r="C1104">
        <v>4227210</v>
      </c>
      <c r="D1104">
        <v>14330.0111868198</v>
      </c>
      <c r="E1104">
        <v>0</v>
      </c>
      <c r="F1104">
        <v>10534.997753714</v>
      </c>
      <c r="G1104">
        <v>0</v>
      </c>
    </row>
    <row r="1105" spans="1:7" x14ac:dyDescent="0.3">
      <c r="A1105" s="4">
        <v>43013</v>
      </c>
      <c r="B1105" s="6">
        <v>1</v>
      </c>
      <c r="C1105">
        <v>4200506</v>
      </c>
      <c r="D1105">
        <v>14401.076522216101</v>
      </c>
      <c r="E1105">
        <v>0</v>
      </c>
      <c r="F1105">
        <v>828.32525234510001</v>
      </c>
      <c r="G1105">
        <v>0</v>
      </c>
    </row>
    <row r="1106" spans="1:7" x14ac:dyDescent="0.3">
      <c r="A1106" s="4">
        <v>43012</v>
      </c>
      <c r="B1106" s="6">
        <v>1</v>
      </c>
      <c r="C1106">
        <v>1266586</v>
      </c>
      <c r="D1106">
        <v>4340.44755148898</v>
      </c>
      <c r="E1106">
        <v>0</v>
      </c>
      <c r="F1106">
        <v>1758.7805448905999</v>
      </c>
      <c r="G1106">
        <v>0</v>
      </c>
    </row>
    <row r="1107" spans="1:7" x14ac:dyDescent="0.3">
      <c r="A1107" s="4">
        <v>43011</v>
      </c>
      <c r="B1107" s="6">
        <v>1</v>
      </c>
      <c r="C1107">
        <v>1340804</v>
      </c>
      <c r="D1107">
        <v>4517.3814898419796</v>
      </c>
      <c r="E1107">
        <v>0</v>
      </c>
      <c r="F1107">
        <v>3144.6807910772</v>
      </c>
      <c r="G1107">
        <v>0</v>
      </c>
    </row>
    <row r="1108" spans="1:7" x14ac:dyDescent="0.3">
      <c r="A1108" s="4">
        <v>43010</v>
      </c>
      <c r="B1108" s="6">
        <v>1</v>
      </c>
      <c r="C1108">
        <v>1406890</v>
      </c>
      <c r="D1108">
        <v>4628.6889291001798</v>
      </c>
      <c r="E1108">
        <v>0</v>
      </c>
      <c r="F1108">
        <v>3528.5791923147999</v>
      </c>
      <c r="G1108">
        <v>0</v>
      </c>
    </row>
    <row r="1109" spans="1:7" x14ac:dyDescent="0.3">
      <c r="A1109" s="4">
        <v>43009</v>
      </c>
      <c r="B1109" s="6">
        <v>1</v>
      </c>
      <c r="C1109">
        <v>2627295</v>
      </c>
      <c r="D1109">
        <v>8677.5274961191608</v>
      </c>
      <c r="E1109">
        <v>0</v>
      </c>
      <c r="F1109">
        <v>4377.1283966830997</v>
      </c>
      <c r="G1109">
        <v>0</v>
      </c>
    </row>
    <row r="1110" spans="1:7" x14ac:dyDescent="0.3">
      <c r="A1110" s="4">
        <v>43008</v>
      </c>
      <c r="B1110" s="6">
        <v>1</v>
      </c>
      <c r="C1110">
        <v>1616384</v>
      </c>
      <c r="D1110">
        <v>5524.5881468316302</v>
      </c>
      <c r="E1110">
        <v>0</v>
      </c>
      <c r="F1110">
        <v>3889.9933540198999</v>
      </c>
      <c r="G1110">
        <v>0</v>
      </c>
    </row>
    <row r="1111" spans="1:7" x14ac:dyDescent="0.3">
      <c r="A1111" s="4">
        <v>43007</v>
      </c>
      <c r="B1111" s="6">
        <v>1</v>
      </c>
      <c r="C1111">
        <v>1406365</v>
      </c>
      <c r="D1111">
        <v>4644.99455031872</v>
      </c>
      <c r="E1111">
        <v>0</v>
      </c>
      <c r="F1111">
        <v>3966.5773870293001</v>
      </c>
      <c r="G1111">
        <v>0</v>
      </c>
    </row>
    <row r="1112" spans="1:7" x14ac:dyDescent="0.3">
      <c r="A1112" s="4">
        <v>43006</v>
      </c>
      <c r="B1112" s="6">
        <v>1</v>
      </c>
      <c r="C1112">
        <v>1230081</v>
      </c>
      <c r="D1112">
        <v>3968.3872632835401</v>
      </c>
      <c r="E1112">
        <v>0</v>
      </c>
      <c r="F1112">
        <v>5528.3932469906003</v>
      </c>
      <c r="G1112">
        <v>0</v>
      </c>
    </row>
    <row r="1113" spans="1:7" x14ac:dyDescent="0.3">
      <c r="A1113" s="4">
        <v>43005</v>
      </c>
      <c r="B1113" s="6">
        <v>1</v>
      </c>
      <c r="C1113">
        <v>1340764</v>
      </c>
      <c r="D1113">
        <v>4645.1080931263796</v>
      </c>
      <c r="E1113">
        <v>0</v>
      </c>
      <c r="F1113">
        <v>4958.7852675483</v>
      </c>
      <c r="G1113">
        <v>0</v>
      </c>
    </row>
    <row r="1114" spans="1:7" x14ac:dyDescent="0.3">
      <c r="A1114" s="4">
        <v>43004</v>
      </c>
      <c r="B1114" s="6">
        <v>1</v>
      </c>
      <c r="C1114">
        <v>1332142</v>
      </c>
      <c r="D1114">
        <v>4517.4200549357301</v>
      </c>
      <c r="E1114">
        <v>0</v>
      </c>
      <c r="F1114">
        <v>10635.8038684084</v>
      </c>
      <c r="G1114">
        <v>0</v>
      </c>
    </row>
    <row r="1115" spans="1:7" x14ac:dyDescent="0.3">
      <c r="A1115" s="4">
        <v>43003</v>
      </c>
      <c r="B1115" s="6">
        <v>1</v>
      </c>
      <c r="C1115">
        <v>1322087</v>
      </c>
      <c r="D1115">
        <v>4678.2979476291503</v>
      </c>
      <c r="E1115">
        <v>0</v>
      </c>
      <c r="F1115">
        <v>10635.8038684084</v>
      </c>
      <c r="G1115">
        <v>0</v>
      </c>
    </row>
    <row r="1116" spans="1:7" x14ac:dyDescent="0.3">
      <c r="A1116" s="4">
        <v>43002</v>
      </c>
      <c r="B1116" s="6">
        <v>1</v>
      </c>
      <c r="C1116">
        <v>1363800</v>
      </c>
      <c r="D1116">
        <v>4766.1983644369802</v>
      </c>
      <c r="E1116">
        <v>0</v>
      </c>
      <c r="F1116">
        <v>843.11055673169994</v>
      </c>
      <c r="G1116">
        <v>0</v>
      </c>
    </row>
    <row r="1117" spans="1:7" x14ac:dyDescent="0.3">
      <c r="A1117" s="4">
        <v>43001</v>
      </c>
      <c r="B1117" s="6">
        <v>1</v>
      </c>
      <c r="C1117">
        <v>1208691</v>
      </c>
      <c r="D1117">
        <v>4596.8319768768497</v>
      </c>
      <c r="E1117">
        <v>0</v>
      </c>
      <c r="F1117">
        <v>4515.5973316240998</v>
      </c>
      <c r="G1117">
        <v>0</v>
      </c>
    </row>
    <row r="1118" spans="1:7" x14ac:dyDescent="0.3">
      <c r="A1118" s="4">
        <v>43000</v>
      </c>
      <c r="B1118" s="6">
        <v>1</v>
      </c>
      <c r="C1118">
        <v>1197336</v>
      </c>
      <c r="D1118">
        <v>4644.9780812352101</v>
      </c>
      <c r="E1118">
        <v>0</v>
      </c>
      <c r="F1118">
        <v>4626.8175166341998</v>
      </c>
      <c r="G1118">
        <v>0</v>
      </c>
    </row>
    <row r="1119" spans="1:7" x14ac:dyDescent="0.3">
      <c r="A1119" s="4">
        <v>42999</v>
      </c>
      <c r="B1119" s="6">
        <v>1</v>
      </c>
      <c r="C1119">
        <v>1375273</v>
      </c>
      <c r="D1119">
        <v>4850.0246861334399</v>
      </c>
      <c r="E1119">
        <v>0</v>
      </c>
      <c r="F1119">
        <v>4000.7779875561</v>
      </c>
      <c r="G1119">
        <v>0</v>
      </c>
    </row>
    <row r="1120" spans="1:7" x14ac:dyDescent="0.3">
      <c r="A1120" s="4">
        <v>42998</v>
      </c>
      <c r="B1120" s="6">
        <v>1</v>
      </c>
      <c r="C1120">
        <v>1346872</v>
      </c>
      <c r="D1120">
        <v>4759.2650176678399</v>
      </c>
      <c r="E1120">
        <v>0</v>
      </c>
      <c r="F1120">
        <v>3649.3426113137002</v>
      </c>
      <c r="G1120">
        <v>0</v>
      </c>
    </row>
    <row r="1121" spans="1:7" x14ac:dyDescent="0.3">
      <c r="A1121" s="4">
        <v>42997</v>
      </c>
      <c r="B1121" s="6">
        <v>1</v>
      </c>
      <c r="C1121">
        <v>1492881</v>
      </c>
      <c r="D1121">
        <v>5017.5814203609698</v>
      </c>
      <c r="E1121">
        <v>0</v>
      </c>
      <c r="F1121">
        <v>4643.1395877754003</v>
      </c>
      <c r="G1121">
        <v>0</v>
      </c>
    </row>
    <row r="1122" spans="1:7" x14ac:dyDescent="0.3">
      <c r="A1122" s="4">
        <v>42996</v>
      </c>
      <c r="B1122" s="6">
        <v>1</v>
      </c>
      <c r="C1122">
        <v>1406269</v>
      </c>
      <c r="D1122">
        <v>5442.2174922600598</v>
      </c>
      <c r="E1122">
        <v>0</v>
      </c>
      <c r="F1122">
        <v>3959.5113870292998</v>
      </c>
      <c r="G1122">
        <v>0</v>
      </c>
    </row>
    <row r="1123" spans="1:7" x14ac:dyDescent="0.3">
      <c r="A1123" s="4">
        <v>42995</v>
      </c>
      <c r="B1123" s="6">
        <v>1</v>
      </c>
      <c r="C1123">
        <v>1299343</v>
      </c>
      <c r="D1123">
        <v>5105.6740932845996</v>
      </c>
      <c r="E1123">
        <v>0</v>
      </c>
      <c r="F1123">
        <v>4643.1395877754003</v>
      </c>
      <c r="G1123">
        <v>0</v>
      </c>
    </row>
    <row r="1124" spans="1:7" x14ac:dyDescent="0.3">
      <c r="A1124" s="4">
        <v>42994</v>
      </c>
      <c r="B1124" s="6">
        <v>1</v>
      </c>
      <c r="C1124">
        <v>1395519</v>
      </c>
      <c r="D1124">
        <v>5376.2722964903496</v>
      </c>
      <c r="E1124">
        <v>0</v>
      </c>
      <c r="F1124">
        <v>4515.5973316240998</v>
      </c>
      <c r="G1124">
        <v>0</v>
      </c>
    </row>
    <row r="1125" spans="1:7" x14ac:dyDescent="0.3">
      <c r="A1125" s="4">
        <v>42993</v>
      </c>
      <c r="B1125" s="6">
        <v>1</v>
      </c>
      <c r="C1125">
        <v>1322049</v>
      </c>
      <c r="D1125">
        <v>5924.7512772250602</v>
      </c>
      <c r="E1125">
        <v>0</v>
      </c>
      <c r="F1125">
        <v>4676.3547983454</v>
      </c>
      <c r="G1125">
        <v>0</v>
      </c>
    </row>
    <row r="1126" spans="1:7" x14ac:dyDescent="0.3">
      <c r="A1126" s="4">
        <v>42992</v>
      </c>
      <c r="B1126" s="6">
        <v>1</v>
      </c>
      <c r="C1126">
        <v>1761431</v>
      </c>
      <c r="D1126">
        <v>6385.6982308584602</v>
      </c>
      <c r="E1126">
        <v>0</v>
      </c>
      <c r="F1126">
        <v>4764.4248597734004</v>
      </c>
      <c r="G1126">
        <v>0</v>
      </c>
    </row>
    <row r="1127" spans="1:7" x14ac:dyDescent="0.3">
      <c r="A1127" s="4">
        <v>42991</v>
      </c>
      <c r="B1127" s="6">
        <v>1</v>
      </c>
      <c r="C1127">
        <v>2187923</v>
      </c>
      <c r="D1127">
        <v>7439.3845630737796</v>
      </c>
      <c r="E1127">
        <v>0</v>
      </c>
      <c r="F1127">
        <v>4594.9481700008</v>
      </c>
      <c r="G1127">
        <v>0</v>
      </c>
    </row>
    <row r="1128" spans="1:7" x14ac:dyDescent="0.3">
      <c r="A1128" s="4">
        <v>42990</v>
      </c>
      <c r="B1128" s="6">
        <v>1</v>
      </c>
      <c r="C1128">
        <v>2100574</v>
      </c>
      <c r="D1128">
        <v>7050.0889410974996</v>
      </c>
      <c r="E1128">
        <v>0</v>
      </c>
      <c r="F1128">
        <v>4643.1395877754003</v>
      </c>
      <c r="G1128">
        <v>0</v>
      </c>
    </row>
    <row r="1129" spans="1:7" x14ac:dyDescent="0.3">
      <c r="A1129" s="4">
        <v>42989</v>
      </c>
      <c r="B1129" s="6">
        <v>1</v>
      </c>
      <c r="C1129">
        <v>632</v>
      </c>
      <c r="D1129">
        <v>2.1122288693559699</v>
      </c>
      <c r="E1129">
        <v>0</v>
      </c>
      <c r="F1129">
        <v>4848.3025312029004</v>
      </c>
      <c r="G1129">
        <v>0</v>
      </c>
    </row>
    <row r="1130" spans="1:7" x14ac:dyDescent="0.3">
      <c r="A1130" s="4">
        <v>42988</v>
      </c>
      <c r="B1130" s="6">
        <v>1</v>
      </c>
      <c r="C1130">
        <v>649</v>
      </c>
      <c r="D1130">
        <v>2.1363441851278799</v>
      </c>
      <c r="E1130">
        <v>0</v>
      </c>
      <c r="F1130">
        <v>4757.4431246940003</v>
      </c>
      <c r="G1130">
        <v>0</v>
      </c>
    </row>
    <row r="1131" spans="1:7" x14ac:dyDescent="0.3">
      <c r="A1131" s="4">
        <v>42987</v>
      </c>
      <c r="B1131" s="6">
        <v>1</v>
      </c>
      <c r="C1131">
        <v>679</v>
      </c>
      <c r="D1131">
        <v>2.2137454355764201</v>
      </c>
      <c r="E1131">
        <v>0</v>
      </c>
      <c r="F1131">
        <v>5015.8835920419997</v>
      </c>
      <c r="G1131">
        <v>0</v>
      </c>
    </row>
    <row r="1132" spans="1:7" x14ac:dyDescent="0.3">
      <c r="A1132" s="4">
        <v>42986</v>
      </c>
      <c r="B1132" s="6">
        <v>1</v>
      </c>
      <c r="C1132">
        <v>698</v>
      </c>
      <c r="D1132">
        <v>2.08128335867847</v>
      </c>
      <c r="E1132">
        <v>0</v>
      </c>
      <c r="F1132">
        <v>5440.0446480115997</v>
      </c>
      <c r="G1132">
        <v>0</v>
      </c>
    </row>
    <row r="1133" spans="1:7" x14ac:dyDescent="0.3">
      <c r="A1133" s="4">
        <v>42985</v>
      </c>
      <c r="B1133" s="6">
        <v>1</v>
      </c>
      <c r="C1133">
        <v>745</v>
      </c>
      <c r="D1133">
        <v>2.1981588575475</v>
      </c>
      <c r="E1133">
        <v>0</v>
      </c>
      <c r="F1133">
        <v>5103.5055019844003</v>
      </c>
      <c r="G1133">
        <v>0</v>
      </c>
    </row>
    <row r="1134" spans="1:7" x14ac:dyDescent="0.3">
      <c r="A1134" s="4">
        <v>42984</v>
      </c>
      <c r="B1134" s="6">
        <v>1</v>
      </c>
      <c r="C1134">
        <v>723</v>
      </c>
      <c r="D1134">
        <v>2.2740139648990301</v>
      </c>
      <c r="E1134">
        <v>0</v>
      </c>
      <c r="F1134">
        <v>5374.2613943542001</v>
      </c>
      <c r="G1134">
        <v>0</v>
      </c>
    </row>
    <row r="1135" spans="1:7" x14ac:dyDescent="0.3">
      <c r="A1135" s="4">
        <v>42983</v>
      </c>
      <c r="B1135" s="6">
        <v>1</v>
      </c>
      <c r="C1135">
        <v>684</v>
      </c>
      <c r="D1135">
        <v>2.2522225880803401</v>
      </c>
      <c r="E1135">
        <v>0</v>
      </c>
      <c r="F1135">
        <v>5922.3285972133999</v>
      </c>
      <c r="G1135">
        <v>0</v>
      </c>
    </row>
    <row r="1136" spans="1:7" x14ac:dyDescent="0.3">
      <c r="A1136" s="4">
        <v>42982</v>
      </c>
      <c r="B1136" s="6">
        <v>1</v>
      </c>
      <c r="C1136">
        <v>1141</v>
      </c>
      <c r="D1136">
        <v>3.2373386295928501</v>
      </c>
      <c r="E1136">
        <v>0</v>
      </c>
      <c r="F1136">
        <v>6383.9369078795999</v>
      </c>
      <c r="G1136">
        <v>0</v>
      </c>
    </row>
    <row r="1137" spans="1:7" x14ac:dyDescent="0.3">
      <c r="A1137" s="4">
        <v>42981</v>
      </c>
      <c r="B1137" s="6">
        <v>1</v>
      </c>
      <c r="C1137">
        <v>1451</v>
      </c>
      <c r="D1137">
        <v>4.1335498390450898</v>
      </c>
      <c r="E1137">
        <v>0</v>
      </c>
      <c r="F1137">
        <v>7437.3660046257</v>
      </c>
      <c r="G1137">
        <v>0</v>
      </c>
    </row>
    <row r="1138" spans="1:7" x14ac:dyDescent="0.3">
      <c r="A1138" s="4">
        <v>42980</v>
      </c>
      <c r="B1138" s="6">
        <v>1</v>
      </c>
      <c r="C1138">
        <v>1516</v>
      </c>
      <c r="D1138">
        <v>3.87307751264626</v>
      </c>
      <c r="E1138">
        <v>0</v>
      </c>
      <c r="F1138">
        <v>7047.8374171437999</v>
      </c>
      <c r="G1138">
        <v>0</v>
      </c>
    </row>
    <row r="1139" spans="1:7" x14ac:dyDescent="0.3">
      <c r="A1139" s="4">
        <v>42979</v>
      </c>
      <c r="B1139" s="6">
        <v>1</v>
      </c>
      <c r="C1139">
        <v>1652</v>
      </c>
      <c r="D1139">
        <v>4.2541137692169002</v>
      </c>
      <c r="E1139">
        <v>0</v>
      </c>
      <c r="F1139">
        <v>0</v>
      </c>
      <c r="G1139">
        <v>0</v>
      </c>
    </row>
    <row r="1140" spans="1:7" x14ac:dyDescent="0.3">
      <c r="A1140" s="4">
        <v>42978</v>
      </c>
      <c r="B1140" s="6">
        <v>1</v>
      </c>
      <c r="C1140">
        <v>1647</v>
      </c>
      <c r="D1140">
        <v>4.2906267910175497</v>
      </c>
      <c r="E1140">
        <v>0</v>
      </c>
      <c r="F1140">
        <v>0</v>
      </c>
      <c r="G1140">
        <v>0</v>
      </c>
    </row>
    <row r="1141" spans="1:7" x14ac:dyDescent="0.3">
      <c r="A1141" s="4">
        <v>42977</v>
      </c>
      <c r="B1141" s="6">
        <v>1</v>
      </c>
      <c r="C1141">
        <v>1591</v>
      </c>
      <c r="D1141">
        <v>4.2728615549885802</v>
      </c>
      <c r="E1141">
        <v>0</v>
      </c>
      <c r="F1141">
        <v>0</v>
      </c>
      <c r="G1141">
        <v>0</v>
      </c>
    </row>
    <row r="1142" spans="1:7" x14ac:dyDescent="0.3">
      <c r="A1142" s="4">
        <v>42976</v>
      </c>
      <c r="B1142" s="6">
        <v>1</v>
      </c>
      <c r="C1142">
        <v>1531</v>
      </c>
      <c r="D1142">
        <v>4.4037277800149504</v>
      </c>
      <c r="E1142">
        <v>0</v>
      </c>
      <c r="F1142">
        <v>0</v>
      </c>
      <c r="G1142">
        <v>0</v>
      </c>
    </row>
    <row r="1143" spans="1:7" x14ac:dyDescent="0.3">
      <c r="A1143" s="4">
        <v>42975</v>
      </c>
      <c r="B1143" s="6">
        <v>1</v>
      </c>
      <c r="C1143">
        <v>1521</v>
      </c>
      <c r="D1143">
        <v>4.3721973094170403</v>
      </c>
      <c r="E1143">
        <v>0</v>
      </c>
      <c r="F1143">
        <v>0</v>
      </c>
      <c r="G1143">
        <v>0</v>
      </c>
    </row>
    <row r="1144" spans="1:7" x14ac:dyDescent="0.3">
      <c r="A1144" s="4">
        <v>42974</v>
      </c>
      <c r="B1144" s="6">
        <v>1</v>
      </c>
      <c r="C1144">
        <v>1365</v>
      </c>
      <c r="D1144">
        <v>4.1008231688998302</v>
      </c>
      <c r="E1144">
        <v>0</v>
      </c>
      <c r="F1144">
        <v>0</v>
      </c>
      <c r="G1144">
        <v>0</v>
      </c>
    </row>
    <row r="1145" spans="1:7" x14ac:dyDescent="0.3">
      <c r="A1145" s="4">
        <v>42973</v>
      </c>
      <c r="B1145" s="6">
        <v>1</v>
      </c>
      <c r="C1145">
        <v>1300</v>
      </c>
      <c r="D1145">
        <v>3.9386778161546299</v>
      </c>
      <c r="E1145">
        <v>0</v>
      </c>
      <c r="F1145">
        <v>0</v>
      </c>
      <c r="G1145">
        <v>0</v>
      </c>
    </row>
    <row r="1146" spans="1:7" x14ac:dyDescent="0.3">
      <c r="A1146" s="4">
        <v>42972</v>
      </c>
      <c r="B1146" s="6">
        <v>1</v>
      </c>
      <c r="C1146">
        <v>1355</v>
      </c>
      <c r="D1146">
        <v>4.1656419085095902</v>
      </c>
      <c r="E1146">
        <v>0</v>
      </c>
      <c r="F1146">
        <v>0</v>
      </c>
      <c r="G1146">
        <v>0</v>
      </c>
    </row>
    <row r="1147" spans="1:7" x14ac:dyDescent="0.3">
      <c r="A1147" s="4">
        <v>42971</v>
      </c>
      <c r="B1147" s="6">
        <v>1</v>
      </c>
      <c r="C1147">
        <v>1386</v>
      </c>
      <c r="D1147">
        <v>4.36672967863894</v>
      </c>
      <c r="E1147">
        <v>0</v>
      </c>
      <c r="F1147">
        <v>0</v>
      </c>
      <c r="G1147">
        <v>0</v>
      </c>
    </row>
    <row r="1148" spans="1:7" x14ac:dyDescent="0.3">
      <c r="A1148" s="4">
        <v>42970</v>
      </c>
      <c r="B1148" s="6">
        <v>1</v>
      </c>
      <c r="C1148">
        <v>5</v>
      </c>
      <c r="D1148">
        <v>1.59555796662092E-2</v>
      </c>
      <c r="E1148">
        <v>0</v>
      </c>
      <c r="F1148">
        <v>0</v>
      </c>
      <c r="G1148">
        <v>0</v>
      </c>
    </row>
    <row r="1149" spans="1:7" x14ac:dyDescent="0.3">
      <c r="A1149" s="4">
        <v>42969</v>
      </c>
      <c r="B1149" s="6">
        <v>1</v>
      </c>
      <c r="C1149">
        <v>6</v>
      </c>
      <c r="D1149">
        <v>1.8642224638806802E-2</v>
      </c>
      <c r="E1149">
        <v>0</v>
      </c>
      <c r="F1149">
        <v>0</v>
      </c>
      <c r="G1149">
        <v>0</v>
      </c>
    </row>
    <row r="1150" spans="1:7" x14ac:dyDescent="0.3">
      <c r="A1150" s="4">
        <v>42968</v>
      </c>
      <c r="B1150" s="6">
        <v>1</v>
      </c>
      <c r="C1150">
        <v>5</v>
      </c>
      <c r="D1150">
        <v>1.6767270288397002E-2</v>
      </c>
      <c r="E1150">
        <v>0</v>
      </c>
      <c r="F1150">
        <v>0</v>
      </c>
      <c r="G1150">
        <v>0</v>
      </c>
    </row>
    <row r="1151" spans="1:7" x14ac:dyDescent="0.3">
      <c r="A1151" s="4">
        <v>42967</v>
      </c>
      <c r="B1151" s="6">
        <v>1</v>
      </c>
      <c r="C1151">
        <v>5</v>
      </c>
      <c r="D1151">
        <v>1.70636816599549E-2</v>
      </c>
      <c r="E1151">
        <v>0</v>
      </c>
      <c r="F1151">
        <v>0</v>
      </c>
      <c r="G1151">
        <v>0</v>
      </c>
    </row>
    <row r="1152" spans="1:7" x14ac:dyDescent="0.3">
      <c r="A1152" s="4">
        <v>42966</v>
      </c>
      <c r="B1152" s="6">
        <v>1</v>
      </c>
      <c r="C1152">
        <v>5</v>
      </c>
      <c r="D1152">
        <v>1.7087007039846901E-2</v>
      </c>
      <c r="E1152">
        <v>0</v>
      </c>
      <c r="F1152">
        <v>0</v>
      </c>
      <c r="G1152">
        <v>0</v>
      </c>
    </row>
    <row r="1153" spans="1:7" x14ac:dyDescent="0.3">
      <c r="A1153" s="4">
        <v>42965</v>
      </c>
      <c r="B1153" s="6">
        <v>1</v>
      </c>
      <c r="C1153">
        <v>5</v>
      </c>
      <c r="D1153">
        <v>1.66500166500166E-2</v>
      </c>
      <c r="E1153">
        <v>0</v>
      </c>
      <c r="F1153">
        <v>0</v>
      </c>
      <c r="G1153">
        <v>0</v>
      </c>
    </row>
    <row r="1154" spans="1:7" x14ac:dyDescent="0.3">
      <c r="A1154" s="4">
        <v>42964</v>
      </c>
      <c r="B1154" s="6">
        <v>1</v>
      </c>
      <c r="C1154">
        <v>5</v>
      </c>
      <c r="D1154">
        <v>1.6590351051828201E-2</v>
      </c>
      <c r="E1154">
        <v>0</v>
      </c>
      <c r="F1154">
        <v>0</v>
      </c>
      <c r="G1154">
        <v>0</v>
      </c>
    </row>
    <row r="1155" spans="1:7" x14ac:dyDescent="0.3">
      <c r="A1155" s="4">
        <v>42963</v>
      </c>
      <c r="B1155" s="6">
        <v>1</v>
      </c>
      <c r="C1155">
        <v>6</v>
      </c>
      <c r="D1155">
        <v>2.09409465307831E-2</v>
      </c>
      <c r="E1155">
        <v>0</v>
      </c>
      <c r="F1155">
        <v>0</v>
      </c>
      <c r="G1155">
        <v>0</v>
      </c>
    </row>
    <row r="1156" spans="1:7" x14ac:dyDescent="0.3">
      <c r="A1156" s="4">
        <v>42962</v>
      </c>
      <c r="B1156" s="6">
        <v>1</v>
      </c>
      <c r="C1156">
        <v>5</v>
      </c>
      <c r="D1156">
        <v>1.6713464366893901E-2</v>
      </c>
      <c r="E1156">
        <v>0</v>
      </c>
      <c r="F1156">
        <v>0</v>
      </c>
      <c r="G1156">
        <v>0</v>
      </c>
    </row>
    <row r="1157" spans="1:7" x14ac:dyDescent="0.3">
      <c r="A1157" s="4">
        <v>42961</v>
      </c>
      <c r="B1157" s="6">
        <v>1</v>
      </c>
      <c r="C1157">
        <v>6</v>
      </c>
      <c r="D1157">
        <v>2.0227901018137599E-2</v>
      </c>
      <c r="E1157">
        <v>0</v>
      </c>
      <c r="F1157">
        <v>0</v>
      </c>
      <c r="G1157">
        <v>0</v>
      </c>
    </row>
    <row r="1158" spans="1:7" x14ac:dyDescent="0.3">
      <c r="A1158" s="4">
        <v>42960</v>
      </c>
      <c r="B1158" s="6">
        <v>1</v>
      </c>
      <c r="C1158">
        <v>6</v>
      </c>
      <c r="D1158">
        <v>1.9479254593857499E-2</v>
      </c>
      <c r="E1158">
        <v>0</v>
      </c>
      <c r="F1158">
        <v>0</v>
      </c>
      <c r="G1158">
        <v>0</v>
      </c>
    </row>
    <row r="1159" spans="1:7" x14ac:dyDescent="0.3">
      <c r="A1159" s="4">
        <v>42959</v>
      </c>
      <c r="B1159" s="6">
        <v>1</v>
      </c>
      <c r="C1159">
        <v>6</v>
      </c>
      <c r="D1159">
        <v>1.9397387818440401E-2</v>
      </c>
      <c r="E1159">
        <v>0</v>
      </c>
      <c r="F1159">
        <v>0</v>
      </c>
      <c r="G1159">
        <v>0</v>
      </c>
    </row>
    <row r="1160" spans="1:7" x14ac:dyDescent="0.3">
      <c r="A1160" s="4">
        <v>42958</v>
      </c>
      <c r="B1160" s="6">
        <v>1</v>
      </c>
      <c r="C1160">
        <v>6</v>
      </c>
      <c r="D1160">
        <v>2.0115327879844401E-2</v>
      </c>
      <c r="E1160">
        <v>0</v>
      </c>
      <c r="F1160">
        <v>0</v>
      </c>
      <c r="G1160">
        <v>0</v>
      </c>
    </row>
    <row r="1161" spans="1:7" x14ac:dyDescent="0.3">
      <c r="A1161" s="4">
        <v>42957</v>
      </c>
      <c r="B1161" s="6">
        <v>1</v>
      </c>
      <c r="C1161">
        <v>5</v>
      </c>
      <c r="D1161">
        <v>1.69353746104863E-2</v>
      </c>
      <c r="E1161">
        <v>0</v>
      </c>
      <c r="F1161">
        <v>0</v>
      </c>
      <c r="G1161">
        <v>0</v>
      </c>
    </row>
    <row r="1162" spans="1:7" x14ac:dyDescent="0.3">
      <c r="A1162" s="4">
        <v>42956</v>
      </c>
      <c r="B1162" s="6">
        <v>1</v>
      </c>
      <c r="C1162">
        <v>5</v>
      </c>
      <c r="D1162">
        <v>1.6862837678324499E-2</v>
      </c>
      <c r="E1162">
        <v>0</v>
      </c>
      <c r="F1162">
        <v>0</v>
      </c>
      <c r="G1162">
        <v>0</v>
      </c>
    </row>
    <row r="1163" spans="1:7" x14ac:dyDescent="0.3">
      <c r="A1163" s="4">
        <v>42955</v>
      </c>
      <c r="B1163" s="6">
        <v>1</v>
      </c>
      <c r="C1163">
        <v>5</v>
      </c>
      <c r="D1163">
        <v>1.8522634659553901E-2</v>
      </c>
      <c r="E1163">
        <v>0</v>
      </c>
      <c r="F1163">
        <v>0</v>
      </c>
      <c r="G1163">
        <v>0</v>
      </c>
    </row>
    <row r="1164" spans="1:7" x14ac:dyDescent="0.3">
      <c r="A1164" s="4">
        <v>42954</v>
      </c>
      <c r="B1164" s="6">
        <v>1</v>
      </c>
      <c r="C1164">
        <v>5</v>
      </c>
      <c r="D1164">
        <v>1.88993045055941E-2</v>
      </c>
      <c r="E1164">
        <v>0</v>
      </c>
      <c r="F1164">
        <v>0</v>
      </c>
      <c r="G1164">
        <v>0</v>
      </c>
    </row>
    <row r="1165" spans="1:7" x14ac:dyDescent="0.3">
      <c r="A1165" s="4">
        <v>42953</v>
      </c>
      <c r="B1165" s="6">
        <v>1</v>
      </c>
      <c r="C1165">
        <v>5</v>
      </c>
      <c r="D1165">
        <v>1.9755818088427E-2</v>
      </c>
      <c r="E1165">
        <v>0</v>
      </c>
      <c r="F1165">
        <v>0</v>
      </c>
      <c r="G1165">
        <v>0</v>
      </c>
    </row>
    <row r="1166" spans="1:7" x14ac:dyDescent="0.3">
      <c r="A1166" s="4">
        <v>42952</v>
      </c>
      <c r="B1166" s="6">
        <v>1</v>
      </c>
      <c r="C1166">
        <v>5</v>
      </c>
      <c r="D1166">
        <v>2.2665457842248399E-2</v>
      </c>
      <c r="E1166">
        <v>0</v>
      </c>
      <c r="F1166">
        <v>0</v>
      </c>
      <c r="G1166">
        <v>0</v>
      </c>
    </row>
    <row r="1167" spans="1:7" x14ac:dyDescent="0.3">
      <c r="A1167" s="4">
        <v>42951</v>
      </c>
      <c r="B1167" s="6">
        <v>1</v>
      </c>
      <c r="C1167">
        <v>4</v>
      </c>
      <c r="D1167">
        <v>1.78261063327242E-2</v>
      </c>
      <c r="E1167">
        <v>0</v>
      </c>
      <c r="F1167">
        <v>0</v>
      </c>
      <c r="G1167">
        <v>0</v>
      </c>
    </row>
    <row r="1168" spans="1:7" x14ac:dyDescent="0.3">
      <c r="A1168" s="4">
        <v>42950</v>
      </c>
      <c r="B1168" s="6">
        <v>1</v>
      </c>
      <c r="C1168">
        <v>4</v>
      </c>
      <c r="D1168">
        <v>1.8338529249954098E-2</v>
      </c>
      <c r="E1168">
        <v>0</v>
      </c>
      <c r="F1168">
        <v>0</v>
      </c>
      <c r="G1168">
        <v>0</v>
      </c>
    </row>
    <row r="1169" spans="1:7" x14ac:dyDescent="0.3">
      <c r="A1169" s="4">
        <v>42949</v>
      </c>
      <c r="B1169" s="6">
        <v>1</v>
      </c>
      <c r="C1169">
        <v>0</v>
      </c>
      <c r="D1169">
        <v>0</v>
      </c>
      <c r="E1169">
        <v>0</v>
      </c>
      <c r="F1169">
        <v>0</v>
      </c>
      <c r="G116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7BF1-BF53-448F-B5C4-D5A23F34C91B}">
  <dimension ref="A1:E973"/>
  <sheetViews>
    <sheetView topLeftCell="A2" workbookViewId="0">
      <selection activeCell="E10" sqref="E10"/>
    </sheetView>
  </sheetViews>
  <sheetFormatPr defaultRowHeight="14.4" x14ac:dyDescent="0.3"/>
  <cols>
    <col min="1" max="1" width="19.5546875" bestFit="1" customWidth="1"/>
    <col min="2" max="2" width="19.5546875" customWidth="1"/>
    <col min="3" max="3" width="11.21875" customWidth="1"/>
    <col min="5" max="5" width="11.6640625" customWidth="1"/>
  </cols>
  <sheetData>
    <row r="1" spans="1:5" x14ac:dyDescent="0.3">
      <c r="A1" t="s">
        <v>1492</v>
      </c>
      <c r="B1" t="s">
        <v>27</v>
      </c>
      <c r="C1" t="s">
        <v>1491</v>
      </c>
      <c r="D1" t="s">
        <v>1490</v>
      </c>
      <c r="E1" t="s">
        <v>1489</v>
      </c>
    </row>
    <row r="2" spans="1:5" x14ac:dyDescent="0.3">
      <c r="A2" t="s">
        <v>1488</v>
      </c>
      <c r="B2" s="4">
        <v>44076</v>
      </c>
      <c r="C2" t="s">
        <v>1186</v>
      </c>
      <c r="D2" t="s">
        <v>1458</v>
      </c>
      <c r="E2" t="s">
        <v>1294</v>
      </c>
    </row>
    <row r="3" spans="1:5" x14ac:dyDescent="0.3">
      <c r="A3" t="s">
        <v>1487</v>
      </c>
      <c r="B3" s="4">
        <v>44076</v>
      </c>
      <c r="C3" t="s">
        <v>1186</v>
      </c>
      <c r="D3" t="s">
        <v>1458</v>
      </c>
      <c r="E3" t="s">
        <v>1294</v>
      </c>
    </row>
    <row r="4" spans="1:5" x14ac:dyDescent="0.3">
      <c r="A4" t="s">
        <v>1486</v>
      </c>
      <c r="B4" s="4">
        <v>44076</v>
      </c>
      <c r="C4" t="s">
        <v>1186</v>
      </c>
      <c r="D4" t="s">
        <v>1458</v>
      </c>
      <c r="E4" t="s">
        <v>1294</v>
      </c>
    </row>
    <row r="5" spans="1:5" x14ac:dyDescent="0.3">
      <c r="A5" t="s">
        <v>1485</v>
      </c>
      <c r="B5" s="4">
        <v>44076</v>
      </c>
      <c r="C5" t="s">
        <v>1186</v>
      </c>
      <c r="D5" t="s">
        <v>1458</v>
      </c>
      <c r="E5" t="s">
        <v>1294</v>
      </c>
    </row>
    <row r="6" spans="1:5" x14ac:dyDescent="0.3">
      <c r="A6" t="s">
        <v>1484</v>
      </c>
      <c r="B6" s="4">
        <v>44036</v>
      </c>
      <c r="C6" t="s">
        <v>1186</v>
      </c>
      <c r="D6" t="s">
        <v>1458</v>
      </c>
      <c r="E6" t="s">
        <v>1294</v>
      </c>
    </row>
    <row r="7" spans="1:5" x14ac:dyDescent="0.3">
      <c r="A7" t="s">
        <v>1483</v>
      </c>
      <c r="B7" s="4">
        <v>44036</v>
      </c>
      <c r="C7" t="s">
        <v>1186</v>
      </c>
      <c r="D7" t="s">
        <v>1458</v>
      </c>
      <c r="E7" t="s">
        <v>1294</v>
      </c>
    </row>
    <row r="8" spans="1:5" x14ac:dyDescent="0.3">
      <c r="A8" t="s">
        <v>1482</v>
      </c>
      <c r="B8" s="4">
        <v>43994</v>
      </c>
      <c r="C8" t="s">
        <v>1186</v>
      </c>
      <c r="D8" t="s">
        <v>1458</v>
      </c>
      <c r="E8" t="s">
        <v>1294</v>
      </c>
    </row>
    <row r="9" spans="1:5" x14ac:dyDescent="0.3">
      <c r="A9" t="s">
        <v>1481</v>
      </c>
      <c r="B9" s="4">
        <v>43994</v>
      </c>
      <c r="C9" t="s">
        <v>1186</v>
      </c>
      <c r="D9" t="s">
        <v>1458</v>
      </c>
      <c r="E9" t="s">
        <v>1294</v>
      </c>
    </row>
    <row r="10" spans="1:5" x14ac:dyDescent="0.3">
      <c r="A10" t="s">
        <v>1480</v>
      </c>
      <c r="B10" s="4">
        <v>43994</v>
      </c>
      <c r="C10" t="s">
        <v>1186</v>
      </c>
      <c r="D10" t="s">
        <v>1458</v>
      </c>
      <c r="E10" t="s">
        <v>1294</v>
      </c>
    </row>
    <row r="11" spans="1:5" x14ac:dyDescent="0.3">
      <c r="A11" t="s">
        <v>1479</v>
      </c>
      <c r="B11" s="4">
        <v>43980</v>
      </c>
      <c r="C11" t="s">
        <v>1186</v>
      </c>
      <c r="D11" t="s">
        <v>1458</v>
      </c>
      <c r="E11" t="s">
        <v>1294</v>
      </c>
    </row>
    <row r="12" spans="1:5" x14ac:dyDescent="0.3">
      <c r="A12" t="s">
        <v>1478</v>
      </c>
      <c r="B12" s="4">
        <v>43980</v>
      </c>
      <c r="C12" t="s">
        <v>1186</v>
      </c>
      <c r="D12" t="s">
        <v>1458</v>
      </c>
      <c r="E12" t="s">
        <v>1294</v>
      </c>
    </row>
    <row r="13" spans="1:5" x14ac:dyDescent="0.3">
      <c r="A13" t="s">
        <v>1477</v>
      </c>
      <c r="B13" s="4">
        <v>43980</v>
      </c>
      <c r="C13" t="s">
        <v>1186</v>
      </c>
      <c r="D13" t="s">
        <v>1458</v>
      </c>
      <c r="E13" t="s">
        <v>1294</v>
      </c>
    </row>
    <row r="14" spans="1:5" x14ac:dyDescent="0.3">
      <c r="A14" t="s">
        <v>1476</v>
      </c>
      <c r="B14" s="4">
        <v>43980</v>
      </c>
      <c r="C14" t="s">
        <v>1186</v>
      </c>
      <c r="D14" t="s">
        <v>1458</v>
      </c>
      <c r="E14" t="s">
        <v>1294</v>
      </c>
    </row>
    <row r="15" spans="1:5" x14ac:dyDescent="0.3">
      <c r="A15" t="s">
        <v>1475</v>
      </c>
      <c r="B15" s="4">
        <v>43980</v>
      </c>
      <c r="C15" t="s">
        <v>1186</v>
      </c>
      <c r="D15" t="s">
        <v>1458</v>
      </c>
      <c r="E15" t="s">
        <v>1294</v>
      </c>
    </row>
    <row r="16" spans="1:5" x14ac:dyDescent="0.3">
      <c r="A16" t="s">
        <v>1474</v>
      </c>
      <c r="B16" s="4">
        <v>43959</v>
      </c>
      <c r="C16" t="s">
        <v>1186</v>
      </c>
      <c r="D16" t="s">
        <v>1458</v>
      </c>
      <c r="E16" t="s">
        <v>1294</v>
      </c>
    </row>
    <row r="17" spans="1:5" x14ac:dyDescent="0.3">
      <c r="A17" t="s">
        <v>1473</v>
      </c>
      <c r="B17" s="4">
        <v>43959</v>
      </c>
      <c r="C17" t="s">
        <v>1186</v>
      </c>
      <c r="D17" t="s">
        <v>1458</v>
      </c>
      <c r="E17" t="s">
        <v>1294</v>
      </c>
    </row>
    <row r="18" spans="1:5" x14ac:dyDescent="0.3">
      <c r="A18" t="s">
        <v>1472</v>
      </c>
      <c r="B18" s="4">
        <v>43956</v>
      </c>
      <c r="C18" t="s">
        <v>1186</v>
      </c>
      <c r="D18" t="s">
        <v>1458</v>
      </c>
      <c r="E18" t="s">
        <v>1294</v>
      </c>
    </row>
    <row r="19" spans="1:5" x14ac:dyDescent="0.3">
      <c r="A19" t="s">
        <v>1471</v>
      </c>
      <c r="B19" s="4">
        <v>43956</v>
      </c>
      <c r="C19" t="s">
        <v>1186</v>
      </c>
      <c r="D19" t="s">
        <v>1458</v>
      </c>
      <c r="E19" t="s">
        <v>1294</v>
      </c>
    </row>
    <row r="20" spans="1:5" x14ac:dyDescent="0.3">
      <c r="A20" t="s">
        <v>1470</v>
      </c>
      <c r="B20" s="4">
        <v>43943</v>
      </c>
      <c r="C20" t="s">
        <v>1186</v>
      </c>
      <c r="D20" t="s">
        <v>1458</v>
      </c>
      <c r="E20" t="s">
        <v>1294</v>
      </c>
    </row>
    <row r="21" spans="1:5" x14ac:dyDescent="0.3">
      <c r="A21" t="s">
        <v>1469</v>
      </c>
      <c r="B21" s="4">
        <v>43943</v>
      </c>
      <c r="C21" t="s">
        <v>1186</v>
      </c>
      <c r="D21" t="s">
        <v>1458</v>
      </c>
      <c r="E21" t="s">
        <v>1294</v>
      </c>
    </row>
    <row r="22" spans="1:5" x14ac:dyDescent="0.3">
      <c r="A22" t="s">
        <v>1468</v>
      </c>
      <c r="B22" s="4">
        <v>43943</v>
      </c>
      <c r="C22" t="s">
        <v>1186</v>
      </c>
      <c r="D22" t="s">
        <v>1458</v>
      </c>
      <c r="E22" t="s">
        <v>1294</v>
      </c>
    </row>
    <row r="23" spans="1:5" x14ac:dyDescent="0.3">
      <c r="A23" t="s">
        <v>1467</v>
      </c>
      <c r="B23" s="4">
        <v>43943</v>
      </c>
      <c r="C23" t="s">
        <v>1186</v>
      </c>
      <c r="D23" t="s">
        <v>1458</v>
      </c>
      <c r="E23" t="s">
        <v>1294</v>
      </c>
    </row>
    <row r="24" spans="1:5" x14ac:dyDescent="0.3">
      <c r="A24" t="s">
        <v>1466</v>
      </c>
      <c r="B24" s="4">
        <v>43943</v>
      </c>
      <c r="C24" t="s">
        <v>1186</v>
      </c>
      <c r="D24" t="s">
        <v>1458</v>
      </c>
      <c r="E24" t="s">
        <v>1294</v>
      </c>
    </row>
    <row r="25" spans="1:5" x14ac:dyDescent="0.3">
      <c r="A25" t="s">
        <v>1465</v>
      </c>
      <c r="B25" s="4">
        <v>43943</v>
      </c>
      <c r="C25" t="s">
        <v>1186</v>
      </c>
      <c r="D25" t="s">
        <v>1458</v>
      </c>
      <c r="E25" t="s">
        <v>1294</v>
      </c>
    </row>
    <row r="26" spans="1:5" x14ac:dyDescent="0.3">
      <c r="A26" t="s">
        <v>1464</v>
      </c>
      <c r="B26" s="4">
        <v>43930</v>
      </c>
      <c r="C26" t="s">
        <v>1186</v>
      </c>
      <c r="D26" t="s">
        <v>1458</v>
      </c>
      <c r="E26" t="s">
        <v>1294</v>
      </c>
    </row>
    <row r="27" spans="1:5" x14ac:dyDescent="0.3">
      <c r="A27" t="s">
        <v>1463</v>
      </c>
      <c r="B27" s="4">
        <v>43920</v>
      </c>
      <c r="C27" t="s">
        <v>1186</v>
      </c>
      <c r="D27" t="s">
        <v>1458</v>
      </c>
      <c r="E27" t="s">
        <v>1294</v>
      </c>
    </row>
    <row r="28" spans="1:5" x14ac:dyDescent="0.3">
      <c r="A28" t="s">
        <v>1462</v>
      </c>
      <c r="B28" s="4">
        <v>43920</v>
      </c>
      <c r="C28" t="s">
        <v>1186</v>
      </c>
      <c r="D28" t="s">
        <v>1458</v>
      </c>
      <c r="E28" t="s">
        <v>1294</v>
      </c>
    </row>
    <row r="29" spans="1:5" x14ac:dyDescent="0.3">
      <c r="A29" t="s">
        <v>1461</v>
      </c>
      <c r="B29" s="4">
        <v>43915</v>
      </c>
      <c r="C29" t="s">
        <v>1186</v>
      </c>
      <c r="D29" t="s">
        <v>1458</v>
      </c>
      <c r="E29" t="s">
        <v>1294</v>
      </c>
    </row>
    <row r="30" spans="1:5" x14ac:dyDescent="0.3">
      <c r="A30" t="s">
        <v>1460</v>
      </c>
      <c r="B30" s="4">
        <v>43915</v>
      </c>
      <c r="C30" t="s">
        <v>1186</v>
      </c>
      <c r="D30" t="s">
        <v>1458</v>
      </c>
      <c r="E30" t="s">
        <v>1294</v>
      </c>
    </row>
    <row r="31" spans="1:5" x14ac:dyDescent="0.3">
      <c r="A31" t="s">
        <v>1459</v>
      </c>
      <c r="B31" s="4">
        <v>43915</v>
      </c>
      <c r="C31" t="s">
        <v>1186</v>
      </c>
      <c r="D31" t="s">
        <v>1458</v>
      </c>
      <c r="E31" t="s">
        <v>1294</v>
      </c>
    </row>
    <row r="32" spans="1:5" x14ac:dyDescent="0.3">
      <c r="A32" t="s">
        <v>1457</v>
      </c>
      <c r="B32" s="4">
        <v>44104</v>
      </c>
      <c r="C32" t="s">
        <v>1186</v>
      </c>
      <c r="D32" t="s">
        <v>1427</v>
      </c>
      <c r="E32" t="s">
        <v>1219</v>
      </c>
    </row>
    <row r="33" spans="1:5" x14ac:dyDescent="0.3">
      <c r="A33" t="s">
        <v>1456</v>
      </c>
      <c r="B33" s="4">
        <v>44075</v>
      </c>
      <c r="C33" t="s">
        <v>1186</v>
      </c>
      <c r="D33" t="s">
        <v>1427</v>
      </c>
      <c r="E33" t="s">
        <v>1294</v>
      </c>
    </row>
    <row r="34" spans="1:5" x14ac:dyDescent="0.3">
      <c r="A34" t="s">
        <v>1455</v>
      </c>
      <c r="B34" s="4">
        <v>43994</v>
      </c>
      <c r="C34" t="s">
        <v>1186</v>
      </c>
      <c r="D34" t="s">
        <v>1427</v>
      </c>
      <c r="E34" t="s">
        <v>1294</v>
      </c>
    </row>
    <row r="35" spans="1:5" x14ac:dyDescent="0.3">
      <c r="A35" t="s">
        <v>1454</v>
      </c>
      <c r="B35" s="4">
        <v>43994</v>
      </c>
      <c r="C35" t="s">
        <v>1186</v>
      </c>
      <c r="D35" t="s">
        <v>1427</v>
      </c>
      <c r="E35" t="s">
        <v>1294</v>
      </c>
    </row>
    <row r="36" spans="1:5" x14ac:dyDescent="0.3">
      <c r="A36" t="s">
        <v>1453</v>
      </c>
      <c r="B36" s="4">
        <v>43944</v>
      </c>
      <c r="C36" t="s">
        <v>1186</v>
      </c>
      <c r="D36" t="s">
        <v>1427</v>
      </c>
      <c r="E36" t="s">
        <v>488</v>
      </c>
    </row>
    <row r="37" spans="1:5" x14ac:dyDescent="0.3">
      <c r="A37" t="s">
        <v>1452</v>
      </c>
      <c r="B37" s="4">
        <v>43927</v>
      </c>
      <c r="C37" t="s">
        <v>1186</v>
      </c>
      <c r="D37" t="s">
        <v>1427</v>
      </c>
      <c r="E37" t="s">
        <v>488</v>
      </c>
    </row>
    <row r="38" spans="1:5" x14ac:dyDescent="0.3">
      <c r="A38" t="s">
        <v>1451</v>
      </c>
      <c r="B38" s="4">
        <v>43868</v>
      </c>
      <c r="C38" t="s">
        <v>1186</v>
      </c>
      <c r="D38" t="s">
        <v>1427</v>
      </c>
      <c r="E38" t="s">
        <v>488</v>
      </c>
    </row>
    <row r="39" spans="1:5" x14ac:dyDescent="0.3">
      <c r="A39" t="s">
        <v>1450</v>
      </c>
      <c r="B39" s="4">
        <v>43861</v>
      </c>
      <c r="C39" t="s">
        <v>1186</v>
      </c>
      <c r="D39" t="s">
        <v>1427</v>
      </c>
      <c r="E39" t="s">
        <v>488</v>
      </c>
    </row>
    <row r="40" spans="1:5" x14ac:dyDescent="0.3">
      <c r="A40" t="s">
        <v>1449</v>
      </c>
      <c r="B40" s="4">
        <v>43861</v>
      </c>
      <c r="C40" t="s">
        <v>1186</v>
      </c>
      <c r="D40" t="s">
        <v>1427</v>
      </c>
      <c r="E40" t="s">
        <v>488</v>
      </c>
    </row>
    <row r="41" spans="1:5" x14ac:dyDescent="0.3">
      <c r="A41" t="s">
        <v>1448</v>
      </c>
      <c r="B41" s="4">
        <v>43861</v>
      </c>
      <c r="C41" t="s">
        <v>1186</v>
      </c>
      <c r="D41" t="s">
        <v>1427</v>
      </c>
      <c r="E41" t="s">
        <v>1219</v>
      </c>
    </row>
    <row r="42" spans="1:5" x14ac:dyDescent="0.3">
      <c r="A42" t="s">
        <v>1447</v>
      </c>
      <c r="B42" s="4">
        <v>43859</v>
      </c>
      <c r="C42" t="s">
        <v>1186</v>
      </c>
      <c r="D42" t="s">
        <v>1427</v>
      </c>
      <c r="E42" t="s">
        <v>1294</v>
      </c>
    </row>
    <row r="43" spans="1:5" x14ac:dyDescent="0.3">
      <c r="A43" t="s">
        <v>1446</v>
      </c>
      <c r="B43" s="4">
        <v>43858</v>
      </c>
      <c r="C43" t="s">
        <v>1186</v>
      </c>
      <c r="D43" t="s">
        <v>1427</v>
      </c>
      <c r="E43" t="s">
        <v>488</v>
      </c>
    </row>
    <row r="44" spans="1:5" x14ac:dyDescent="0.3">
      <c r="A44" t="s">
        <v>1445</v>
      </c>
      <c r="B44" s="4">
        <v>43858</v>
      </c>
      <c r="C44" t="s">
        <v>1186</v>
      </c>
      <c r="D44" t="s">
        <v>1427</v>
      </c>
      <c r="E44" t="s">
        <v>488</v>
      </c>
    </row>
    <row r="45" spans="1:5" x14ac:dyDescent="0.3">
      <c r="A45" t="s">
        <v>1444</v>
      </c>
      <c r="B45" s="4">
        <v>43857</v>
      </c>
      <c r="C45" t="s">
        <v>1186</v>
      </c>
      <c r="D45" t="s">
        <v>1427</v>
      </c>
      <c r="E45" t="s">
        <v>488</v>
      </c>
    </row>
    <row r="46" spans="1:5" x14ac:dyDescent="0.3">
      <c r="A46" t="s">
        <v>1443</v>
      </c>
      <c r="B46" s="4">
        <v>43857</v>
      </c>
      <c r="C46" t="s">
        <v>1186</v>
      </c>
      <c r="D46" t="s">
        <v>1427</v>
      </c>
      <c r="E46" t="s">
        <v>488</v>
      </c>
    </row>
    <row r="47" spans="1:5" x14ac:dyDescent="0.3">
      <c r="A47" t="s">
        <v>1442</v>
      </c>
      <c r="B47" s="4">
        <v>43857</v>
      </c>
      <c r="C47" t="s">
        <v>1186</v>
      </c>
      <c r="D47" t="s">
        <v>1427</v>
      </c>
      <c r="E47" t="s">
        <v>488</v>
      </c>
    </row>
    <row r="48" spans="1:5" x14ac:dyDescent="0.3">
      <c r="A48" t="s">
        <v>1441</v>
      </c>
      <c r="B48" s="4">
        <v>43857</v>
      </c>
      <c r="C48" t="s">
        <v>1186</v>
      </c>
      <c r="D48" t="s">
        <v>1427</v>
      </c>
      <c r="E48" t="s">
        <v>488</v>
      </c>
    </row>
    <row r="49" spans="1:5" x14ac:dyDescent="0.3">
      <c r="A49" t="s">
        <v>1440</v>
      </c>
      <c r="B49" s="4">
        <v>43841</v>
      </c>
      <c r="C49" t="s">
        <v>1186</v>
      </c>
      <c r="D49" t="s">
        <v>1427</v>
      </c>
      <c r="E49" t="s">
        <v>488</v>
      </c>
    </row>
    <row r="50" spans="1:5" x14ac:dyDescent="0.3">
      <c r="A50" t="s">
        <v>1439</v>
      </c>
      <c r="B50" s="4">
        <v>43839</v>
      </c>
      <c r="C50" t="s">
        <v>1186</v>
      </c>
      <c r="D50" t="s">
        <v>1427</v>
      </c>
      <c r="E50" t="s">
        <v>1219</v>
      </c>
    </row>
    <row r="51" spans="1:5" x14ac:dyDescent="0.3">
      <c r="A51" t="s">
        <v>1438</v>
      </c>
      <c r="B51" s="4">
        <v>43838</v>
      </c>
      <c r="C51" t="s">
        <v>1186</v>
      </c>
      <c r="D51" t="s">
        <v>1427</v>
      </c>
      <c r="E51" t="s">
        <v>1219</v>
      </c>
    </row>
    <row r="52" spans="1:5" x14ac:dyDescent="0.3">
      <c r="A52" t="s">
        <v>1437</v>
      </c>
      <c r="B52" s="4">
        <v>43838</v>
      </c>
      <c r="C52" t="s">
        <v>1186</v>
      </c>
      <c r="D52" t="s">
        <v>1427</v>
      </c>
      <c r="E52" t="s">
        <v>1219</v>
      </c>
    </row>
    <row r="53" spans="1:5" x14ac:dyDescent="0.3">
      <c r="A53" t="s">
        <v>1436</v>
      </c>
      <c r="B53" s="4">
        <v>43771</v>
      </c>
      <c r="C53" t="s">
        <v>1186</v>
      </c>
      <c r="D53" t="s">
        <v>1427</v>
      </c>
      <c r="E53" t="s">
        <v>1303</v>
      </c>
    </row>
    <row r="54" spans="1:5" x14ac:dyDescent="0.3">
      <c r="A54" t="s">
        <v>1435</v>
      </c>
      <c r="B54" s="4">
        <v>43771</v>
      </c>
      <c r="C54" t="s">
        <v>1186</v>
      </c>
      <c r="D54" t="s">
        <v>1427</v>
      </c>
      <c r="E54" t="s">
        <v>1303</v>
      </c>
    </row>
    <row r="55" spans="1:5" x14ac:dyDescent="0.3">
      <c r="A55" t="s">
        <v>1434</v>
      </c>
      <c r="B55" s="4">
        <v>43768</v>
      </c>
      <c r="C55" t="s">
        <v>1186</v>
      </c>
      <c r="D55" t="s">
        <v>1427</v>
      </c>
      <c r="E55" t="s">
        <v>1219</v>
      </c>
    </row>
    <row r="56" spans="1:5" x14ac:dyDescent="0.3">
      <c r="A56" t="s">
        <v>1433</v>
      </c>
      <c r="B56" s="4">
        <v>43768</v>
      </c>
      <c r="C56" t="s">
        <v>1186</v>
      </c>
      <c r="D56" t="s">
        <v>1427</v>
      </c>
      <c r="E56" t="s">
        <v>1219</v>
      </c>
    </row>
    <row r="57" spans="1:5" x14ac:dyDescent="0.3">
      <c r="A57" t="s">
        <v>1432</v>
      </c>
      <c r="B57" s="4">
        <v>43762</v>
      </c>
      <c r="C57" t="s">
        <v>1186</v>
      </c>
      <c r="D57" t="s">
        <v>1427</v>
      </c>
      <c r="E57" t="s">
        <v>488</v>
      </c>
    </row>
    <row r="58" spans="1:5" x14ac:dyDescent="0.3">
      <c r="A58" t="s">
        <v>1431</v>
      </c>
      <c r="B58" s="4">
        <v>43762</v>
      </c>
      <c r="C58" t="s">
        <v>1186</v>
      </c>
      <c r="D58" t="s">
        <v>1427</v>
      </c>
      <c r="E58" t="s">
        <v>488</v>
      </c>
    </row>
    <row r="59" spans="1:5" x14ac:dyDescent="0.3">
      <c r="A59" t="s">
        <v>1430</v>
      </c>
      <c r="B59" s="4">
        <v>43762</v>
      </c>
      <c r="C59" t="s">
        <v>1186</v>
      </c>
      <c r="D59" t="s">
        <v>1427</v>
      </c>
      <c r="E59" t="s">
        <v>488</v>
      </c>
    </row>
    <row r="60" spans="1:5" x14ac:dyDescent="0.3">
      <c r="A60" t="s">
        <v>1429</v>
      </c>
      <c r="B60" s="4">
        <v>43762</v>
      </c>
      <c r="C60" t="s">
        <v>1186</v>
      </c>
      <c r="D60" t="s">
        <v>1427</v>
      </c>
      <c r="E60" t="s">
        <v>488</v>
      </c>
    </row>
    <row r="61" spans="1:5" x14ac:dyDescent="0.3">
      <c r="A61" t="s">
        <v>1428</v>
      </c>
      <c r="B61" s="4">
        <v>43762</v>
      </c>
      <c r="C61" t="s">
        <v>1186</v>
      </c>
      <c r="D61" t="s">
        <v>1427</v>
      </c>
      <c r="E61" t="s">
        <v>488</v>
      </c>
    </row>
    <row r="62" spans="1:5" x14ac:dyDescent="0.3">
      <c r="A62" t="s">
        <v>1426</v>
      </c>
      <c r="B62" s="4">
        <v>44099</v>
      </c>
      <c r="C62" t="s">
        <v>1186</v>
      </c>
      <c r="D62" t="s">
        <v>1423</v>
      </c>
      <c r="E62" t="s">
        <v>1219</v>
      </c>
    </row>
    <row r="63" spans="1:5" x14ac:dyDescent="0.3">
      <c r="A63" t="s">
        <v>1425</v>
      </c>
      <c r="B63" s="4">
        <v>44099</v>
      </c>
      <c r="C63" t="s">
        <v>1186</v>
      </c>
      <c r="D63" t="s">
        <v>1423</v>
      </c>
      <c r="E63" t="s">
        <v>1219</v>
      </c>
    </row>
    <row r="64" spans="1:5" x14ac:dyDescent="0.3">
      <c r="A64" t="s">
        <v>1424</v>
      </c>
      <c r="B64" s="4">
        <v>44096</v>
      </c>
      <c r="C64" t="s">
        <v>1186</v>
      </c>
      <c r="D64" t="s">
        <v>1423</v>
      </c>
      <c r="E64" t="s">
        <v>1219</v>
      </c>
    </row>
    <row r="65" spans="1:5" x14ac:dyDescent="0.3">
      <c r="A65" t="s">
        <v>1422</v>
      </c>
      <c r="B65" s="4">
        <v>44099</v>
      </c>
      <c r="C65" t="s">
        <v>1186</v>
      </c>
      <c r="D65" t="s">
        <v>1391</v>
      </c>
      <c r="E65" t="s">
        <v>488</v>
      </c>
    </row>
    <row r="66" spans="1:5" x14ac:dyDescent="0.3">
      <c r="A66" t="s">
        <v>1421</v>
      </c>
      <c r="B66" s="4">
        <v>44099</v>
      </c>
      <c r="C66" t="s">
        <v>1186</v>
      </c>
      <c r="D66" t="s">
        <v>1391</v>
      </c>
      <c r="E66" t="s">
        <v>488</v>
      </c>
    </row>
    <row r="67" spans="1:5" x14ac:dyDescent="0.3">
      <c r="A67" t="s">
        <v>1420</v>
      </c>
      <c r="B67" s="4">
        <v>44099</v>
      </c>
      <c r="C67" t="s">
        <v>1186</v>
      </c>
      <c r="D67" t="s">
        <v>1391</v>
      </c>
      <c r="E67" t="s">
        <v>488</v>
      </c>
    </row>
    <row r="68" spans="1:5" x14ac:dyDescent="0.3">
      <c r="A68" t="s">
        <v>1419</v>
      </c>
      <c r="B68" s="4">
        <v>44099</v>
      </c>
      <c r="C68" t="s">
        <v>1186</v>
      </c>
      <c r="D68" t="s">
        <v>1391</v>
      </c>
      <c r="E68" t="s">
        <v>488</v>
      </c>
    </row>
    <row r="69" spans="1:5" x14ac:dyDescent="0.3">
      <c r="A69" t="s">
        <v>1418</v>
      </c>
      <c r="B69" s="4">
        <v>44099</v>
      </c>
      <c r="C69" t="s">
        <v>1186</v>
      </c>
      <c r="D69" t="s">
        <v>1391</v>
      </c>
      <c r="E69" t="s">
        <v>488</v>
      </c>
    </row>
    <row r="70" spans="1:5" x14ac:dyDescent="0.3">
      <c r="A70" t="s">
        <v>1417</v>
      </c>
      <c r="B70" s="4">
        <v>44099</v>
      </c>
      <c r="C70" t="s">
        <v>1186</v>
      </c>
      <c r="D70" t="s">
        <v>1391</v>
      </c>
      <c r="E70" t="s">
        <v>488</v>
      </c>
    </row>
    <row r="71" spans="1:5" x14ac:dyDescent="0.3">
      <c r="A71" t="s">
        <v>1416</v>
      </c>
      <c r="B71" s="4">
        <v>44099</v>
      </c>
      <c r="C71" t="s">
        <v>1186</v>
      </c>
      <c r="D71" t="s">
        <v>1391</v>
      </c>
      <c r="E71" t="s">
        <v>488</v>
      </c>
    </row>
    <row r="72" spans="1:5" x14ac:dyDescent="0.3">
      <c r="A72" t="s">
        <v>1415</v>
      </c>
      <c r="B72" s="4">
        <v>44099</v>
      </c>
      <c r="C72" t="s">
        <v>1186</v>
      </c>
      <c r="D72" t="s">
        <v>1391</v>
      </c>
      <c r="E72" t="s">
        <v>1322</v>
      </c>
    </row>
    <row r="73" spans="1:5" x14ac:dyDescent="0.3">
      <c r="A73" t="s">
        <v>1414</v>
      </c>
      <c r="B73" s="4">
        <v>44099</v>
      </c>
      <c r="C73" t="s">
        <v>1186</v>
      </c>
      <c r="D73" t="s">
        <v>1391</v>
      </c>
      <c r="E73" t="s">
        <v>488</v>
      </c>
    </row>
    <row r="74" spans="1:5" x14ac:dyDescent="0.3">
      <c r="A74" t="s">
        <v>1413</v>
      </c>
      <c r="B74" s="4">
        <v>44099</v>
      </c>
      <c r="C74" t="s">
        <v>1186</v>
      </c>
      <c r="D74" t="s">
        <v>1391</v>
      </c>
      <c r="E74" t="s">
        <v>488</v>
      </c>
    </row>
    <row r="75" spans="1:5" x14ac:dyDescent="0.3">
      <c r="A75" t="s">
        <v>1412</v>
      </c>
      <c r="B75" s="4">
        <v>44099</v>
      </c>
      <c r="C75" t="s">
        <v>1186</v>
      </c>
      <c r="D75" t="s">
        <v>1391</v>
      </c>
      <c r="E75" t="s">
        <v>488</v>
      </c>
    </row>
    <row r="76" spans="1:5" x14ac:dyDescent="0.3">
      <c r="A76" t="s">
        <v>1411</v>
      </c>
      <c r="B76" s="4">
        <v>44097</v>
      </c>
      <c r="C76" t="s">
        <v>1186</v>
      </c>
      <c r="D76" t="s">
        <v>1391</v>
      </c>
      <c r="E76" t="s">
        <v>488</v>
      </c>
    </row>
    <row r="77" spans="1:5" x14ac:dyDescent="0.3">
      <c r="A77" t="s">
        <v>1410</v>
      </c>
      <c r="B77" s="4">
        <v>44097</v>
      </c>
      <c r="C77" t="s">
        <v>1186</v>
      </c>
      <c r="D77" t="s">
        <v>1391</v>
      </c>
      <c r="E77" t="s">
        <v>488</v>
      </c>
    </row>
    <row r="78" spans="1:5" x14ac:dyDescent="0.3">
      <c r="A78" t="s">
        <v>1409</v>
      </c>
      <c r="B78" s="4">
        <v>44097</v>
      </c>
      <c r="C78" t="s">
        <v>1186</v>
      </c>
      <c r="D78" t="s">
        <v>1391</v>
      </c>
      <c r="E78" t="s">
        <v>488</v>
      </c>
    </row>
    <row r="79" spans="1:5" x14ac:dyDescent="0.3">
      <c r="A79" t="s">
        <v>1408</v>
      </c>
      <c r="B79" s="4">
        <v>44097</v>
      </c>
      <c r="C79" t="s">
        <v>1186</v>
      </c>
      <c r="D79" t="s">
        <v>1391</v>
      </c>
      <c r="E79" t="s">
        <v>488</v>
      </c>
    </row>
    <row r="80" spans="1:5" x14ac:dyDescent="0.3">
      <c r="A80" t="s">
        <v>1407</v>
      </c>
      <c r="B80" s="4">
        <v>44042</v>
      </c>
      <c r="C80" t="s">
        <v>1186</v>
      </c>
      <c r="D80" t="s">
        <v>1391</v>
      </c>
      <c r="E80" t="s">
        <v>1406</v>
      </c>
    </row>
    <row r="81" spans="1:5" x14ac:dyDescent="0.3">
      <c r="A81" t="s">
        <v>1405</v>
      </c>
      <c r="B81" s="4">
        <v>44013</v>
      </c>
      <c r="C81" t="s">
        <v>1186</v>
      </c>
      <c r="D81" t="s">
        <v>1391</v>
      </c>
      <c r="E81" t="s">
        <v>488</v>
      </c>
    </row>
    <row r="82" spans="1:5" x14ac:dyDescent="0.3">
      <c r="A82" t="s">
        <v>1404</v>
      </c>
      <c r="B82" s="4">
        <v>44013</v>
      </c>
      <c r="C82" t="s">
        <v>1186</v>
      </c>
      <c r="D82" t="s">
        <v>1391</v>
      </c>
      <c r="E82" t="s">
        <v>1322</v>
      </c>
    </row>
    <row r="83" spans="1:5" x14ac:dyDescent="0.3">
      <c r="A83" t="s">
        <v>1403</v>
      </c>
      <c r="B83" s="4">
        <v>44013</v>
      </c>
      <c r="C83" t="s">
        <v>1186</v>
      </c>
      <c r="D83" t="s">
        <v>1391</v>
      </c>
      <c r="E83" t="s">
        <v>488</v>
      </c>
    </row>
    <row r="84" spans="1:5" x14ac:dyDescent="0.3">
      <c r="A84" t="s">
        <v>1402</v>
      </c>
      <c r="B84" s="4">
        <v>44013</v>
      </c>
      <c r="C84" t="s">
        <v>1186</v>
      </c>
      <c r="D84" t="s">
        <v>1391</v>
      </c>
      <c r="E84" t="s">
        <v>1322</v>
      </c>
    </row>
    <row r="85" spans="1:5" x14ac:dyDescent="0.3">
      <c r="A85" t="s">
        <v>1401</v>
      </c>
      <c r="B85" s="4">
        <v>44013</v>
      </c>
      <c r="C85" t="s">
        <v>1186</v>
      </c>
      <c r="D85" t="s">
        <v>1391</v>
      </c>
      <c r="E85" t="s">
        <v>488</v>
      </c>
    </row>
    <row r="86" spans="1:5" x14ac:dyDescent="0.3">
      <c r="A86" t="s">
        <v>1400</v>
      </c>
      <c r="B86" s="4">
        <v>44013</v>
      </c>
      <c r="C86" t="s">
        <v>1186</v>
      </c>
      <c r="D86" t="s">
        <v>1391</v>
      </c>
      <c r="E86" t="s">
        <v>488</v>
      </c>
    </row>
    <row r="87" spans="1:5" x14ac:dyDescent="0.3">
      <c r="A87" t="s">
        <v>1399</v>
      </c>
      <c r="B87" s="4">
        <v>44013</v>
      </c>
      <c r="C87" t="s">
        <v>1186</v>
      </c>
      <c r="D87" t="s">
        <v>1391</v>
      </c>
      <c r="E87" t="s">
        <v>488</v>
      </c>
    </row>
    <row r="88" spans="1:5" x14ac:dyDescent="0.3">
      <c r="A88" t="s">
        <v>1398</v>
      </c>
      <c r="B88" s="4">
        <v>44013</v>
      </c>
      <c r="C88" t="s">
        <v>1186</v>
      </c>
      <c r="D88" t="s">
        <v>1391</v>
      </c>
      <c r="E88" t="s">
        <v>488</v>
      </c>
    </row>
    <row r="89" spans="1:5" x14ac:dyDescent="0.3">
      <c r="A89" t="s">
        <v>1397</v>
      </c>
      <c r="B89" s="4">
        <v>44013</v>
      </c>
      <c r="C89" t="s">
        <v>1186</v>
      </c>
      <c r="D89" t="s">
        <v>1391</v>
      </c>
      <c r="E89" t="s">
        <v>488</v>
      </c>
    </row>
    <row r="90" spans="1:5" x14ac:dyDescent="0.3">
      <c r="A90" t="s">
        <v>1396</v>
      </c>
      <c r="B90" s="4">
        <v>44012</v>
      </c>
      <c r="C90" t="s">
        <v>1186</v>
      </c>
      <c r="D90" t="s">
        <v>1391</v>
      </c>
      <c r="E90" t="s">
        <v>1322</v>
      </c>
    </row>
    <row r="91" spans="1:5" x14ac:dyDescent="0.3">
      <c r="A91" t="s">
        <v>1395</v>
      </c>
      <c r="B91" s="4">
        <v>44011</v>
      </c>
      <c r="C91" t="s">
        <v>1186</v>
      </c>
      <c r="D91" t="s">
        <v>1391</v>
      </c>
      <c r="E91" t="s">
        <v>1285</v>
      </c>
    </row>
    <row r="92" spans="1:5" x14ac:dyDescent="0.3">
      <c r="A92" t="s">
        <v>1394</v>
      </c>
      <c r="B92" s="4">
        <v>44008</v>
      </c>
      <c r="C92" t="s">
        <v>1186</v>
      </c>
      <c r="D92" t="s">
        <v>1391</v>
      </c>
      <c r="E92" t="s">
        <v>1285</v>
      </c>
    </row>
    <row r="93" spans="1:5" x14ac:dyDescent="0.3">
      <c r="A93" t="s">
        <v>1393</v>
      </c>
      <c r="B93" s="4">
        <v>44008</v>
      </c>
      <c r="C93" t="s">
        <v>1186</v>
      </c>
      <c r="D93" t="s">
        <v>1391</v>
      </c>
      <c r="E93" t="s">
        <v>1285</v>
      </c>
    </row>
    <row r="94" spans="1:5" x14ac:dyDescent="0.3">
      <c r="A94" t="s">
        <v>1392</v>
      </c>
      <c r="B94" s="4">
        <v>44008</v>
      </c>
      <c r="C94" t="s">
        <v>1186</v>
      </c>
      <c r="D94" t="s">
        <v>1391</v>
      </c>
      <c r="E94" t="s">
        <v>488</v>
      </c>
    </row>
    <row r="95" spans="1:5" x14ac:dyDescent="0.3">
      <c r="A95" t="s">
        <v>1390</v>
      </c>
      <c r="B95" s="4">
        <v>43909</v>
      </c>
      <c r="C95" t="s">
        <v>1186</v>
      </c>
      <c r="D95" t="s">
        <v>911</v>
      </c>
      <c r="E95" t="s">
        <v>922</v>
      </c>
    </row>
    <row r="96" spans="1:5" x14ac:dyDescent="0.3">
      <c r="A96" t="s">
        <v>1389</v>
      </c>
      <c r="B96" s="4">
        <v>43909</v>
      </c>
      <c r="C96" t="s">
        <v>1186</v>
      </c>
      <c r="D96" t="s">
        <v>911</v>
      </c>
      <c r="E96" t="s">
        <v>922</v>
      </c>
    </row>
    <row r="97" spans="1:5" x14ac:dyDescent="0.3">
      <c r="A97" t="s">
        <v>1388</v>
      </c>
      <c r="B97" s="4">
        <v>43909</v>
      </c>
      <c r="C97" t="s">
        <v>1186</v>
      </c>
      <c r="D97" t="s">
        <v>911</v>
      </c>
      <c r="E97" t="s">
        <v>922</v>
      </c>
    </row>
    <row r="98" spans="1:5" x14ac:dyDescent="0.3">
      <c r="A98" t="s">
        <v>1387</v>
      </c>
      <c r="B98" s="4">
        <v>43909</v>
      </c>
      <c r="C98" t="s">
        <v>1186</v>
      </c>
      <c r="D98" t="s">
        <v>911</v>
      </c>
      <c r="E98" t="s">
        <v>922</v>
      </c>
    </row>
    <row r="99" spans="1:5" x14ac:dyDescent="0.3">
      <c r="A99" t="s">
        <v>1386</v>
      </c>
      <c r="B99" s="4">
        <v>43909</v>
      </c>
      <c r="C99" t="s">
        <v>1186</v>
      </c>
      <c r="D99" t="s">
        <v>911</v>
      </c>
      <c r="E99" t="s">
        <v>922</v>
      </c>
    </row>
    <row r="100" spans="1:5" x14ac:dyDescent="0.3">
      <c r="A100" t="s">
        <v>1385</v>
      </c>
      <c r="B100" s="4">
        <v>43909</v>
      </c>
      <c r="C100" t="s">
        <v>1186</v>
      </c>
      <c r="D100" t="s">
        <v>911</v>
      </c>
      <c r="E100" t="s">
        <v>922</v>
      </c>
    </row>
    <row r="101" spans="1:5" x14ac:dyDescent="0.3">
      <c r="A101" t="s">
        <v>1384</v>
      </c>
      <c r="B101" s="4">
        <v>43909</v>
      </c>
      <c r="C101" t="s">
        <v>1186</v>
      </c>
      <c r="D101" t="s">
        <v>911</v>
      </c>
      <c r="E101" t="s">
        <v>922</v>
      </c>
    </row>
    <row r="102" spans="1:5" x14ac:dyDescent="0.3">
      <c r="A102" t="s">
        <v>1383</v>
      </c>
      <c r="B102" s="4">
        <v>43909</v>
      </c>
      <c r="C102" t="s">
        <v>1186</v>
      </c>
      <c r="D102" t="s">
        <v>911</v>
      </c>
      <c r="E102" t="s">
        <v>488</v>
      </c>
    </row>
    <row r="103" spans="1:5" x14ac:dyDescent="0.3">
      <c r="A103" t="s">
        <v>1382</v>
      </c>
      <c r="B103" s="4">
        <v>43909</v>
      </c>
      <c r="C103" t="s">
        <v>1186</v>
      </c>
      <c r="D103" t="s">
        <v>911</v>
      </c>
      <c r="E103" t="s">
        <v>922</v>
      </c>
    </row>
    <row r="104" spans="1:5" x14ac:dyDescent="0.3">
      <c r="A104" t="s">
        <v>1381</v>
      </c>
      <c r="B104" s="4">
        <v>43909</v>
      </c>
      <c r="C104" t="s">
        <v>1186</v>
      </c>
      <c r="D104" t="s">
        <v>911</v>
      </c>
      <c r="E104" t="s">
        <v>488</v>
      </c>
    </row>
    <row r="105" spans="1:5" x14ac:dyDescent="0.3">
      <c r="A105" t="s">
        <v>1380</v>
      </c>
      <c r="B105" s="4">
        <v>43908</v>
      </c>
      <c r="C105" t="s">
        <v>1186</v>
      </c>
      <c r="D105" t="s">
        <v>911</v>
      </c>
      <c r="E105" t="s">
        <v>1360</v>
      </c>
    </row>
    <row r="106" spans="1:5" x14ac:dyDescent="0.3">
      <c r="A106" t="s">
        <v>1379</v>
      </c>
      <c r="B106" s="4">
        <v>43908</v>
      </c>
      <c r="C106" t="s">
        <v>1186</v>
      </c>
      <c r="D106" t="s">
        <v>911</v>
      </c>
      <c r="E106" t="s">
        <v>1360</v>
      </c>
    </row>
    <row r="107" spans="1:5" x14ac:dyDescent="0.3">
      <c r="A107" t="s">
        <v>1378</v>
      </c>
      <c r="B107" s="4">
        <v>43908</v>
      </c>
      <c r="C107" t="s">
        <v>1186</v>
      </c>
      <c r="D107" t="s">
        <v>911</v>
      </c>
      <c r="E107" t="s">
        <v>922</v>
      </c>
    </row>
    <row r="108" spans="1:5" x14ac:dyDescent="0.3">
      <c r="A108" t="s">
        <v>1377</v>
      </c>
      <c r="B108" s="4">
        <v>43907</v>
      </c>
      <c r="C108" t="s">
        <v>1186</v>
      </c>
      <c r="D108" t="s">
        <v>911</v>
      </c>
      <c r="E108" t="s">
        <v>1376</v>
      </c>
    </row>
    <row r="109" spans="1:5" x14ac:dyDescent="0.3">
      <c r="A109" t="s">
        <v>1375</v>
      </c>
      <c r="B109" s="4">
        <v>43903</v>
      </c>
      <c r="C109" t="s">
        <v>1186</v>
      </c>
      <c r="D109" t="s">
        <v>911</v>
      </c>
      <c r="E109" t="s">
        <v>922</v>
      </c>
    </row>
    <row r="110" spans="1:5" x14ac:dyDescent="0.3">
      <c r="A110" t="s">
        <v>1374</v>
      </c>
      <c r="B110" s="4">
        <v>43901</v>
      </c>
      <c r="C110" t="s">
        <v>1186</v>
      </c>
      <c r="D110" t="s">
        <v>911</v>
      </c>
      <c r="E110" t="s">
        <v>488</v>
      </c>
    </row>
    <row r="111" spans="1:5" x14ac:dyDescent="0.3">
      <c r="A111" t="s">
        <v>1373</v>
      </c>
      <c r="B111" s="4">
        <v>43901</v>
      </c>
      <c r="C111" t="s">
        <v>1186</v>
      </c>
      <c r="D111" t="s">
        <v>911</v>
      </c>
      <c r="E111" t="s">
        <v>922</v>
      </c>
    </row>
    <row r="112" spans="1:5" x14ac:dyDescent="0.3">
      <c r="A112" t="s">
        <v>1372</v>
      </c>
      <c r="B112" s="4">
        <v>43901</v>
      </c>
      <c r="C112" t="s">
        <v>1186</v>
      </c>
      <c r="D112" t="s">
        <v>911</v>
      </c>
      <c r="E112" t="s">
        <v>488</v>
      </c>
    </row>
    <row r="113" spans="1:5" x14ac:dyDescent="0.3">
      <c r="A113" t="s">
        <v>1371</v>
      </c>
      <c r="B113" s="4">
        <v>43900</v>
      </c>
      <c r="C113" t="s">
        <v>1186</v>
      </c>
      <c r="D113" t="s">
        <v>911</v>
      </c>
      <c r="E113" t="s">
        <v>925</v>
      </c>
    </row>
    <row r="114" spans="1:5" x14ac:dyDescent="0.3">
      <c r="A114" t="s">
        <v>1370</v>
      </c>
      <c r="B114" s="4">
        <v>43896</v>
      </c>
      <c r="C114" t="s">
        <v>1186</v>
      </c>
      <c r="D114" t="s">
        <v>911</v>
      </c>
      <c r="E114" t="s">
        <v>922</v>
      </c>
    </row>
    <row r="115" spans="1:5" x14ac:dyDescent="0.3">
      <c r="A115" t="s">
        <v>1369</v>
      </c>
      <c r="B115" s="4">
        <v>43896</v>
      </c>
      <c r="C115" t="s">
        <v>1186</v>
      </c>
      <c r="D115" t="s">
        <v>911</v>
      </c>
      <c r="E115" t="s">
        <v>922</v>
      </c>
    </row>
    <row r="116" spans="1:5" x14ac:dyDescent="0.3">
      <c r="A116" t="s">
        <v>1368</v>
      </c>
      <c r="B116" s="4">
        <v>43896</v>
      </c>
      <c r="C116" t="s">
        <v>1186</v>
      </c>
      <c r="D116" t="s">
        <v>911</v>
      </c>
      <c r="E116" t="s">
        <v>922</v>
      </c>
    </row>
    <row r="117" spans="1:5" x14ac:dyDescent="0.3">
      <c r="A117" t="s">
        <v>1367</v>
      </c>
      <c r="B117" s="4">
        <v>43895</v>
      </c>
      <c r="C117" t="s">
        <v>1186</v>
      </c>
      <c r="D117" t="s">
        <v>911</v>
      </c>
      <c r="E117" t="s">
        <v>488</v>
      </c>
    </row>
    <row r="118" spans="1:5" x14ac:dyDescent="0.3">
      <c r="A118" t="s">
        <v>1366</v>
      </c>
      <c r="B118" s="4">
        <v>43894</v>
      </c>
      <c r="C118" t="s">
        <v>1186</v>
      </c>
      <c r="D118" t="s">
        <v>911</v>
      </c>
      <c r="E118" t="s">
        <v>1365</v>
      </c>
    </row>
    <row r="119" spans="1:5" x14ac:dyDescent="0.3">
      <c r="A119" t="s">
        <v>1364</v>
      </c>
      <c r="B119" s="4">
        <v>43894</v>
      </c>
      <c r="C119" t="s">
        <v>1186</v>
      </c>
      <c r="D119" t="s">
        <v>911</v>
      </c>
      <c r="E119" t="s">
        <v>922</v>
      </c>
    </row>
    <row r="120" spans="1:5" x14ac:dyDescent="0.3">
      <c r="A120" t="s">
        <v>1363</v>
      </c>
      <c r="B120" s="4">
        <v>43894</v>
      </c>
      <c r="C120" t="s">
        <v>1186</v>
      </c>
      <c r="D120" t="s">
        <v>911</v>
      </c>
      <c r="E120" t="s">
        <v>922</v>
      </c>
    </row>
    <row r="121" spans="1:5" x14ac:dyDescent="0.3">
      <c r="A121" t="s">
        <v>1362</v>
      </c>
      <c r="B121" s="4">
        <v>43894</v>
      </c>
      <c r="C121" t="s">
        <v>1186</v>
      </c>
      <c r="D121" t="s">
        <v>911</v>
      </c>
      <c r="E121" t="s">
        <v>488</v>
      </c>
    </row>
    <row r="122" spans="1:5" x14ac:dyDescent="0.3">
      <c r="A122" t="s">
        <v>1361</v>
      </c>
      <c r="B122" s="4">
        <v>43894</v>
      </c>
      <c r="C122" t="s">
        <v>1186</v>
      </c>
      <c r="D122" t="s">
        <v>911</v>
      </c>
      <c r="E122" t="s">
        <v>1360</v>
      </c>
    </row>
    <row r="123" spans="1:5" x14ac:dyDescent="0.3">
      <c r="A123" t="s">
        <v>1359</v>
      </c>
      <c r="B123" s="4">
        <v>43893</v>
      </c>
      <c r="C123" t="s">
        <v>1186</v>
      </c>
      <c r="D123" t="s">
        <v>911</v>
      </c>
      <c r="E123" t="s">
        <v>922</v>
      </c>
    </row>
    <row r="124" spans="1:5" x14ac:dyDescent="0.3">
      <c r="A124" t="s">
        <v>1358</v>
      </c>
      <c r="B124" s="4">
        <v>43893</v>
      </c>
      <c r="C124" t="s">
        <v>1186</v>
      </c>
      <c r="D124" t="s">
        <v>911</v>
      </c>
      <c r="E124" t="s">
        <v>922</v>
      </c>
    </row>
    <row r="125" spans="1:5" x14ac:dyDescent="0.3">
      <c r="A125" t="s">
        <v>1357</v>
      </c>
      <c r="B125" s="4">
        <v>43665</v>
      </c>
      <c r="C125" t="s">
        <v>1186</v>
      </c>
      <c r="D125" t="s">
        <v>1344</v>
      </c>
      <c r="E125" t="s">
        <v>488</v>
      </c>
    </row>
    <row r="126" spans="1:5" x14ac:dyDescent="0.3">
      <c r="A126" t="s">
        <v>1356</v>
      </c>
      <c r="B126" s="4">
        <v>43665</v>
      </c>
      <c r="C126" t="s">
        <v>1186</v>
      </c>
      <c r="D126" t="s">
        <v>1344</v>
      </c>
      <c r="E126" t="s">
        <v>488</v>
      </c>
    </row>
    <row r="127" spans="1:5" x14ac:dyDescent="0.3">
      <c r="A127" t="s">
        <v>1355</v>
      </c>
      <c r="B127" s="4">
        <v>43665</v>
      </c>
      <c r="C127" t="s">
        <v>1186</v>
      </c>
      <c r="D127" t="s">
        <v>1344</v>
      </c>
      <c r="E127" t="s">
        <v>488</v>
      </c>
    </row>
    <row r="128" spans="1:5" x14ac:dyDescent="0.3">
      <c r="A128" t="s">
        <v>1354</v>
      </c>
      <c r="B128" s="4">
        <v>43665</v>
      </c>
      <c r="C128" t="s">
        <v>1186</v>
      </c>
      <c r="D128" t="s">
        <v>1344</v>
      </c>
      <c r="E128" t="s">
        <v>488</v>
      </c>
    </row>
    <row r="129" spans="1:5" x14ac:dyDescent="0.3">
      <c r="A129" t="s">
        <v>1353</v>
      </c>
      <c r="B129" s="4">
        <v>43665</v>
      </c>
      <c r="C129" t="s">
        <v>1186</v>
      </c>
      <c r="D129" t="s">
        <v>1344</v>
      </c>
      <c r="E129" t="s">
        <v>1224</v>
      </c>
    </row>
    <row r="130" spans="1:5" x14ac:dyDescent="0.3">
      <c r="A130" t="s">
        <v>1352</v>
      </c>
      <c r="B130" s="4">
        <v>43665</v>
      </c>
      <c r="C130" t="s">
        <v>1186</v>
      </c>
      <c r="D130" t="s">
        <v>1344</v>
      </c>
      <c r="E130" t="s">
        <v>488</v>
      </c>
    </row>
    <row r="131" spans="1:5" x14ac:dyDescent="0.3">
      <c r="A131" t="s">
        <v>1351</v>
      </c>
      <c r="B131" s="4">
        <v>43665</v>
      </c>
      <c r="C131" t="s">
        <v>1186</v>
      </c>
      <c r="D131" t="s">
        <v>1344</v>
      </c>
      <c r="E131" t="s">
        <v>488</v>
      </c>
    </row>
    <row r="132" spans="1:5" x14ac:dyDescent="0.3">
      <c r="A132" t="s">
        <v>1350</v>
      </c>
      <c r="B132" s="4">
        <v>43665</v>
      </c>
      <c r="C132" t="s">
        <v>1186</v>
      </c>
      <c r="D132" t="s">
        <v>1344</v>
      </c>
      <c r="E132" t="s">
        <v>488</v>
      </c>
    </row>
    <row r="133" spans="1:5" x14ac:dyDescent="0.3">
      <c r="A133" t="s">
        <v>1349</v>
      </c>
      <c r="B133" s="4">
        <v>43665</v>
      </c>
      <c r="C133" t="s">
        <v>1186</v>
      </c>
      <c r="D133" t="s">
        <v>1344</v>
      </c>
      <c r="E133" t="s">
        <v>488</v>
      </c>
    </row>
    <row r="134" spans="1:5" x14ac:dyDescent="0.3">
      <c r="A134" t="s">
        <v>1348</v>
      </c>
      <c r="B134" s="4">
        <v>43665</v>
      </c>
      <c r="C134" t="s">
        <v>1186</v>
      </c>
      <c r="D134" t="s">
        <v>1344</v>
      </c>
      <c r="E134" t="s">
        <v>488</v>
      </c>
    </row>
    <row r="135" spans="1:5" x14ac:dyDescent="0.3">
      <c r="A135" t="s">
        <v>1347</v>
      </c>
      <c r="B135" s="4">
        <v>43665</v>
      </c>
      <c r="C135" t="s">
        <v>1186</v>
      </c>
      <c r="D135" t="s">
        <v>1344</v>
      </c>
      <c r="E135" t="s">
        <v>1346</v>
      </c>
    </row>
    <row r="136" spans="1:5" x14ac:dyDescent="0.3">
      <c r="A136" t="s">
        <v>1345</v>
      </c>
      <c r="B136" s="4">
        <v>43665</v>
      </c>
      <c r="C136" t="s">
        <v>1186</v>
      </c>
      <c r="D136" t="s">
        <v>1344</v>
      </c>
      <c r="E136" t="s">
        <v>488</v>
      </c>
    </row>
    <row r="137" spans="1:5" x14ac:dyDescent="0.3">
      <c r="A137" t="s">
        <v>1343</v>
      </c>
      <c r="B137" s="4">
        <v>43893</v>
      </c>
      <c r="C137" t="s">
        <v>1186</v>
      </c>
      <c r="D137" t="s">
        <v>1336</v>
      </c>
      <c r="E137" t="s">
        <v>488</v>
      </c>
    </row>
    <row r="138" spans="1:5" x14ac:dyDescent="0.3">
      <c r="A138" t="s">
        <v>1342</v>
      </c>
      <c r="B138" s="4">
        <v>43893</v>
      </c>
      <c r="C138" t="s">
        <v>1186</v>
      </c>
      <c r="D138" t="s">
        <v>1336</v>
      </c>
      <c r="E138" t="s">
        <v>1219</v>
      </c>
    </row>
    <row r="139" spans="1:5" x14ac:dyDescent="0.3">
      <c r="A139" t="s">
        <v>1341</v>
      </c>
      <c r="B139" s="4">
        <v>43893</v>
      </c>
      <c r="C139" t="s">
        <v>1186</v>
      </c>
      <c r="D139" t="s">
        <v>1336</v>
      </c>
      <c r="E139" t="s">
        <v>1219</v>
      </c>
    </row>
    <row r="140" spans="1:5" x14ac:dyDescent="0.3">
      <c r="A140" t="s">
        <v>1340</v>
      </c>
      <c r="B140" s="4">
        <v>43893</v>
      </c>
      <c r="C140" t="s">
        <v>1186</v>
      </c>
      <c r="D140" t="s">
        <v>1336</v>
      </c>
      <c r="E140" t="s">
        <v>488</v>
      </c>
    </row>
    <row r="141" spans="1:5" x14ac:dyDescent="0.3">
      <c r="A141" t="s">
        <v>1339</v>
      </c>
      <c r="B141" s="4">
        <v>43889</v>
      </c>
      <c r="C141" t="s">
        <v>1186</v>
      </c>
      <c r="D141" t="s">
        <v>1336</v>
      </c>
      <c r="E141" t="s">
        <v>1303</v>
      </c>
    </row>
    <row r="142" spans="1:5" x14ac:dyDescent="0.3">
      <c r="A142" t="s">
        <v>1338</v>
      </c>
      <c r="B142" s="4">
        <v>43889</v>
      </c>
      <c r="C142" t="s">
        <v>1186</v>
      </c>
      <c r="D142" t="s">
        <v>1336</v>
      </c>
      <c r="E142" t="s">
        <v>1303</v>
      </c>
    </row>
    <row r="143" spans="1:5" x14ac:dyDescent="0.3">
      <c r="A143" t="s">
        <v>1337</v>
      </c>
      <c r="B143" s="4">
        <v>43889</v>
      </c>
      <c r="C143" t="s">
        <v>1186</v>
      </c>
      <c r="D143" t="s">
        <v>1336</v>
      </c>
      <c r="E143" t="s">
        <v>1219</v>
      </c>
    </row>
    <row r="144" spans="1:5" x14ac:dyDescent="0.3">
      <c r="A144" t="s">
        <v>1335</v>
      </c>
      <c r="B144" s="4">
        <v>44014</v>
      </c>
      <c r="C144" t="s">
        <v>1186</v>
      </c>
      <c r="D144" t="s">
        <v>1323</v>
      </c>
      <c r="E144" t="s">
        <v>1322</v>
      </c>
    </row>
    <row r="145" spans="1:5" x14ac:dyDescent="0.3">
      <c r="A145" t="s">
        <v>1334</v>
      </c>
      <c r="B145" s="4">
        <v>44012</v>
      </c>
      <c r="C145" t="s">
        <v>1186</v>
      </c>
      <c r="D145" t="s">
        <v>1323</v>
      </c>
      <c r="E145" t="s">
        <v>488</v>
      </c>
    </row>
    <row r="146" spans="1:5" x14ac:dyDescent="0.3">
      <c r="A146" t="s">
        <v>1333</v>
      </c>
      <c r="B146" s="4">
        <v>44012</v>
      </c>
      <c r="C146" t="s">
        <v>1186</v>
      </c>
      <c r="D146" t="s">
        <v>1323</v>
      </c>
      <c r="E146" t="s">
        <v>488</v>
      </c>
    </row>
    <row r="147" spans="1:5" x14ac:dyDescent="0.3">
      <c r="A147" t="s">
        <v>1332</v>
      </c>
      <c r="B147" s="4">
        <v>43986</v>
      </c>
      <c r="C147" t="s">
        <v>1186</v>
      </c>
      <c r="D147" t="s">
        <v>1323</v>
      </c>
      <c r="E147" t="s">
        <v>488</v>
      </c>
    </row>
    <row r="148" spans="1:5" x14ac:dyDescent="0.3">
      <c r="A148" t="s">
        <v>1331</v>
      </c>
      <c r="B148" s="4">
        <v>43980</v>
      </c>
      <c r="C148" t="s">
        <v>1186</v>
      </c>
      <c r="D148" t="s">
        <v>1323</v>
      </c>
      <c r="E148" t="s">
        <v>488</v>
      </c>
    </row>
    <row r="149" spans="1:5" x14ac:dyDescent="0.3">
      <c r="A149" t="s">
        <v>1330</v>
      </c>
      <c r="B149" s="4">
        <v>43980</v>
      </c>
      <c r="C149" t="s">
        <v>1186</v>
      </c>
      <c r="D149" t="s">
        <v>1323</v>
      </c>
      <c r="E149" t="s">
        <v>1329</v>
      </c>
    </row>
    <row r="150" spans="1:5" x14ac:dyDescent="0.3">
      <c r="A150" t="s">
        <v>1328</v>
      </c>
      <c r="B150" s="4">
        <v>43962</v>
      </c>
      <c r="C150" t="s">
        <v>1186</v>
      </c>
      <c r="D150" t="s">
        <v>1323</v>
      </c>
      <c r="E150" t="s">
        <v>1327</v>
      </c>
    </row>
    <row r="151" spans="1:5" x14ac:dyDescent="0.3">
      <c r="A151" t="s">
        <v>1326</v>
      </c>
      <c r="B151" s="4">
        <v>43943</v>
      </c>
      <c r="C151" t="s">
        <v>1186</v>
      </c>
      <c r="D151" t="s">
        <v>1323</v>
      </c>
      <c r="E151" t="s">
        <v>1322</v>
      </c>
    </row>
    <row r="152" spans="1:5" x14ac:dyDescent="0.3">
      <c r="A152" t="s">
        <v>1325</v>
      </c>
      <c r="B152" s="4">
        <v>43943</v>
      </c>
      <c r="C152" t="s">
        <v>1186</v>
      </c>
      <c r="D152" t="s">
        <v>1323</v>
      </c>
      <c r="E152" t="s">
        <v>1322</v>
      </c>
    </row>
    <row r="153" spans="1:5" x14ac:dyDescent="0.3">
      <c r="A153" t="s">
        <v>1324</v>
      </c>
      <c r="B153" s="4">
        <v>43942</v>
      </c>
      <c r="C153" t="s">
        <v>1186</v>
      </c>
      <c r="D153" t="s">
        <v>1323</v>
      </c>
      <c r="E153" t="s">
        <v>1322</v>
      </c>
    </row>
    <row r="154" spans="1:5" x14ac:dyDescent="0.3">
      <c r="A154" t="s">
        <v>1321</v>
      </c>
      <c r="B154" s="4">
        <v>44099</v>
      </c>
      <c r="C154" t="s">
        <v>1186</v>
      </c>
      <c r="D154" t="s">
        <v>1319</v>
      </c>
      <c r="E154" t="s">
        <v>1219</v>
      </c>
    </row>
    <row r="155" spans="1:5" x14ac:dyDescent="0.3">
      <c r="A155" t="s">
        <v>1320</v>
      </c>
      <c r="B155" s="4">
        <v>44099</v>
      </c>
      <c r="C155" t="s">
        <v>1186</v>
      </c>
      <c r="D155" t="s">
        <v>1319</v>
      </c>
      <c r="E155" t="s">
        <v>1219</v>
      </c>
    </row>
    <row r="156" spans="1:5" x14ac:dyDescent="0.3">
      <c r="A156" t="s">
        <v>1318</v>
      </c>
      <c r="B156" s="4">
        <v>43913</v>
      </c>
      <c r="C156" t="s">
        <v>1186</v>
      </c>
      <c r="D156" t="s">
        <v>1286</v>
      </c>
      <c r="E156" t="s">
        <v>1285</v>
      </c>
    </row>
    <row r="157" spans="1:5" x14ac:dyDescent="0.3">
      <c r="A157" t="s">
        <v>1317</v>
      </c>
      <c r="B157" s="4">
        <v>43913</v>
      </c>
      <c r="C157" t="s">
        <v>1186</v>
      </c>
      <c r="D157" t="s">
        <v>1286</v>
      </c>
      <c r="E157" t="s">
        <v>1303</v>
      </c>
    </row>
    <row r="158" spans="1:5" x14ac:dyDescent="0.3">
      <c r="A158" t="s">
        <v>1316</v>
      </c>
      <c r="B158" s="4">
        <v>43913</v>
      </c>
      <c r="C158" t="s">
        <v>1186</v>
      </c>
      <c r="D158" t="s">
        <v>1286</v>
      </c>
      <c r="E158" t="s">
        <v>1303</v>
      </c>
    </row>
    <row r="159" spans="1:5" x14ac:dyDescent="0.3">
      <c r="A159" t="s">
        <v>1315</v>
      </c>
      <c r="B159" s="4">
        <v>43913</v>
      </c>
      <c r="C159" t="s">
        <v>1186</v>
      </c>
      <c r="D159" t="s">
        <v>1286</v>
      </c>
      <c r="E159" t="s">
        <v>1285</v>
      </c>
    </row>
    <row r="160" spans="1:5" x14ac:dyDescent="0.3">
      <c r="A160" t="s">
        <v>1314</v>
      </c>
      <c r="B160" s="4">
        <v>43913</v>
      </c>
      <c r="C160" t="s">
        <v>1186</v>
      </c>
      <c r="D160" t="s">
        <v>1286</v>
      </c>
      <c r="E160" t="s">
        <v>1303</v>
      </c>
    </row>
    <row r="161" spans="1:5" x14ac:dyDescent="0.3">
      <c r="A161" t="s">
        <v>1313</v>
      </c>
      <c r="B161" s="4">
        <v>43913</v>
      </c>
      <c r="C161" t="s">
        <v>1186</v>
      </c>
      <c r="D161" t="s">
        <v>1286</v>
      </c>
      <c r="E161" t="s">
        <v>1285</v>
      </c>
    </row>
    <row r="162" spans="1:5" x14ac:dyDescent="0.3">
      <c r="A162" t="s">
        <v>1312</v>
      </c>
      <c r="B162" s="4">
        <v>43913</v>
      </c>
      <c r="C162" t="s">
        <v>1186</v>
      </c>
      <c r="D162" t="s">
        <v>1286</v>
      </c>
      <c r="E162" t="s">
        <v>1303</v>
      </c>
    </row>
    <row r="163" spans="1:5" x14ac:dyDescent="0.3">
      <c r="A163" t="s">
        <v>1311</v>
      </c>
      <c r="B163" s="4">
        <v>43913</v>
      </c>
      <c r="C163" t="s">
        <v>1186</v>
      </c>
      <c r="D163" t="s">
        <v>1286</v>
      </c>
      <c r="E163" t="s">
        <v>1294</v>
      </c>
    </row>
    <row r="164" spans="1:5" x14ac:dyDescent="0.3">
      <c r="A164" t="s">
        <v>1310</v>
      </c>
      <c r="B164" s="4">
        <v>43909</v>
      </c>
      <c r="C164" t="s">
        <v>1186</v>
      </c>
      <c r="D164" t="s">
        <v>1286</v>
      </c>
      <c r="E164" t="s">
        <v>1285</v>
      </c>
    </row>
    <row r="165" spans="1:5" x14ac:dyDescent="0.3">
      <c r="A165" t="s">
        <v>1309</v>
      </c>
      <c r="B165" s="4">
        <v>43909</v>
      </c>
      <c r="C165" t="s">
        <v>1186</v>
      </c>
      <c r="D165" t="s">
        <v>1286</v>
      </c>
      <c r="E165" t="s">
        <v>1285</v>
      </c>
    </row>
    <row r="166" spans="1:5" x14ac:dyDescent="0.3">
      <c r="A166" t="s">
        <v>1308</v>
      </c>
      <c r="B166" s="4">
        <v>43906</v>
      </c>
      <c r="C166" t="s">
        <v>1186</v>
      </c>
      <c r="D166" t="s">
        <v>1286</v>
      </c>
      <c r="E166" t="s">
        <v>1285</v>
      </c>
    </row>
    <row r="167" spans="1:5" x14ac:dyDescent="0.3">
      <c r="A167" t="s">
        <v>1307</v>
      </c>
      <c r="B167" s="4">
        <v>43906</v>
      </c>
      <c r="C167" t="s">
        <v>1186</v>
      </c>
      <c r="D167" t="s">
        <v>1286</v>
      </c>
      <c r="E167" t="s">
        <v>1285</v>
      </c>
    </row>
    <row r="168" spans="1:5" x14ac:dyDescent="0.3">
      <c r="A168" t="s">
        <v>1306</v>
      </c>
      <c r="B168" s="4">
        <v>43906</v>
      </c>
      <c r="C168" t="s">
        <v>1186</v>
      </c>
      <c r="D168" t="s">
        <v>1286</v>
      </c>
      <c r="E168" t="s">
        <v>1285</v>
      </c>
    </row>
    <row r="169" spans="1:5" x14ac:dyDescent="0.3">
      <c r="A169" t="s">
        <v>1305</v>
      </c>
      <c r="B169" s="4">
        <v>43906</v>
      </c>
      <c r="C169" t="s">
        <v>1186</v>
      </c>
      <c r="D169" t="s">
        <v>1286</v>
      </c>
      <c r="E169" t="s">
        <v>1303</v>
      </c>
    </row>
    <row r="170" spans="1:5" x14ac:dyDescent="0.3">
      <c r="A170" t="s">
        <v>1304</v>
      </c>
      <c r="B170" s="4">
        <v>43906</v>
      </c>
      <c r="C170" t="s">
        <v>1186</v>
      </c>
      <c r="D170" t="s">
        <v>1286</v>
      </c>
      <c r="E170" t="s">
        <v>1303</v>
      </c>
    </row>
    <row r="171" spans="1:5" x14ac:dyDescent="0.3">
      <c r="A171" t="s">
        <v>1302</v>
      </c>
      <c r="B171" s="4">
        <v>43904</v>
      </c>
      <c r="C171" t="s">
        <v>1186</v>
      </c>
      <c r="D171" t="s">
        <v>1286</v>
      </c>
      <c r="E171" t="s">
        <v>1285</v>
      </c>
    </row>
    <row r="172" spans="1:5" x14ac:dyDescent="0.3">
      <c r="A172" t="s">
        <v>1301</v>
      </c>
      <c r="B172" s="4">
        <v>43904</v>
      </c>
      <c r="C172" t="s">
        <v>1186</v>
      </c>
      <c r="D172" t="s">
        <v>1286</v>
      </c>
      <c r="E172" t="s">
        <v>1285</v>
      </c>
    </row>
    <row r="173" spans="1:5" x14ac:dyDescent="0.3">
      <c r="A173" t="s">
        <v>1300</v>
      </c>
      <c r="B173" s="4">
        <v>43904</v>
      </c>
      <c r="C173" t="s">
        <v>1186</v>
      </c>
      <c r="D173" t="s">
        <v>1286</v>
      </c>
      <c r="E173" t="s">
        <v>1285</v>
      </c>
    </row>
    <row r="174" spans="1:5" x14ac:dyDescent="0.3">
      <c r="A174" t="s">
        <v>1299</v>
      </c>
      <c r="B174" s="4">
        <v>43903</v>
      </c>
      <c r="C174" t="s">
        <v>1186</v>
      </c>
      <c r="D174" t="s">
        <v>1286</v>
      </c>
      <c r="E174" t="s">
        <v>1294</v>
      </c>
    </row>
    <row r="175" spans="1:5" x14ac:dyDescent="0.3">
      <c r="A175" t="s">
        <v>1298</v>
      </c>
      <c r="B175" s="4">
        <v>43903</v>
      </c>
      <c r="C175" t="s">
        <v>1186</v>
      </c>
      <c r="D175" t="s">
        <v>1286</v>
      </c>
      <c r="E175" t="s">
        <v>1294</v>
      </c>
    </row>
    <row r="176" spans="1:5" x14ac:dyDescent="0.3">
      <c r="A176" t="s">
        <v>1297</v>
      </c>
      <c r="B176" s="4">
        <v>43903</v>
      </c>
      <c r="C176" t="s">
        <v>1186</v>
      </c>
      <c r="D176" t="s">
        <v>1286</v>
      </c>
      <c r="E176" t="s">
        <v>1285</v>
      </c>
    </row>
    <row r="177" spans="1:5" x14ac:dyDescent="0.3">
      <c r="A177" t="s">
        <v>1296</v>
      </c>
      <c r="B177" s="4">
        <v>43903</v>
      </c>
      <c r="C177" t="s">
        <v>1186</v>
      </c>
      <c r="D177" t="s">
        <v>1286</v>
      </c>
      <c r="E177" t="s">
        <v>1285</v>
      </c>
    </row>
    <row r="178" spans="1:5" x14ac:dyDescent="0.3">
      <c r="A178" t="s">
        <v>1295</v>
      </c>
      <c r="B178" s="4">
        <v>43903</v>
      </c>
      <c r="C178" t="s">
        <v>1186</v>
      </c>
      <c r="D178" t="s">
        <v>1286</v>
      </c>
      <c r="E178" t="s">
        <v>1294</v>
      </c>
    </row>
    <row r="179" spans="1:5" x14ac:dyDescent="0.3">
      <c r="A179" t="s">
        <v>1293</v>
      </c>
      <c r="B179" s="4">
        <v>43903</v>
      </c>
      <c r="C179" t="s">
        <v>1186</v>
      </c>
      <c r="D179" t="s">
        <v>1286</v>
      </c>
      <c r="E179" t="s">
        <v>1285</v>
      </c>
    </row>
    <row r="180" spans="1:5" x14ac:dyDescent="0.3">
      <c r="A180" t="s">
        <v>1292</v>
      </c>
      <c r="B180" s="4">
        <v>43903</v>
      </c>
      <c r="C180" t="s">
        <v>1186</v>
      </c>
      <c r="D180" t="s">
        <v>1286</v>
      </c>
      <c r="E180" t="s">
        <v>1285</v>
      </c>
    </row>
    <row r="181" spans="1:5" x14ac:dyDescent="0.3">
      <c r="A181" t="s">
        <v>1291</v>
      </c>
      <c r="B181" s="4">
        <v>43903</v>
      </c>
      <c r="C181" t="s">
        <v>1186</v>
      </c>
      <c r="D181" t="s">
        <v>1286</v>
      </c>
      <c r="E181" t="s">
        <v>1285</v>
      </c>
    </row>
    <row r="182" spans="1:5" x14ac:dyDescent="0.3">
      <c r="A182" t="s">
        <v>1290</v>
      </c>
      <c r="B182" s="4">
        <v>43903</v>
      </c>
      <c r="C182" t="s">
        <v>1186</v>
      </c>
      <c r="D182" t="s">
        <v>1286</v>
      </c>
      <c r="E182" t="s">
        <v>1285</v>
      </c>
    </row>
    <row r="183" spans="1:5" x14ac:dyDescent="0.3">
      <c r="A183" t="s">
        <v>1289</v>
      </c>
      <c r="B183" s="4">
        <v>43903</v>
      </c>
      <c r="C183" t="s">
        <v>1186</v>
      </c>
      <c r="D183" t="s">
        <v>1286</v>
      </c>
      <c r="E183" t="s">
        <v>1285</v>
      </c>
    </row>
    <row r="184" spans="1:5" x14ac:dyDescent="0.3">
      <c r="A184" t="s">
        <v>1288</v>
      </c>
      <c r="B184" s="4">
        <v>43903</v>
      </c>
      <c r="C184" t="s">
        <v>1186</v>
      </c>
      <c r="D184" t="s">
        <v>1286</v>
      </c>
      <c r="E184" t="s">
        <v>1285</v>
      </c>
    </row>
    <row r="185" spans="1:5" x14ac:dyDescent="0.3">
      <c r="A185" t="s">
        <v>1287</v>
      </c>
      <c r="B185" s="4">
        <v>43903</v>
      </c>
      <c r="C185" t="s">
        <v>1186</v>
      </c>
      <c r="D185" t="s">
        <v>1286</v>
      </c>
      <c r="E185" t="s">
        <v>1285</v>
      </c>
    </row>
    <row r="186" spans="1:5" x14ac:dyDescent="0.3">
      <c r="A186" t="s">
        <v>1284</v>
      </c>
      <c r="B186" s="4">
        <v>43573</v>
      </c>
      <c r="C186" t="s">
        <v>1186</v>
      </c>
      <c r="D186" t="s">
        <v>1270</v>
      </c>
      <c r="E186" t="s">
        <v>1224</v>
      </c>
    </row>
    <row r="187" spans="1:5" x14ac:dyDescent="0.3">
      <c r="A187" t="s">
        <v>1283</v>
      </c>
      <c r="B187" s="4">
        <v>43518</v>
      </c>
      <c r="C187" t="s">
        <v>1186</v>
      </c>
      <c r="D187" t="s">
        <v>1270</v>
      </c>
      <c r="E187" t="s">
        <v>1224</v>
      </c>
    </row>
    <row r="188" spans="1:5" x14ac:dyDescent="0.3">
      <c r="A188" t="s">
        <v>1282</v>
      </c>
      <c r="B188" s="4">
        <v>43518</v>
      </c>
      <c r="C188" t="s">
        <v>1186</v>
      </c>
      <c r="D188" t="s">
        <v>1270</v>
      </c>
      <c r="E188" t="s">
        <v>1224</v>
      </c>
    </row>
    <row r="189" spans="1:5" x14ac:dyDescent="0.3">
      <c r="A189" t="s">
        <v>1281</v>
      </c>
      <c r="B189" s="4">
        <v>43517</v>
      </c>
      <c r="C189" t="s">
        <v>1186</v>
      </c>
      <c r="D189" t="s">
        <v>1270</v>
      </c>
      <c r="E189" t="s">
        <v>1224</v>
      </c>
    </row>
    <row r="190" spans="1:5" x14ac:dyDescent="0.3">
      <c r="A190" t="s">
        <v>1280</v>
      </c>
      <c r="B190" s="4">
        <v>43517</v>
      </c>
      <c r="C190" t="s">
        <v>1186</v>
      </c>
      <c r="D190" t="s">
        <v>1270</v>
      </c>
      <c r="E190" t="s">
        <v>1224</v>
      </c>
    </row>
    <row r="191" spans="1:5" x14ac:dyDescent="0.3">
      <c r="A191" t="s">
        <v>1279</v>
      </c>
      <c r="B191" s="4">
        <v>43517</v>
      </c>
      <c r="C191" t="s">
        <v>1186</v>
      </c>
      <c r="D191" t="s">
        <v>1270</v>
      </c>
      <c r="E191" t="s">
        <v>1224</v>
      </c>
    </row>
    <row r="192" spans="1:5" x14ac:dyDescent="0.3">
      <c r="A192" t="s">
        <v>1278</v>
      </c>
      <c r="B192" s="4">
        <v>43517</v>
      </c>
      <c r="C192" t="s">
        <v>1186</v>
      </c>
      <c r="D192" t="s">
        <v>1270</v>
      </c>
      <c r="E192" t="s">
        <v>1224</v>
      </c>
    </row>
    <row r="193" spans="1:5" x14ac:dyDescent="0.3">
      <c r="A193" t="s">
        <v>1277</v>
      </c>
      <c r="B193" s="4">
        <v>43517</v>
      </c>
      <c r="C193" t="s">
        <v>1186</v>
      </c>
      <c r="D193" t="s">
        <v>1270</v>
      </c>
      <c r="E193" t="s">
        <v>1224</v>
      </c>
    </row>
    <row r="194" spans="1:5" x14ac:dyDescent="0.3">
      <c r="A194" t="s">
        <v>1276</v>
      </c>
      <c r="B194" s="4">
        <v>43517</v>
      </c>
      <c r="C194" t="s">
        <v>1186</v>
      </c>
      <c r="D194" t="s">
        <v>1270</v>
      </c>
      <c r="E194" t="s">
        <v>1224</v>
      </c>
    </row>
    <row r="195" spans="1:5" x14ac:dyDescent="0.3">
      <c r="A195" t="s">
        <v>1275</v>
      </c>
      <c r="B195" s="4">
        <v>43516</v>
      </c>
      <c r="C195" t="s">
        <v>1186</v>
      </c>
      <c r="D195" t="s">
        <v>1270</v>
      </c>
      <c r="E195" t="s">
        <v>1224</v>
      </c>
    </row>
    <row r="196" spans="1:5" x14ac:dyDescent="0.3">
      <c r="A196" t="s">
        <v>1274</v>
      </c>
      <c r="B196" s="4">
        <v>43516</v>
      </c>
      <c r="C196" t="s">
        <v>1186</v>
      </c>
      <c r="D196" t="s">
        <v>1270</v>
      </c>
      <c r="E196" t="s">
        <v>1224</v>
      </c>
    </row>
    <row r="197" spans="1:5" x14ac:dyDescent="0.3">
      <c r="A197" t="s">
        <v>1273</v>
      </c>
      <c r="B197" s="4">
        <v>43516</v>
      </c>
      <c r="C197" t="s">
        <v>1186</v>
      </c>
      <c r="D197" t="s">
        <v>1270</v>
      </c>
      <c r="E197" t="s">
        <v>1224</v>
      </c>
    </row>
    <row r="198" spans="1:5" x14ac:dyDescent="0.3">
      <c r="A198" t="s">
        <v>1272</v>
      </c>
      <c r="B198" s="4">
        <v>43516</v>
      </c>
      <c r="C198" t="s">
        <v>1186</v>
      </c>
      <c r="D198" t="s">
        <v>1270</v>
      </c>
      <c r="E198" t="s">
        <v>1224</v>
      </c>
    </row>
    <row r="199" spans="1:5" x14ac:dyDescent="0.3">
      <c r="A199" t="s">
        <v>1271</v>
      </c>
      <c r="B199" s="4">
        <v>43516</v>
      </c>
      <c r="C199" t="s">
        <v>1186</v>
      </c>
      <c r="D199" t="s">
        <v>1270</v>
      </c>
      <c r="E199" t="s">
        <v>1224</v>
      </c>
    </row>
    <row r="200" spans="1:5" x14ac:dyDescent="0.3">
      <c r="A200" t="s">
        <v>1269</v>
      </c>
      <c r="B200" s="4">
        <v>43978</v>
      </c>
      <c r="C200" t="s">
        <v>1186</v>
      </c>
      <c r="D200" t="s">
        <v>1266</v>
      </c>
      <c r="E200" t="s">
        <v>1219</v>
      </c>
    </row>
    <row r="201" spans="1:5" x14ac:dyDescent="0.3">
      <c r="A201" t="s">
        <v>1268</v>
      </c>
      <c r="B201" s="4">
        <v>43978</v>
      </c>
      <c r="C201" t="s">
        <v>1186</v>
      </c>
      <c r="D201" t="s">
        <v>1266</v>
      </c>
      <c r="E201" t="s">
        <v>1219</v>
      </c>
    </row>
    <row r="202" spans="1:5" x14ac:dyDescent="0.3">
      <c r="A202" t="s">
        <v>1267</v>
      </c>
      <c r="B202" s="4">
        <v>43978</v>
      </c>
      <c r="C202" t="s">
        <v>1186</v>
      </c>
      <c r="D202" t="s">
        <v>1266</v>
      </c>
      <c r="E202" t="s">
        <v>1219</v>
      </c>
    </row>
    <row r="203" spans="1:5" x14ac:dyDescent="0.3">
      <c r="A203" t="s">
        <v>1265</v>
      </c>
      <c r="B203" s="4">
        <v>44099</v>
      </c>
      <c r="C203" t="s">
        <v>1186</v>
      </c>
      <c r="D203" t="s">
        <v>1262</v>
      </c>
      <c r="E203" t="s">
        <v>1219</v>
      </c>
    </row>
    <row r="204" spans="1:5" x14ac:dyDescent="0.3">
      <c r="A204" t="s">
        <v>1264</v>
      </c>
      <c r="B204" s="4">
        <v>44096</v>
      </c>
      <c r="C204" t="s">
        <v>1186</v>
      </c>
      <c r="D204" t="s">
        <v>1262</v>
      </c>
      <c r="E204" t="s">
        <v>1219</v>
      </c>
    </row>
    <row r="205" spans="1:5" x14ac:dyDescent="0.3">
      <c r="A205" t="s">
        <v>1263</v>
      </c>
      <c r="B205" s="4">
        <v>44096</v>
      </c>
      <c r="C205" t="s">
        <v>1186</v>
      </c>
      <c r="D205" t="s">
        <v>1262</v>
      </c>
      <c r="E205" t="s">
        <v>1219</v>
      </c>
    </row>
    <row r="206" spans="1:5" x14ac:dyDescent="0.3">
      <c r="A206" t="s">
        <v>1261</v>
      </c>
      <c r="B206" s="4">
        <v>44099</v>
      </c>
      <c r="C206" t="s">
        <v>1186</v>
      </c>
      <c r="D206" t="s">
        <v>1253</v>
      </c>
      <c r="E206" t="s">
        <v>488</v>
      </c>
    </row>
    <row r="207" spans="1:5" x14ac:dyDescent="0.3">
      <c r="A207" t="s">
        <v>1260</v>
      </c>
      <c r="B207" s="4">
        <v>44099</v>
      </c>
      <c r="C207" t="s">
        <v>1186</v>
      </c>
      <c r="D207" t="s">
        <v>1253</v>
      </c>
      <c r="E207" t="s">
        <v>488</v>
      </c>
    </row>
    <row r="208" spans="1:5" x14ac:dyDescent="0.3">
      <c r="A208" t="s">
        <v>1259</v>
      </c>
      <c r="B208" s="4">
        <v>44099</v>
      </c>
      <c r="C208" t="s">
        <v>1186</v>
      </c>
      <c r="D208" t="s">
        <v>1253</v>
      </c>
      <c r="E208" t="s">
        <v>488</v>
      </c>
    </row>
    <row r="209" spans="1:5" x14ac:dyDescent="0.3">
      <c r="A209" t="s">
        <v>1258</v>
      </c>
      <c r="B209" s="4">
        <v>44099</v>
      </c>
      <c r="C209" t="s">
        <v>1186</v>
      </c>
      <c r="D209" t="s">
        <v>1253</v>
      </c>
      <c r="E209" t="s">
        <v>488</v>
      </c>
    </row>
    <row r="210" spans="1:5" x14ac:dyDescent="0.3">
      <c r="A210" t="s">
        <v>1257</v>
      </c>
      <c r="B210" s="4">
        <v>44099</v>
      </c>
      <c r="C210" t="s">
        <v>1186</v>
      </c>
      <c r="D210" t="s">
        <v>1253</v>
      </c>
      <c r="E210" t="s">
        <v>488</v>
      </c>
    </row>
    <row r="211" spans="1:5" x14ac:dyDescent="0.3">
      <c r="A211" t="s">
        <v>1256</v>
      </c>
      <c r="B211" s="4">
        <v>44099</v>
      </c>
      <c r="C211" t="s">
        <v>1186</v>
      </c>
      <c r="D211" t="s">
        <v>1253</v>
      </c>
      <c r="E211" t="s">
        <v>488</v>
      </c>
    </row>
    <row r="212" spans="1:5" x14ac:dyDescent="0.3">
      <c r="A212" t="s">
        <v>1255</v>
      </c>
      <c r="B212" s="4">
        <v>44099</v>
      </c>
      <c r="C212" t="s">
        <v>1186</v>
      </c>
      <c r="D212" t="s">
        <v>1253</v>
      </c>
      <c r="E212" t="s">
        <v>488</v>
      </c>
    </row>
    <row r="213" spans="1:5" x14ac:dyDescent="0.3">
      <c r="A213" t="s">
        <v>1254</v>
      </c>
      <c r="B213" s="4">
        <v>44099</v>
      </c>
      <c r="C213" t="s">
        <v>1186</v>
      </c>
      <c r="D213" t="s">
        <v>1253</v>
      </c>
      <c r="E213" t="s">
        <v>488</v>
      </c>
    </row>
    <row r="214" spans="1:5" x14ac:dyDescent="0.3">
      <c r="A214" t="s">
        <v>1252</v>
      </c>
      <c r="B214" s="4">
        <v>43580</v>
      </c>
      <c r="C214" t="s">
        <v>1186</v>
      </c>
      <c r="D214" t="s">
        <v>1220</v>
      </c>
      <c r="E214" t="s">
        <v>1219</v>
      </c>
    </row>
    <row r="215" spans="1:5" x14ac:dyDescent="0.3">
      <c r="A215" t="s">
        <v>1251</v>
      </c>
      <c r="B215" s="4">
        <v>43580</v>
      </c>
      <c r="C215" t="s">
        <v>1186</v>
      </c>
      <c r="D215" t="s">
        <v>1220</v>
      </c>
      <c r="E215" t="s">
        <v>1219</v>
      </c>
    </row>
    <row r="216" spans="1:5" x14ac:dyDescent="0.3">
      <c r="A216" t="s">
        <v>1250</v>
      </c>
      <c r="B216" s="4">
        <v>43580</v>
      </c>
      <c r="C216" t="s">
        <v>1186</v>
      </c>
      <c r="D216" t="s">
        <v>1220</v>
      </c>
      <c r="E216" t="s">
        <v>1219</v>
      </c>
    </row>
    <row r="217" spans="1:5" x14ac:dyDescent="0.3">
      <c r="A217" t="s">
        <v>1249</v>
      </c>
      <c r="B217" s="4">
        <v>43580</v>
      </c>
      <c r="C217" t="s">
        <v>1186</v>
      </c>
      <c r="D217" t="s">
        <v>1220</v>
      </c>
      <c r="E217" t="s">
        <v>1219</v>
      </c>
    </row>
    <row r="218" spans="1:5" x14ac:dyDescent="0.3">
      <c r="A218" t="s">
        <v>1248</v>
      </c>
      <c r="B218" s="4">
        <v>43580</v>
      </c>
      <c r="C218" t="s">
        <v>1186</v>
      </c>
      <c r="D218" t="s">
        <v>1220</v>
      </c>
      <c r="E218" t="s">
        <v>1224</v>
      </c>
    </row>
    <row r="219" spans="1:5" x14ac:dyDescent="0.3">
      <c r="A219" t="s">
        <v>1247</v>
      </c>
      <c r="B219" s="4">
        <v>43580</v>
      </c>
      <c r="C219" t="s">
        <v>1186</v>
      </c>
      <c r="D219" t="s">
        <v>1220</v>
      </c>
      <c r="E219" t="s">
        <v>1224</v>
      </c>
    </row>
    <row r="220" spans="1:5" x14ac:dyDescent="0.3">
      <c r="A220" t="s">
        <v>1246</v>
      </c>
      <c r="B220" s="4">
        <v>43579</v>
      </c>
      <c r="C220" t="s">
        <v>1186</v>
      </c>
      <c r="D220" t="s">
        <v>1220</v>
      </c>
      <c r="E220" t="s">
        <v>1219</v>
      </c>
    </row>
    <row r="221" spans="1:5" x14ac:dyDescent="0.3">
      <c r="A221" t="s">
        <v>1245</v>
      </c>
      <c r="B221" s="4">
        <v>43579</v>
      </c>
      <c r="C221" t="s">
        <v>1186</v>
      </c>
      <c r="D221" t="s">
        <v>1220</v>
      </c>
      <c r="E221" t="s">
        <v>1219</v>
      </c>
    </row>
    <row r="222" spans="1:5" x14ac:dyDescent="0.3">
      <c r="A222" t="s">
        <v>1244</v>
      </c>
      <c r="B222" s="4">
        <v>43579</v>
      </c>
      <c r="C222" t="s">
        <v>1186</v>
      </c>
      <c r="D222" t="s">
        <v>1220</v>
      </c>
      <c r="E222" t="s">
        <v>1219</v>
      </c>
    </row>
    <row r="223" spans="1:5" x14ac:dyDescent="0.3">
      <c r="A223" t="s">
        <v>1243</v>
      </c>
      <c r="B223" s="4">
        <v>43579</v>
      </c>
      <c r="C223" t="s">
        <v>1186</v>
      </c>
      <c r="D223" t="s">
        <v>1220</v>
      </c>
      <c r="E223" t="s">
        <v>1219</v>
      </c>
    </row>
    <row r="224" spans="1:5" x14ac:dyDescent="0.3">
      <c r="A224" t="s">
        <v>1242</v>
      </c>
      <c r="B224" s="4">
        <v>43579</v>
      </c>
      <c r="C224" t="s">
        <v>1186</v>
      </c>
      <c r="D224" t="s">
        <v>1220</v>
      </c>
      <c r="E224" t="s">
        <v>1219</v>
      </c>
    </row>
    <row r="225" spans="1:5" x14ac:dyDescent="0.3">
      <c r="A225" t="s">
        <v>1241</v>
      </c>
      <c r="B225" s="4">
        <v>43579</v>
      </c>
      <c r="C225" t="s">
        <v>1186</v>
      </c>
      <c r="D225" t="s">
        <v>1220</v>
      </c>
      <c r="E225" t="s">
        <v>1219</v>
      </c>
    </row>
    <row r="226" spans="1:5" x14ac:dyDescent="0.3">
      <c r="A226" t="s">
        <v>1240</v>
      </c>
      <c r="B226" s="4">
        <v>43579</v>
      </c>
      <c r="C226" t="s">
        <v>1186</v>
      </c>
      <c r="D226" t="s">
        <v>1220</v>
      </c>
      <c r="E226" t="s">
        <v>1219</v>
      </c>
    </row>
    <row r="227" spans="1:5" x14ac:dyDescent="0.3">
      <c r="A227" t="s">
        <v>1239</v>
      </c>
      <c r="B227" s="4">
        <v>43579</v>
      </c>
      <c r="C227" t="s">
        <v>1186</v>
      </c>
      <c r="D227" t="s">
        <v>1220</v>
      </c>
      <c r="E227" t="s">
        <v>1219</v>
      </c>
    </row>
    <row r="228" spans="1:5" x14ac:dyDescent="0.3">
      <c r="A228" t="s">
        <v>1238</v>
      </c>
      <c r="B228" s="4">
        <v>43579</v>
      </c>
      <c r="C228" t="s">
        <v>1186</v>
      </c>
      <c r="D228" t="s">
        <v>1220</v>
      </c>
      <c r="E228" t="s">
        <v>1227</v>
      </c>
    </row>
    <row r="229" spans="1:5" x14ac:dyDescent="0.3">
      <c r="A229" t="s">
        <v>1237</v>
      </c>
      <c r="B229" s="4">
        <v>43579</v>
      </c>
      <c r="C229" t="s">
        <v>1186</v>
      </c>
      <c r="D229" t="s">
        <v>1220</v>
      </c>
      <c r="E229" t="s">
        <v>1227</v>
      </c>
    </row>
    <row r="230" spans="1:5" x14ac:dyDescent="0.3">
      <c r="A230" t="s">
        <v>1236</v>
      </c>
      <c r="B230" s="4">
        <v>43579</v>
      </c>
      <c r="C230" t="s">
        <v>1186</v>
      </c>
      <c r="D230" t="s">
        <v>1220</v>
      </c>
      <c r="E230" t="s">
        <v>1224</v>
      </c>
    </row>
    <row r="231" spans="1:5" x14ac:dyDescent="0.3">
      <c r="A231" t="s">
        <v>1235</v>
      </c>
      <c r="B231" s="4">
        <v>43579</v>
      </c>
      <c r="C231" t="s">
        <v>1186</v>
      </c>
      <c r="D231" t="s">
        <v>1220</v>
      </c>
      <c r="E231" t="s">
        <v>1224</v>
      </c>
    </row>
    <row r="232" spans="1:5" x14ac:dyDescent="0.3">
      <c r="A232" t="s">
        <v>1234</v>
      </c>
      <c r="B232" s="4">
        <v>43579</v>
      </c>
      <c r="C232" t="s">
        <v>1186</v>
      </c>
      <c r="D232" t="s">
        <v>1220</v>
      </c>
      <c r="E232" t="s">
        <v>1224</v>
      </c>
    </row>
    <row r="233" spans="1:5" x14ac:dyDescent="0.3">
      <c r="A233" t="s">
        <v>1233</v>
      </c>
      <c r="B233" s="4">
        <v>43579</v>
      </c>
      <c r="C233" t="s">
        <v>1186</v>
      </c>
      <c r="D233" t="s">
        <v>1220</v>
      </c>
      <c r="E233" t="s">
        <v>1224</v>
      </c>
    </row>
    <row r="234" spans="1:5" x14ac:dyDescent="0.3">
      <c r="A234" t="s">
        <v>1232</v>
      </c>
      <c r="B234" s="4">
        <v>43579</v>
      </c>
      <c r="C234" t="s">
        <v>1186</v>
      </c>
      <c r="D234" t="s">
        <v>1220</v>
      </c>
      <c r="E234" t="s">
        <v>1219</v>
      </c>
    </row>
    <row r="235" spans="1:5" x14ac:dyDescent="0.3">
      <c r="A235" t="s">
        <v>1231</v>
      </c>
      <c r="B235" s="4">
        <v>43579</v>
      </c>
      <c r="C235" t="s">
        <v>1186</v>
      </c>
      <c r="D235" t="s">
        <v>1220</v>
      </c>
      <c r="E235" t="s">
        <v>1219</v>
      </c>
    </row>
    <row r="236" spans="1:5" x14ac:dyDescent="0.3">
      <c r="A236" t="s">
        <v>1230</v>
      </c>
      <c r="B236" s="4">
        <v>43579</v>
      </c>
      <c r="C236" t="s">
        <v>1186</v>
      </c>
      <c r="D236" t="s">
        <v>1220</v>
      </c>
      <c r="E236" t="s">
        <v>1219</v>
      </c>
    </row>
    <row r="237" spans="1:5" x14ac:dyDescent="0.3">
      <c r="A237" t="s">
        <v>1229</v>
      </c>
      <c r="B237" s="4">
        <v>43579</v>
      </c>
      <c r="C237" t="s">
        <v>1186</v>
      </c>
      <c r="D237" t="s">
        <v>1220</v>
      </c>
      <c r="E237" t="s">
        <v>1227</v>
      </c>
    </row>
    <row r="238" spans="1:5" x14ac:dyDescent="0.3">
      <c r="A238" t="s">
        <v>1228</v>
      </c>
      <c r="B238" s="4">
        <v>43578</v>
      </c>
      <c r="C238" t="s">
        <v>1186</v>
      </c>
      <c r="D238" t="s">
        <v>1220</v>
      </c>
      <c r="E238" t="s">
        <v>1227</v>
      </c>
    </row>
    <row r="239" spans="1:5" x14ac:dyDescent="0.3">
      <c r="A239" t="s">
        <v>1226</v>
      </c>
      <c r="B239" s="4">
        <v>43578</v>
      </c>
      <c r="C239" t="s">
        <v>1186</v>
      </c>
      <c r="D239" t="s">
        <v>1220</v>
      </c>
      <c r="E239" t="s">
        <v>1224</v>
      </c>
    </row>
    <row r="240" spans="1:5" x14ac:dyDescent="0.3">
      <c r="A240" t="s">
        <v>1225</v>
      </c>
      <c r="B240" s="4">
        <v>43578</v>
      </c>
      <c r="C240" t="s">
        <v>1186</v>
      </c>
      <c r="D240" t="s">
        <v>1220</v>
      </c>
      <c r="E240" t="s">
        <v>1224</v>
      </c>
    </row>
    <row r="241" spans="1:5" x14ac:dyDescent="0.3">
      <c r="A241" t="s">
        <v>1223</v>
      </c>
      <c r="B241" s="4">
        <v>43578</v>
      </c>
      <c r="C241" t="s">
        <v>1186</v>
      </c>
      <c r="D241" t="s">
        <v>1220</v>
      </c>
      <c r="E241" t="s">
        <v>1219</v>
      </c>
    </row>
    <row r="242" spans="1:5" x14ac:dyDescent="0.3">
      <c r="A242" t="s">
        <v>1222</v>
      </c>
      <c r="B242" s="4">
        <v>43578</v>
      </c>
      <c r="C242" t="s">
        <v>1186</v>
      </c>
      <c r="D242" t="s">
        <v>1220</v>
      </c>
      <c r="E242" t="s">
        <v>1219</v>
      </c>
    </row>
    <row r="243" spans="1:5" x14ac:dyDescent="0.3">
      <c r="A243" t="s">
        <v>1221</v>
      </c>
      <c r="B243" s="4">
        <v>43578</v>
      </c>
      <c r="C243" t="s">
        <v>1186</v>
      </c>
      <c r="D243" t="s">
        <v>1220</v>
      </c>
      <c r="E243" t="s">
        <v>1219</v>
      </c>
    </row>
    <row r="244" spans="1:5" x14ac:dyDescent="0.3">
      <c r="A244" t="s">
        <v>1218</v>
      </c>
      <c r="B244" s="4">
        <v>43620</v>
      </c>
      <c r="C244" t="s">
        <v>1186</v>
      </c>
      <c r="D244" t="s">
        <v>1185</v>
      </c>
      <c r="E244" t="s">
        <v>488</v>
      </c>
    </row>
    <row r="245" spans="1:5" x14ac:dyDescent="0.3">
      <c r="A245" t="s">
        <v>1217</v>
      </c>
      <c r="B245" s="4">
        <v>43616</v>
      </c>
      <c r="C245" t="s">
        <v>1186</v>
      </c>
      <c r="D245" t="s">
        <v>1185</v>
      </c>
      <c r="E245" t="s">
        <v>488</v>
      </c>
    </row>
    <row r="246" spans="1:5" x14ac:dyDescent="0.3">
      <c r="A246" t="s">
        <v>1216</v>
      </c>
      <c r="B246" s="4">
        <v>43615</v>
      </c>
      <c r="C246" t="s">
        <v>1186</v>
      </c>
      <c r="D246" t="s">
        <v>1185</v>
      </c>
      <c r="E246" t="s">
        <v>1188</v>
      </c>
    </row>
    <row r="247" spans="1:5" x14ac:dyDescent="0.3">
      <c r="A247" t="s">
        <v>1215</v>
      </c>
      <c r="B247" s="4">
        <v>43615</v>
      </c>
      <c r="C247" t="s">
        <v>1186</v>
      </c>
      <c r="D247" t="s">
        <v>1185</v>
      </c>
      <c r="E247" t="s">
        <v>488</v>
      </c>
    </row>
    <row r="248" spans="1:5" x14ac:dyDescent="0.3">
      <c r="A248" t="s">
        <v>1214</v>
      </c>
      <c r="B248" s="4">
        <v>43615</v>
      </c>
      <c r="C248" t="s">
        <v>1186</v>
      </c>
      <c r="D248" t="s">
        <v>1185</v>
      </c>
      <c r="E248" t="s">
        <v>488</v>
      </c>
    </row>
    <row r="249" spans="1:5" x14ac:dyDescent="0.3">
      <c r="A249" t="s">
        <v>1213</v>
      </c>
      <c r="B249" s="4">
        <v>43615</v>
      </c>
      <c r="C249" t="s">
        <v>1186</v>
      </c>
      <c r="D249" t="s">
        <v>1185</v>
      </c>
      <c r="E249" t="s">
        <v>1188</v>
      </c>
    </row>
    <row r="250" spans="1:5" x14ac:dyDescent="0.3">
      <c r="A250" t="s">
        <v>1212</v>
      </c>
      <c r="B250" s="4">
        <v>43613</v>
      </c>
      <c r="C250" t="s">
        <v>1186</v>
      </c>
      <c r="D250" t="s">
        <v>1185</v>
      </c>
      <c r="E250" t="s">
        <v>1188</v>
      </c>
    </row>
    <row r="251" spans="1:5" x14ac:dyDescent="0.3">
      <c r="A251" t="s">
        <v>1211</v>
      </c>
      <c r="B251" s="4">
        <v>43613</v>
      </c>
      <c r="C251" t="s">
        <v>1186</v>
      </c>
      <c r="D251" t="s">
        <v>1185</v>
      </c>
      <c r="E251" t="s">
        <v>1188</v>
      </c>
    </row>
    <row r="252" spans="1:5" x14ac:dyDescent="0.3">
      <c r="A252" t="s">
        <v>1210</v>
      </c>
      <c r="B252" s="4">
        <v>43613</v>
      </c>
      <c r="C252" t="s">
        <v>1186</v>
      </c>
      <c r="D252" t="s">
        <v>1185</v>
      </c>
      <c r="E252" t="s">
        <v>1188</v>
      </c>
    </row>
    <row r="253" spans="1:5" x14ac:dyDescent="0.3">
      <c r="A253" t="s">
        <v>1209</v>
      </c>
      <c r="B253" s="4">
        <v>43613</v>
      </c>
      <c r="C253" t="s">
        <v>1186</v>
      </c>
      <c r="D253" t="s">
        <v>1185</v>
      </c>
      <c r="E253" t="s">
        <v>488</v>
      </c>
    </row>
    <row r="254" spans="1:5" x14ac:dyDescent="0.3">
      <c r="A254" t="s">
        <v>1208</v>
      </c>
      <c r="B254" s="4">
        <v>43612</v>
      </c>
      <c r="C254" t="s">
        <v>1186</v>
      </c>
      <c r="D254" t="s">
        <v>1185</v>
      </c>
      <c r="E254" t="s">
        <v>488</v>
      </c>
    </row>
    <row r="255" spans="1:5" x14ac:dyDescent="0.3">
      <c r="A255" t="s">
        <v>1207</v>
      </c>
      <c r="B255" s="4">
        <v>43612</v>
      </c>
      <c r="C255" t="s">
        <v>1186</v>
      </c>
      <c r="D255" t="s">
        <v>1185</v>
      </c>
      <c r="E255" t="s">
        <v>488</v>
      </c>
    </row>
    <row r="256" spans="1:5" x14ac:dyDescent="0.3">
      <c r="A256" t="s">
        <v>1206</v>
      </c>
      <c r="B256" s="4">
        <v>43609</v>
      </c>
      <c r="C256" t="s">
        <v>1186</v>
      </c>
      <c r="D256" t="s">
        <v>1185</v>
      </c>
      <c r="E256" t="s">
        <v>488</v>
      </c>
    </row>
    <row r="257" spans="1:5" x14ac:dyDescent="0.3">
      <c r="A257" t="s">
        <v>1205</v>
      </c>
      <c r="B257" s="4">
        <v>43607</v>
      </c>
      <c r="C257" t="s">
        <v>1186</v>
      </c>
      <c r="D257" t="s">
        <v>1185</v>
      </c>
      <c r="E257" t="s">
        <v>488</v>
      </c>
    </row>
    <row r="258" spans="1:5" x14ac:dyDescent="0.3">
      <c r="A258" t="s">
        <v>1204</v>
      </c>
      <c r="B258" s="4">
        <v>43607</v>
      </c>
      <c r="C258" t="s">
        <v>1186</v>
      </c>
      <c r="D258" t="s">
        <v>1185</v>
      </c>
      <c r="E258" t="s">
        <v>1188</v>
      </c>
    </row>
    <row r="259" spans="1:5" x14ac:dyDescent="0.3">
      <c r="A259" t="s">
        <v>1203</v>
      </c>
      <c r="B259" s="4">
        <v>43601</v>
      </c>
      <c r="C259" t="s">
        <v>1186</v>
      </c>
      <c r="D259" t="s">
        <v>1185</v>
      </c>
      <c r="E259" t="s">
        <v>488</v>
      </c>
    </row>
    <row r="260" spans="1:5" x14ac:dyDescent="0.3">
      <c r="A260" t="s">
        <v>1202</v>
      </c>
      <c r="B260" s="4">
        <v>43601</v>
      </c>
      <c r="C260" t="s">
        <v>1186</v>
      </c>
      <c r="D260" t="s">
        <v>1185</v>
      </c>
      <c r="E260" t="s">
        <v>1188</v>
      </c>
    </row>
    <row r="261" spans="1:5" x14ac:dyDescent="0.3">
      <c r="A261" t="s">
        <v>1201</v>
      </c>
      <c r="B261" s="4">
        <v>43601</v>
      </c>
      <c r="C261" t="s">
        <v>1186</v>
      </c>
      <c r="D261" t="s">
        <v>1185</v>
      </c>
      <c r="E261" t="s">
        <v>488</v>
      </c>
    </row>
    <row r="262" spans="1:5" x14ac:dyDescent="0.3">
      <c r="A262" t="s">
        <v>1200</v>
      </c>
      <c r="B262" s="4">
        <v>43601</v>
      </c>
      <c r="C262" t="s">
        <v>1186</v>
      </c>
      <c r="D262" t="s">
        <v>1185</v>
      </c>
      <c r="E262" t="s">
        <v>488</v>
      </c>
    </row>
    <row r="263" spans="1:5" x14ac:dyDescent="0.3">
      <c r="A263" t="s">
        <v>1199</v>
      </c>
      <c r="B263" s="4">
        <v>43599</v>
      </c>
      <c r="C263" t="s">
        <v>1186</v>
      </c>
      <c r="D263" t="s">
        <v>1185</v>
      </c>
      <c r="E263" t="s">
        <v>488</v>
      </c>
    </row>
    <row r="264" spans="1:5" x14ac:dyDescent="0.3">
      <c r="A264" t="s">
        <v>1198</v>
      </c>
      <c r="B264" s="4">
        <v>43599</v>
      </c>
      <c r="C264" t="s">
        <v>1186</v>
      </c>
      <c r="D264" t="s">
        <v>1185</v>
      </c>
      <c r="E264" t="s">
        <v>1188</v>
      </c>
    </row>
    <row r="265" spans="1:5" x14ac:dyDescent="0.3">
      <c r="A265" t="s">
        <v>1197</v>
      </c>
      <c r="B265" s="4">
        <v>43599</v>
      </c>
      <c r="C265" t="s">
        <v>1186</v>
      </c>
      <c r="D265" t="s">
        <v>1185</v>
      </c>
      <c r="E265" t="s">
        <v>1188</v>
      </c>
    </row>
    <row r="266" spans="1:5" x14ac:dyDescent="0.3">
      <c r="A266" t="s">
        <v>1196</v>
      </c>
      <c r="B266" s="4">
        <v>43599</v>
      </c>
      <c r="C266" t="s">
        <v>1186</v>
      </c>
      <c r="D266" t="s">
        <v>1185</v>
      </c>
      <c r="E266" t="s">
        <v>488</v>
      </c>
    </row>
    <row r="267" spans="1:5" x14ac:dyDescent="0.3">
      <c r="A267" t="s">
        <v>1195</v>
      </c>
      <c r="B267" s="4">
        <v>43598</v>
      </c>
      <c r="C267" t="s">
        <v>1186</v>
      </c>
      <c r="D267" t="s">
        <v>1185</v>
      </c>
      <c r="E267" t="s">
        <v>1193</v>
      </c>
    </row>
    <row r="268" spans="1:5" x14ac:dyDescent="0.3">
      <c r="A268" t="s">
        <v>1194</v>
      </c>
      <c r="B268" s="4">
        <v>43598</v>
      </c>
      <c r="C268" t="s">
        <v>1186</v>
      </c>
      <c r="D268" t="s">
        <v>1185</v>
      </c>
      <c r="E268" t="s">
        <v>1193</v>
      </c>
    </row>
    <row r="269" spans="1:5" x14ac:dyDescent="0.3">
      <c r="A269" t="s">
        <v>1192</v>
      </c>
      <c r="B269" s="4">
        <v>43598</v>
      </c>
      <c r="C269" t="s">
        <v>1186</v>
      </c>
      <c r="D269" t="s">
        <v>1185</v>
      </c>
      <c r="E269" t="s">
        <v>488</v>
      </c>
    </row>
    <row r="270" spans="1:5" x14ac:dyDescent="0.3">
      <c r="A270" t="s">
        <v>1191</v>
      </c>
      <c r="B270" s="4">
        <v>43595</v>
      </c>
      <c r="C270" t="s">
        <v>1186</v>
      </c>
      <c r="D270" t="s">
        <v>1185</v>
      </c>
      <c r="E270" t="s">
        <v>1188</v>
      </c>
    </row>
    <row r="271" spans="1:5" x14ac:dyDescent="0.3">
      <c r="A271" t="s">
        <v>1190</v>
      </c>
      <c r="B271" s="4">
        <v>43593</v>
      </c>
      <c r="C271" t="s">
        <v>1186</v>
      </c>
      <c r="D271" t="s">
        <v>1185</v>
      </c>
      <c r="E271" t="s">
        <v>488</v>
      </c>
    </row>
    <row r="272" spans="1:5" x14ac:dyDescent="0.3">
      <c r="A272" t="s">
        <v>1189</v>
      </c>
      <c r="B272" s="4">
        <v>43589</v>
      </c>
      <c r="C272" t="s">
        <v>1186</v>
      </c>
      <c r="D272" t="s">
        <v>1185</v>
      </c>
      <c r="E272" t="s">
        <v>1188</v>
      </c>
    </row>
    <row r="273" spans="1:5" x14ac:dyDescent="0.3">
      <c r="A273" t="s">
        <v>1187</v>
      </c>
      <c r="B273" s="4">
        <v>43588</v>
      </c>
      <c r="C273" t="s">
        <v>1186</v>
      </c>
      <c r="D273" t="s">
        <v>1185</v>
      </c>
      <c r="E273" t="s">
        <v>488</v>
      </c>
    </row>
    <row r="274" spans="1:5" x14ac:dyDescent="0.3">
      <c r="A274" t="s">
        <v>1184</v>
      </c>
      <c r="B274" s="4">
        <v>43801</v>
      </c>
      <c r="C274" t="s">
        <v>452</v>
      </c>
      <c r="D274" t="s">
        <v>1153</v>
      </c>
      <c r="E274" t="s">
        <v>1182</v>
      </c>
    </row>
    <row r="275" spans="1:5" x14ac:dyDescent="0.3">
      <c r="A275" t="s">
        <v>1183</v>
      </c>
      <c r="B275" s="4">
        <v>43801</v>
      </c>
      <c r="C275" t="s">
        <v>452</v>
      </c>
      <c r="D275" t="s">
        <v>1153</v>
      </c>
      <c r="E275" t="s">
        <v>1182</v>
      </c>
    </row>
    <row r="276" spans="1:5" x14ac:dyDescent="0.3">
      <c r="A276" t="s">
        <v>1181</v>
      </c>
      <c r="B276" s="4">
        <v>43801</v>
      </c>
      <c r="C276" t="s">
        <v>452</v>
      </c>
      <c r="D276" t="s">
        <v>1153</v>
      </c>
      <c r="E276" t="s">
        <v>1158</v>
      </c>
    </row>
    <row r="277" spans="1:5" x14ac:dyDescent="0.3">
      <c r="A277" t="s">
        <v>1180</v>
      </c>
      <c r="B277" s="4">
        <v>43801</v>
      </c>
      <c r="C277" t="s">
        <v>452</v>
      </c>
      <c r="D277" t="s">
        <v>1153</v>
      </c>
      <c r="E277" t="s">
        <v>1158</v>
      </c>
    </row>
    <row r="278" spans="1:5" x14ac:dyDescent="0.3">
      <c r="A278" t="s">
        <v>1179</v>
      </c>
      <c r="B278" s="4">
        <v>43801</v>
      </c>
      <c r="C278" t="s">
        <v>452</v>
      </c>
      <c r="D278" t="s">
        <v>1153</v>
      </c>
      <c r="E278" t="s">
        <v>1158</v>
      </c>
    </row>
    <row r="279" spans="1:5" x14ac:dyDescent="0.3">
      <c r="A279" t="s">
        <v>1178</v>
      </c>
      <c r="B279" s="4">
        <v>43801</v>
      </c>
      <c r="C279" t="s">
        <v>452</v>
      </c>
      <c r="D279" t="s">
        <v>1153</v>
      </c>
      <c r="E279" t="s">
        <v>1158</v>
      </c>
    </row>
    <row r="280" spans="1:5" x14ac:dyDescent="0.3">
      <c r="A280" t="s">
        <v>1177</v>
      </c>
      <c r="B280" s="4">
        <v>43801</v>
      </c>
      <c r="C280" t="s">
        <v>452</v>
      </c>
      <c r="D280" t="s">
        <v>1153</v>
      </c>
      <c r="E280" t="s">
        <v>1158</v>
      </c>
    </row>
    <row r="281" spans="1:5" x14ac:dyDescent="0.3">
      <c r="A281" t="s">
        <v>1176</v>
      </c>
      <c r="B281" s="4">
        <v>43801</v>
      </c>
      <c r="C281" t="s">
        <v>452</v>
      </c>
      <c r="D281" t="s">
        <v>1153</v>
      </c>
      <c r="E281" t="s">
        <v>488</v>
      </c>
    </row>
    <row r="282" spans="1:5" x14ac:dyDescent="0.3">
      <c r="A282" t="s">
        <v>1175</v>
      </c>
      <c r="B282" s="4">
        <v>43801</v>
      </c>
      <c r="C282" t="s">
        <v>452</v>
      </c>
      <c r="D282" t="s">
        <v>1153</v>
      </c>
      <c r="E282" t="s">
        <v>1158</v>
      </c>
    </row>
    <row r="283" spans="1:5" x14ac:dyDescent="0.3">
      <c r="A283" t="s">
        <v>1174</v>
      </c>
      <c r="B283" s="4">
        <v>43801</v>
      </c>
      <c r="C283" t="s">
        <v>452</v>
      </c>
      <c r="D283" t="s">
        <v>1153</v>
      </c>
      <c r="E283" t="s">
        <v>1158</v>
      </c>
    </row>
    <row r="284" spans="1:5" x14ac:dyDescent="0.3">
      <c r="A284" t="s">
        <v>1173</v>
      </c>
      <c r="B284" s="4">
        <v>43800</v>
      </c>
      <c r="C284" t="s">
        <v>452</v>
      </c>
      <c r="D284" t="s">
        <v>1153</v>
      </c>
      <c r="E284" t="s">
        <v>488</v>
      </c>
    </row>
    <row r="285" spans="1:5" x14ac:dyDescent="0.3">
      <c r="A285" t="s">
        <v>1172</v>
      </c>
      <c r="B285" s="4">
        <v>43800</v>
      </c>
      <c r="C285" t="s">
        <v>452</v>
      </c>
      <c r="D285" t="s">
        <v>1153</v>
      </c>
      <c r="E285" t="s">
        <v>1171</v>
      </c>
    </row>
    <row r="286" spans="1:5" x14ac:dyDescent="0.3">
      <c r="A286" t="s">
        <v>1170</v>
      </c>
      <c r="B286" s="4">
        <v>43799</v>
      </c>
      <c r="C286" t="s">
        <v>452</v>
      </c>
      <c r="D286" t="s">
        <v>1153</v>
      </c>
      <c r="E286" t="s">
        <v>488</v>
      </c>
    </row>
    <row r="287" spans="1:5" x14ac:dyDescent="0.3">
      <c r="A287" t="s">
        <v>1169</v>
      </c>
      <c r="B287" s="4">
        <v>43799</v>
      </c>
      <c r="C287" t="s">
        <v>452</v>
      </c>
      <c r="D287" t="s">
        <v>1153</v>
      </c>
      <c r="E287" t="s">
        <v>1165</v>
      </c>
    </row>
    <row r="288" spans="1:5" x14ac:dyDescent="0.3">
      <c r="A288" t="s">
        <v>1168</v>
      </c>
      <c r="B288" s="4">
        <v>43799</v>
      </c>
      <c r="C288" t="s">
        <v>452</v>
      </c>
      <c r="D288" t="s">
        <v>1153</v>
      </c>
      <c r="E288" t="s">
        <v>1165</v>
      </c>
    </row>
    <row r="289" spans="1:5" x14ac:dyDescent="0.3">
      <c r="A289" t="s">
        <v>1167</v>
      </c>
      <c r="B289" s="4">
        <v>43799</v>
      </c>
      <c r="C289" t="s">
        <v>452</v>
      </c>
      <c r="D289" t="s">
        <v>1153</v>
      </c>
      <c r="E289" t="s">
        <v>1165</v>
      </c>
    </row>
    <row r="290" spans="1:5" x14ac:dyDescent="0.3">
      <c r="A290" t="s">
        <v>1166</v>
      </c>
      <c r="B290" s="4">
        <v>43798</v>
      </c>
      <c r="C290" t="s">
        <v>452</v>
      </c>
      <c r="D290" t="s">
        <v>1153</v>
      </c>
      <c r="E290" t="s">
        <v>1165</v>
      </c>
    </row>
    <row r="291" spans="1:5" x14ac:dyDescent="0.3">
      <c r="A291" t="s">
        <v>1164</v>
      </c>
      <c r="B291" s="4">
        <v>43797</v>
      </c>
      <c r="C291" t="s">
        <v>452</v>
      </c>
      <c r="D291" t="s">
        <v>1153</v>
      </c>
      <c r="E291" t="s">
        <v>488</v>
      </c>
    </row>
    <row r="292" spans="1:5" x14ac:dyDescent="0.3">
      <c r="A292" t="s">
        <v>1163</v>
      </c>
      <c r="B292" s="4">
        <v>43796</v>
      </c>
      <c r="C292" t="s">
        <v>452</v>
      </c>
      <c r="D292" t="s">
        <v>1153</v>
      </c>
      <c r="E292" t="s">
        <v>488</v>
      </c>
    </row>
    <row r="293" spans="1:5" x14ac:dyDescent="0.3">
      <c r="A293" t="s">
        <v>1162</v>
      </c>
      <c r="B293" s="4">
        <v>43796</v>
      </c>
      <c r="C293" t="s">
        <v>452</v>
      </c>
      <c r="D293" t="s">
        <v>1153</v>
      </c>
      <c r="E293" t="s">
        <v>1158</v>
      </c>
    </row>
    <row r="294" spans="1:5" x14ac:dyDescent="0.3">
      <c r="A294" t="s">
        <v>1161</v>
      </c>
      <c r="B294" s="4">
        <v>43796</v>
      </c>
      <c r="C294" t="s">
        <v>452</v>
      </c>
      <c r="D294" t="s">
        <v>1153</v>
      </c>
      <c r="E294" t="s">
        <v>1158</v>
      </c>
    </row>
    <row r="295" spans="1:5" x14ac:dyDescent="0.3">
      <c r="A295" t="s">
        <v>1160</v>
      </c>
      <c r="B295" s="4">
        <v>43796</v>
      </c>
      <c r="C295" t="s">
        <v>452</v>
      </c>
      <c r="D295" t="s">
        <v>1153</v>
      </c>
      <c r="E295" t="s">
        <v>1158</v>
      </c>
    </row>
    <row r="296" spans="1:5" x14ac:dyDescent="0.3">
      <c r="A296" t="s">
        <v>1159</v>
      </c>
      <c r="B296" s="4">
        <v>43796</v>
      </c>
      <c r="C296" t="s">
        <v>452</v>
      </c>
      <c r="D296" t="s">
        <v>1153</v>
      </c>
      <c r="E296" t="s">
        <v>1158</v>
      </c>
    </row>
    <row r="297" spans="1:5" x14ac:dyDescent="0.3">
      <c r="A297" t="s">
        <v>1157</v>
      </c>
      <c r="B297" s="4">
        <v>43795</v>
      </c>
      <c r="C297" t="s">
        <v>452</v>
      </c>
      <c r="D297" t="s">
        <v>1153</v>
      </c>
      <c r="E297" t="s">
        <v>488</v>
      </c>
    </row>
    <row r="298" spans="1:5" x14ac:dyDescent="0.3">
      <c r="A298" t="s">
        <v>1156</v>
      </c>
      <c r="B298" s="4">
        <v>43795</v>
      </c>
      <c r="C298" t="s">
        <v>452</v>
      </c>
      <c r="D298" t="s">
        <v>1153</v>
      </c>
      <c r="E298" t="s">
        <v>1152</v>
      </c>
    </row>
    <row r="299" spans="1:5" x14ac:dyDescent="0.3">
      <c r="A299" t="s">
        <v>1155</v>
      </c>
      <c r="B299" s="4">
        <v>43795</v>
      </c>
      <c r="C299" t="s">
        <v>452</v>
      </c>
      <c r="D299" t="s">
        <v>1153</v>
      </c>
      <c r="E299" t="s">
        <v>1152</v>
      </c>
    </row>
    <row r="300" spans="1:5" x14ac:dyDescent="0.3">
      <c r="A300" t="s">
        <v>1154</v>
      </c>
      <c r="B300" s="4">
        <v>43795</v>
      </c>
      <c r="C300" t="s">
        <v>452</v>
      </c>
      <c r="D300" t="s">
        <v>1153</v>
      </c>
      <c r="E300" t="s">
        <v>1152</v>
      </c>
    </row>
    <row r="301" spans="1:5" x14ac:dyDescent="0.3">
      <c r="A301" t="s">
        <v>1154</v>
      </c>
      <c r="B301" s="4">
        <v>43795</v>
      </c>
      <c r="C301" t="s">
        <v>452</v>
      </c>
      <c r="D301" t="s">
        <v>1153</v>
      </c>
      <c r="E301" t="s">
        <v>1152</v>
      </c>
    </row>
    <row r="302" spans="1:5" x14ac:dyDescent="0.3">
      <c r="A302" t="s">
        <v>1154</v>
      </c>
      <c r="B302" s="4">
        <v>43795</v>
      </c>
      <c r="C302" t="s">
        <v>452</v>
      </c>
      <c r="D302" t="s">
        <v>1153</v>
      </c>
      <c r="E302" t="s">
        <v>1152</v>
      </c>
    </row>
    <row r="303" spans="1:5" x14ac:dyDescent="0.3">
      <c r="A303" t="s">
        <v>1154</v>
      </c>
      <c r="B303" s="4">
        <v>43795</v>
      </c>
      <c r="C303" t="s">
        <v>452</v>
      </c>
      <c r="D303" t="s">
        <v>1153</v>
      </c>
      <c r="E303" t="s">
        <v>1152</v>
      </c>
    </row>
    <row r="304" spans="1:5" x14ac:dyDescent="0.3">
      <c r="A304" t="s">
        <v>1151</v>
      </c>
      <c r="B304" s="4">
        <v>44083</v>
      </c>
      <c r="C304" t="s">
        <v>452</v>
      </c>
      <c r="D304" t="s">
        <v>1121</v>
      </c>
      <c r="E304" t="s">
        <v>488</v>
      </c>
    </row>
    <row r="305" spans="1:5" x14ac:dyDescent="0.3">
      <c r="A305" t="s">
        <v>1150</v>
      </c>
      <c r="B305" s="4">
        <v>44083</v>
      </c>
      <c r="C305" t="s">
        <v>452</v>
      </c>
      <c r="D305" t="s">
        <v>1121</v>
      </c>
      <c r="E305" t="s">
        <v>488</v>
      </c>
    </row>
    <row r="306" spans="1:5" x14ac:dyDescent="0.3">
      <c r="A306" t="s">
        <v>1149</v>
      </c>
      <c r="B306" s="4">
        <v>44083</v>
      </c>
      <c r="C306" t="s">
        <v>452</v>
      </c>
      <c r="D306" t="s">
        <v>1121</v>
      </c>
      <c r="E306" t="s">
        <v>488</v>
      </c>
    </row>
    <row r="307" spans="1:5" x14ac:dyDescent="0.3">
      <c r="A307" t="s">
        <v>1148</v>
      </c>
      <c r="B307" s="4">
        <v>44083</v>
      </c>
      <c r="C307" t="s">
        <v>452</v>
      </c>
      <c r="D307" t="s">
        <v>1121</v>
      </c>
      <c r="E307" t="s">
        <v>629</v>
      </c>
    </row>
    <row r="308" spans="1:5" x14ac:dyDescent="0.3">
      <c r="A308" t="s">
        <v>1147</v>
      </c>
      <c r="B308" s="4">
        <v>44083</v>
      </c>
      <c r="C308" t="s">
        <v>452</v>
      </c>
      <c r="D308" t="s">
        <v>1121</v>
      </c>
      <c r="E308" t="s">
        <v>488</v>
      </c>
    </row>
    <row r="309" spans="1:5" x14ac:dyDescent="0.3">
      <c r="A309" t="s">
        <v>1146</v>
      </c>
      <c r="B309" s="4">
        <v>44083</v>
      </c>
      <c r="C309" t="s">
        <v>452</v>
      </c>
      <c r="D309" t="s">
        <v>1121</v>
      </c>
      <c r="E309" t="s">
        <v>488</v>
      </c>
    </row>
    <row r="310" spans="1:5" x14ac:dyDescent="0.3">
      <c r="A310" t="s">
        <v>1145</v>
      </c>
      <c r="B310" s="4">
        <v>44083</v>
      </c>
      <c r="C310" t="s">
        <v>452</v>
      </c>
      <c r="D310" t="s">
        <v>1121</v>
      </c>
      <c r="E310" t="s">
        <v>488</v>
      </c>
    </row>
    <row r="311" spans="1:5" x14ac:dyDescent="0.3">
      <c r="A311" t="s">
        <v>1144</v>
      </c>
      <c r="B311" s="4">
        <v>44083</v>
      </c>
      <c r="C311" t="s">
        <v>452</v>
      </c>
      <c r="D311" t="s">
        <v>1121</v>
      </c>
      <c r="E311" t="s">
        <v>488</v>
      </c>
    </row>
    <row r="312" spans="1:5" x14ac:dyDescent="0.3">
      <c r="A312" t="s">
        <v>1143</v>
      </c>
      <c r="B312" s="4">
        <v>44078</v>
      </c>
      <c r="C312" t="s">
        <v>452</v>
      </c>
      <c r="D312" t="s">
        <v>1121</v>
      </c>
      <c r="E312" t="s">
        <v>488</v>
      </c>
    </row>
    <row r="313" spans="1:5" x14ac:dyDescent="0.3">
      <c r="A313" t="s">
        <v>1142</v>
      </c>
      <c r="B313" s="4">
        <v>44078</v>
      </c>
      <c r="C313" t="s">
        <v>452</v>
      </c>
      <c r="D313" t="s">
        <v>1121</v>
      </c>
      <c r="E313" t="s">
        <v>488</v>
      </c>
    </row>
    <row r="314" spans="1:5" x14ac:dyDescent="0.3">
      <c r="A314" t="s">
        <v>1141</v>
      </c>
      <c r="B314" s="4">
        <v>44078</v>
      </c>
      <c r="C314" t="s">
        <v>452</v>
      </c>
      <c r="D314" t="s">
        <v>1121</v>
      </c>
      <c r="E314" t="s">
        <v>629</v>
      </c>
    </row>
    <row r="315" spans="1:5" x14ac:dyDescent="0.3">
      <c r="A315" t="s">
        <v>1140</v>
      </c>
      <c r="B315" s="4">
        <v>44078</v>
      </c>
      <c r="C315" t="s">
        <v>452</v>
      </c>
      <c r="D315" t="s">
        <v>1121</v>
      </c>
      <c r="E315" t="s">
        <v>629</v>
      </c>
    </row>
    <row r="316" spans="1:5" x14ac:dyDescent="0.3">
      <c r="A316" t="s">
        <v>1139</v>
      </c>
      <c r="B316" s="4">
        <v>44078</v>
      </c>
      <c r="C316" t="s">
        <v>452</v>
      </c>
      <c r="D316" t="s">
        <v>1121</v>
      </c>
      <c r="E316" t="s">
        <v>488</v>
      </c>
    </row>
    <row r="317" spans="1:5" x14ac:dyDescent="0.3">
      <c r="A317" t="s">
        <v>1138</v>
      </c>
      <c r="B317" s="4">
        <v>44078</v>
      </c>
      <c r="C317" t="s">
        <v>452</v>
      </c>
      <c r="D317" t="s">
        <v>1121</v>
      </c>
      <c r="E317" t="s">
        <v>488</v>
      </c>
    </row>
    <row r="318" spans="1:5" x14ac:dyDescent="0.3">
      <c r="A318" t="s">
        <v>1137</v>
      </c>
      <c r="B318" s="4">
        <v>44078</v>
      </c>
      <c r="C318" t="s">
        <v>452</v>
      </c>
      <c r="D318" t="s">
        <v>1121</v>
      </c>
      <c r="E318" t="s">
        <v>488</v>
      </c>
    </row>
    <row r="319" spans="1:5" x14ac:dyDescent="0.3">
      <c r="A319" t="s">
        <v>1136</v>
      </c>
      <c r="B319" s="4">
        <v>44078</v>
      </c>
      <c r="C319" t="s">
        <v>452</v>
      </c>
      <c r="D319" t="s">
        <v>1121</v>
      </c>
      <c r="E319" t="s">
        <v>488</v>
      </c>
    </row>
    <row r="320" spans="1:5" x14ac:dyDescent="0.3">
      <c r="A320" t="s">
        <v>1135</v>
      </c>
      <c r="B320" s="4">
        <v>44078</v>
      </c>
      <c r="C320" t="s">
        <v>452</v>
      </c>
      <c r="D320" t="s">
        <v>1121</v>
      </c>
      <c r="E320" t="s">
        <v>629</v>
      </c>
    </row>
    <row r="321" spans="1:5" x14ac:dyDescent="0.3">
      <c r="A321" t="s">
        <v>1134</v>
      </c>
      <c r="B321" s="4">
        <v>44078</v>
      </c>
      <c r="C321" t="s">
        <v>452</v>
      </c>
      <c r="D321" t="s">
        <v>1121</v>
      </c>
      <c r="E321" t="s">
        <v>629</v>
      </c>
    </row>
    <row r="322" spans="1:5" x14ac:dyDescent="0.3">
      <c r="A322" t="s">
        <v>1133</v>
      </c>
      <c r="B322" s="4">
        <v>44078</v>
      </c>
      <c r="C322" t="s">
        <v>452</v>
      </c>
      <c r="D322" t="s">
        <v>1121</v>
      </c>
      <c r="E322" t="s">
        <v>629</v>
      </c>
    </row>
    <row r="323" spans="1:5" x14ac:dyDescent="0.3">
      <c r="A323" t="s">
        <v>1132</v>
      </c>
      <c r="B323" s="4">
        <v>44078</v>
      </c>
      <c r="C323" t="s">
        <v>452</v>
      </c>
      <c r="D323" t="s">
        <v>1121</v>
      </c>
      <c r="E323" t="s">
        <v>629</v>
      </c>
    </row>
    <row r="324" spans="1:5" x14ac:dyDescent="0.3">
      <c r="A324" t="s">
        <v>1131</v>
      </c>
      <c r="B324" s="4">
        <v>44078</v>
      </c>
      <c r="C324" t="s">
        <v>452</v>
      </c>
      <c r="D324" t="s">
        <v>1121</v>
      </c>
      <c r="E324" t="s">
        <v>629</v>
      </c>
    </row>
    <row r="325" spans="1:5" x14ac:dyDescent="0.3">
      <c r="A325" t="s">
        <v>1130</v>
      </c>
      <c r="B325" s="4">
        <v>44078</v>
      </c>
      <c r="C325" t="s">
        <v>452</v>
      </c>
      <c r="D325" t="s">
        <v>1121</v>
      </c>
      <c r="E325" t="s">
        <v>629</v>
      </c>
    </row>
    <row r="326" spans="1:5" x14ac:dyDescent="0.3">
      <c r="A326" t="s">
        <v>1129</v>
      </c>
      <c r="B326" s="4">
        <v>44077</v>
      </c>
      <c r="C326" t="s">
        <v>452</v>
      </c>
      <c r="D326" t="s">
        <v>1121</v>
      </c>
      <c r="E326" t="s">
        <v>629</v>
      </c>
    </row>
    <row r="327" spans="1:5" x14ac:dyDescent="0.3">
      <c r="A327" t="s">
        <v>1128</v>
      </c>
      <c r="B327" s="4">
        <v>44077</v>
      </c>
      <c r="C327" t="s">
        <v>452</v>
      </c>
      <c r="D327" t="s">
        <v>1121</v>
      </c>
      <c r="E327" t="s">
        <v>629</v>
      </c>
    </row>
    <row r="328" spans="1:5" x14ac:dyDescent="0.3">
      <c r="A328" t="s">
        <v>1127</v>
      </c>
      <c r="B328" s="4">
        <v>44077</v>
      </c>
      <c r="C328" t="s">
        <v>452</v>
      </c>
      <c r="D328" t="s">
        <v>1121</v>
      </c>
      <c r="E328" t="s">
        <v>629</v>
      </c>
    </row>
    <row r="329" spans="1:5" x14ac:dyDescent="0.3">
      <c r="A329" t="s">
        <v>1126</v>
      </c>
      <c r="B329" s="4">
        <v>44077</v>
      </c>
      <c r="C329" t="s">
        <v>452</v>
      </c>
      <c r="D329" t="s">
        <v>1121</v>
      </c>
      <c r="E329" t="s">
        <v>629</v>
      </c>
    </row>
    <row r="330" spans="1:5" x14ac:dyDescent="0.3">
      <c r="A330" t="s">
        <v>1125</v>
      </c>
      <c r="B330" s="4">
        <v>44076</v>
      </c>
      <c r="C330" t="s">
        <v>452</v>
      </c>
      <c r="D330" t="s">
        <v>1121</v>
      </c>
      <c r="E330" t="s">
        <v>629</v>
      </c>
    </row>
    <row r="331" spans="1:5" x14ac:dyDescent="0.3">
      <c r="A331" t="s">
        <v>1124</v>
      </c>
      <c r="B331" s="4">
        <v>44076</v>
      </c>
      <c r="C331" t="s">
        <v>452</v>
      </c>
      <c r="D331" t="s">
        <v>1121</v>
      </c>
      <c r="E331" t="s">
        <v>629</v>
      </c>
    </row>
    <row r="332" spans="1:5" x14ac:dyDescent="0.3">
      <c r="A332" t="s">
        <v>1123</v>
      </c>
      <c r="B332" s="4">
        <v>44076</v>
      </c>
      <c r="C332" t="s">
        <v>452</v>
      </c>
      <c r="D332" t="s">
        <v>1121</v>
      </c>
      <c r="E332" t="s">
        <v>629</v>
      </c>
    </row>
    <row r="333" spans="1:5" x14ac:dyDescent="0.3">
      <c r="A333" t="s">
        <v>1122</v>
      </c>
      <c r="B333" s="4">
        <v>44076</v>
      </c>
      <c r="C333" t="s">
        <v>452</v>
      </c>
      <c r="D333" t="s">
        <v>1121</v>
      </c>
      <c r="E333" t="s">
        <v>629</v>
      </c>
    </row>
    <row r="334" spans="1:5" x14ac:dyDescent="0.3">
      <c r="A334" t="s">
        <v>1120</v>
      </c>
      <c r="B334" s="4">
        <v>43307</v>
      </c>
      <c r="C334" t="s">
        <v>452</v>
      </c>
      <c r="D334" t="s">
        <v>1084</v>
      </c>
      <c r="E334" t="s">
        <v>1088</v>
      </c>
    </row>
    <row r="335" spans="1:5" x14ac:dyDescent="0.3">
      <c r="A335" t="s">
        <v>1119</v>
      </c>
      <c r="B335" s="4">
        <v>43306</v>
      </c>
      <c r="C335" t="s">
        <v>452</v>
      </c>
      <c r="D335" t="s">
        <v>1084</v>
      </c>
      <c r="E335" t="s">
        <v>488</v>
      </c>
    </row>
    <row r="336" spans="1:5" x14ac:dyDescent="0.3">
      <c r="A336" t="s">
        <v>1118</v>
      </c>
      <c r="B336" s="4">
        <v>43305</v>
      </c>
      <c r="C336" t="s">
        <v>452</v>
      </c>
      <c r="D336" t="s">
        <v>1084</v>
      </c>
      <c r="E336" t="s">
        <v>488</v>
      </c>
    </row>
    <row r="337" spans="1:5" x14ac:dyDescent="0.3">
      <c r="A337" t="s">
        <v>1117</v>
      </c>
      <c r="B337" s="4">
        <v>43305</v>
      </c>
      <c r="C337" t="s">
        <v>452</v>
      </c>
      <c r="D337" t="s">
        <v>1084</v>
      </c>
      <c r="E337" t="s">
        <v>1100</v>
      </c>
    </row>
    <row r="338" spans="1:5" x14ac:dyDescent="0.3">
      <c r="A338" t="s">
        <v>1116</v>
      </c>
      <c r="B338" s="4">
        <v>43305</v>
      </c>
      <c r="C338" t="s">
        <v>452</v>
      </c>
      <c r="D338" t="s">
        <v>1084</v>
      </c>
      <c r="E338" t="s">
        <v>1100</v>
      </c>
    </row>
    <row r="339" spans="1:5" x14ac:dyDescent="0.3">
      <c r="A339" t="s">
        <v>1115</v>
      </c>
      <c r="B339" s="4">
        <v>43305</v>
      </c>
      <c r="C339" t="s">
        <v>452</v>
      </c>
      <c r="D339" t="s">
        <v>1084</v>
      </c>
      <c r="E339" t="s">
        <v>1100</v>
      </c>
    </row>
    <row r="340" spans="1:5" x14ac:dyDescent="0.3">
      <c r="A340" t="s">
        <v>1114</v>
      </c>
      <c r="B340" s="4">
        <v>43296</v>
      </c>
      <c r="C340" t="s">
        <v>452</v>
      </c>
      <c r="D340" t="s">
        <v>1084</v>
      </c>
      <c r="E340" t="s">
        <v>488</v>
      </c>
    </row>
    <row r="341" spans="1:5" x14ac:dyDescent="0.3">
      <c r="A341" t="s">
        <v>1113</v>
      </c>
      <c r="B341" s="4">
        <v>43284</v>
      </c>
      <c r="C341" t="s">
        <v>452</v>
      </c>
      <c r="D341" t="s">
        <v>1084</v>
      </c>
      <c r="E341" t="s">
        <v>488</v>
      </c>
    </row>
    <row r="342" spans="1:5" x14ac:dyDescent="0.3">
      <c r="A342" t="s">
        <v>1112</v>
      </c>
      <c r="B342" s="4">
        <v>43282</v>
      </c>
      <c r="C342" t="s">
        <v>452</v>
      </c>
      <c r="D342" t="s">
        <v>1084</v>
      </c>
      <c r="E342" t="s">
        <v>488</v>
      </c>
    </row>
    <row r="343" spans="1:5" x14ac:dyDescent="0.3">
      <c r="A343" t="s">
        <v>1111</v>
      </c>
      <c r="B343" s="4">
        <v>43282</v>
      </c>
      <c r="C343" t="s">
        <v>452</v>
      </c>
      <c r="D343" t="s">
        <v>1084</v>
      </c>
      <c r="E343" t="s">
        <v>488</v>
      </c>
    </row>
    <row r="344" spans="1:5" x14ac:dyDescent="0.3">
      <c r="A344" t="s">
        <v>1110</v>
      </c>
      <c r="B344" s="4">
        <v>43282</v>
      </c>
      <c r="C344" t="s">
        <v>452</v>
      </c>
      <c r="D344" t="s">
        <v>1084</v>
      </c>
      <c r="E344" t="s">
        <v>488</v>
      </c>
    </row>
    <row r="345" spans="1:5" x14ac:dyDescent="0.3">
      <c r="A345" t="s">
        <v>1109</v>
      </c>
      <c r="B345" s="4">
        <v>43280</v>
      </c>
      <c r="C345" t="s">
        <v>452</v>
      </c>
      <c r="D345" t="s">
        <v>1084</v>
      </c>
      <c r="E345" t="s">
        <v>488</v>
      </c>
    </row>
    <row r="346" spans="1:5" x14ac:dyDescent="0.3">
      <c r="A346" t="s">
        <v>1108</v>
      </c>
      <c r="B346" s="4">
        <v>43280</v>
      </c>
      <c r="C346" t="s">
        <v>452</v>
      </c>
      <c r="D346" t="s">
        <v>1084</v>
      </c>
      <c r="E346" t="s">
        <v>1107</v>
      </c>
    </row>
    <row r="347" spans="1:5" x14ac:dyDescent="0.3">
      <c r="A347" t="s">
        <v>1106</v>
      </c>
      <c r="B347" s="4">
        <v>43280</v>
      </c>
      <c r="C347" t="s">
        <v>452</v>
      </c>
      <c r="D347" t="s">
        <v>1084</v>
      </c>
      <c r="E347" t="s">
        <v>488</v>
      </c>
    </row>
    <row r="348" spans="1:5" x14ac:dyDescent="0.3">
      <c r="A348" t="s">
        <v>1105</v>
      </c>
      <c r="B348" s="4">
        <v>43279</v>
      </c>
      <c r="C348" t="s">
        <v>452</v>
      </c>
      <c r="D348" t="s">
        <v>1084</v>
      </c>
      <c r="E348" t="s">
        <v>488</v>
      </c>
    </row>
    <row r="349" spans="1:5" x14ac:dyDescent="0.3">
      <c r="A349" t="s">
        <v>1104</v>
      </c>
      <c r="B349" s="4">
        <v>43279</v>
      </c>
      <c r="C349" t="s">
        <v>452</v>
      </c>
      <c r="D349" t="s">
        <v>1084</v>
      </c>
      <c r="E349" t="s">
        <v>1100</v>
      </c>
    </row>
    <row r="350" spans="1:5" x14ac:dyDescent="0.3">
      <c r="A350" t="s">
        <v>1103</v>
      </c>
      <c r="B350" s="4">
        <v>43279</v>
      </c>
      <c r="C350" t="s">
        <v>452</v>
      </c>
      <c r="D350" t="s">
        <v>1084</v>
      </c>
      <c r="E350" t="s">
        <v>1100</v>
      </c>
    </row>
    <row r="351" spans="1:5" x14ac:dyDescent="0.3">
      <c r="A351" t="s">
        <v>1102</v>
      </c>
      <c r="B351" s="4">
        <v>43279</v>
      </c>
      <c r="C351" t="s">
        <v>452</v>
      </c>
      <c r="D351" t="s">
        <v>1084</v>
      </c>
      <c r="E351" t="s">
        <v>1100</v>
      </c>
    </row>
    <row r="352" spans="1:5" x14ac:dyDescent="0.3">
      <c r="A352" t="s">
        <v>1101</v>
      </c>
      <c r="B352" s="4">
        <v>43279</v>
      </c>
      <c r="C352" t="s">
        <v>452</v>
      </c>
      <c r="D352" t="s">
        <v>1084</v>
      </c>
      <c r="E352" t="s">
        <v>1100</v>
      </c>
    </row>
    <row r="353" spans="1:5" x14ac:dyDescent="0.3">
      <c r="A353" t="s">
        <v>1099</v>
      </c>
      <c r="B353" s="4">
        <v>43279</v>
      </c>
      <c r="C353" t="s">
        <v>452</v>
      </c>
      <c r="D353" t="s">
        <v>1084</v>
      </c>
      <c r="E353" t="s">
        <v>488</v>
      </c>
    </row>
    <row r="354" spans="1:5" x14ac:dyDescent="0.3">
      <c r="A354" t="s">
        <v>1098</v>
      </c>
      <c r="B354" s="4">
        <v>43278</v>
      </c>
      <c r="C354" t="s">
        <v>452</v>
      </c>
      <c r="D354" t="s">
        <v>1084</v>
      </c>
      <c r="E354" t="s">
        <v>1088</v>
      </c>
    </row>
    <row r="355" spans="1:5" x14ac:dyDescent="0.3">
      <c r="A355" t="s">
        <v>1097</v>
      </c>
      <c r="B355" s="4">
        <v>43269</v>
      </c>
      <c r="C355" t="s">
        <v>452</v>
      </c>
      <c r="D355" t="s">
        <v>1084</v>
      </c>
      <c r="E355" t="s">
        <v>488</v>
      </c>
    </row>
    <row r="356" spans="1:5" x14ac:dyDescent="0.3">
      <c r="A356" t="s">
        <v>1096</v>
      </c>
      <c r="B356" s="4">
        <v>43259</v>
      </c>
      <c r="C356" t="s">
        <v>452</v>
      </c>
      <c r="D356" t="s">
        <v>1084</v>
      </c>
      <c r="E356" t="s">
        <v>1095</v>
      </c>
    </row>
    <row r="357" spans="1:5" x14ac:dyDescent="0.3">
      <c r="A357" t="s">
        <v>1094</v>
      </c>
      <c r="B357" s="4">
        <v>43257</v>
      </c>
      <c r="C357" t="s">
        <v>452</v>
      </c>
      <c r="D357" t="s">
        <v>1084</v>
      </c>
      <c r="E357" t="s">
        <v>488</v>
      </c>
    </row>
    <row r="358" spans="1:5" x14ac:dyDescent="0.3">
      <c r="A358" t="s">
        <v>1093</v>
      </c>
      <c r="B358" s="4">
        <v>43250</v>
      </c>
      <c r="C358" t="s">
        <v>452</v>
      </c>
      <c r="D358" t="s">
        <v>1084</v>
      </c>
      <c r="E358" t="s">
        <v>1088</v>
      </c>
    </row>
    <row r="359" spans="1:5" x14ac:dyDescent="0.3">
      <c r="A359" t="s">
        <v>1092</v>
      </c>
      <c r="B359" s="4">
        <v>43245</v>
      </c>
      <c r="C359" t="s">
        <v>452</v>
      </c>
      <c r="D359" t="s">
        <v>1084</v>
      </c>
      <c r="E359" t="s">
        <v>1091</v>
      </c>
    </row>
    <row r="360" spans="1:5" x14ac:dyDescent="0.3">
      <c r="A360" t="s">
        <v>1090</v>
      </c>
      <c r="B360" s="4">
        <v>43238</v>
      </c>
      <c r="C360" t="s">
        <v>452</v>
      </c>
      <c r="D360" t="s">
        <v>1084</v>
      </c>
      <c r="E360" t="s">
        <v>1088</v>
      </c>
    </row>
    <row r="361" spans="1:5" x14ac:dyDescent="0.3">
      <c r="A361" t="s">
        <v>1089</v>
      </c>
      <c r="B361" s="4">
        <v>43229</v>
      </c>
      <c r="C361" t="s">
        <v>452</v>
      </c>
      <c r="D361" t="s">
        <v>1084</v>
      </c>
      <c r="E361" t="s">
        <v>1088</v>
      </c>
    </row>
    <row r="362" spans="1:5" x14ac:dyDescent="0.3">
      <c r="A362" t="s">
        <v>1087</v>
      </c>
      <c r="B362" s="4">
        <v>43229</v>
      </c>
      <c r="C362" t="s">
        <v>452</v>
      </c>
      <c r="D362" t="s">
        <v>1084</v>
      </c>
      <c r="E362" t="s">
        <v>1086</v>
      </c>
    </row>
    <row r="363" spans="1:5" x14ac:dyDescent="0.3">
      <c r="A363" t="s">
        <v>1085</v>
      </c>
      <c r="B363" s="4">
        <v>43228</v>
      </c>
      <c r="C363" t="s">
        <v>452</v>
      </c>
      <c r="D363" t="s">
        <v>1084</v>
      </c>
      <c r="E363" t="s">
        <v>488</v>
      </c>
    </row>
    <row r="364" spans="1:5" x14ac:dyDescent="0.3">
      <c r="A364" t="s">
        <v>1083</v>
      </c>
      <c r="B364" s="4">
        <v>44118</v>
      </c>
      <c r="C364" t="s">
        <v>452</v>
      </c>
      <c r="D364" t="s">
        <v>1054</v>
      </c>
      <c r="E364" t="s">
        <v>488</v>
      </c>
    </row>
    <row r="365" spans="1:5" x14ac:dyDescent="0.3">
      <c r="A365" t="s">
        <v>1082</v>
      </c>
      <c r="B365" s="4">
        <v>44118</v>
      </c>
      <c r="C365" t="s">
        <v>452</v>
      </c>
      <c r="D365" t="s">
        <v>1054</v>
      </c>
      <c r="E365" t="s">
        <v>625</v>
      </c>
    </row>
    <row r="366" spans="1:5" x14ac:dyDescent="0.3">
      <c r="A366" t="s">
        <v>1081</v>
      </c>
      <c r="B366" s="4">
        <v>44107</v>
      </c>
      <c r="C366" t="s">
        <v>452</v>
      </c>
      <c r="D366" t="s">
        <v>1054</v>
      </c>
      <c r="E366" t="s">
        <v>488</v>
      </c>
    </row>
    <row r="367" spans="1:5" x14ac:dyDescent="0.3">
      <c r="A367" t="s">
        <v>1080</v>
      </c>
      <c r="B367" s="4">
        <v>44107</v>
      </c>
      <c r="C367" t="s">
        <v>452</v>
      </c>
      <c r="D367" t="s">
        <v>1054</v>
      </c>
      <c r="E367" t="s">
        <v>536</v>
      </c>
    </row>
    <row r="368" spans="1:5" x14ac:dyDescent="0.3">
      <c r="A368" t="s">
        <v>1079</v>
      </c>
      <c r="B368" s="4">
        <v>44106</v>
      </c>
      <c r="C368" t="s">
        <v>452</v>
      </c>
      <c r="D368" t="s">
        <v>1054</v>
      </c>
      <c r="E368" t="s">
        <v>488</v>
      </c>
    </row>
    <row r="369" spans="1:5" x14ac:dyDescent="0.3">
      <c r="A369" t="s">
        <v>1078</v>
      </c>
      <c r="B369" s="4">
        <v>44106</v>
      </c>
      <c r="C369" t="s">
        <v>452</v>
      </c>
      <c r="D369" t="s">
        <v>1054</v>
      </c>
      <c r="E369" t="s">
        <v>1064</v>
      </c>
    </row>
    <row r="370" spans="1:5" x14ac:dyDescent="0.3">
      <c r="A370" t="s">
        <v>1077</v>
      </c>
      <c r="B370" s="4">
        <v>44106</v>
      </c>
      <c r="C370" t="s">
        <v>452</v>
      </c>
      <c r="D370" t="s">
        <v>1054</v>
      </c>
      <c r="E370" t="s">
        <v>488</v>
      </c>
    </row>
    <row r="371" spans="1:5" x14ac:dyDescent="0.3">
      <c r="A371" t="s">
        <v>1076</v>
      </c>
      <c r="B371" s="4">
        <v>44103</v>
      </c>
      <c r="C371" t="s">
        <v>452</v>
      </c>
      <c r="D371" t="s">
        <v>1054</v>
      </c>
      <c r="E371" t="s">
        <v>625</v>
      </c>
    </row>
    <row r="372" spans="1:5" x14ac:dyDescent="0.3">
      <c r="A372" t="s">
        <v>1075</v>
      </c>
      <c r="B372" s="4">
        <v>44097</v>
      </c>
      <c r="C372" t="s">
        <v>452</v>
      </c>
      <c r="D372" t="s">
        <v>1054</v>
      </c>
      <c r="E372" t="s">
        <v>488</v>
      </c>
    </row>
    <row r="373" spans="1:5" x14ac:dyDescent="0.3">
      <c r="A373" t="s">
        <v>1074</v>
      </c>
      <c r="B373" s="4">
        <v>44096</v>
      </c>
      <c r="C373" t="s">
        <v>452</v>
      </c>
      <c r="D373" t="s">
        <v>1054</v>
      </c>
      <c r="E373" t="s">
        <v>488</v>
      </c>
    </row>
    <row r="374" spans="1:5" x14ac:dyDescent="0.3">
      <c r="A374" t="s">
        <v>1073</v>
      </c>
      <c r="B374" s="4">
        <v>44096</v>
      </c>
      <c r="C374" t="s">
        <v>452</v>
      </c>
      <c r="D374" t="s">
        <v>1054</v>
      </c>
      <c r="E374" t="s">
        <v>536</v>
      </c>
    </row>
    <row r="375" spans="1:5" x14ac:dyDescent="0.3">
      <c r="A375" t="s">
        <v>1072</v>
      </c>
      <c r="B375" s="4">
        <v>44096</v>
      </c>
      <c r="C375" t="s">
        <v>452</v>
      </c>
      <c r="D375" t="s">
        <v>1054</v>
      </c>
      <c r="E375" t="s">
        <v>536</v>
      </c>
    </row>
    <row r="376" spans="1:5" x14ac:dyDescent="0.3">
      <c r="A376" t="s">
        <v>1071</v>
      </c>
      <c r="B376" s="4">
        <v>44096</v>
      </c>
      <c r="C376" t="s">
        <v>452</v>
      </c>
      <c r="D376" t="s">
        <v>1054</v>
      </c>
      <c r="E376" t="s">
        <v>536</v>
      </c>
    </row>
    <row r="377" spans="1:5" x14ac:dyDescent="0.3">
      <c r="A377" t="s">
        <v>1070</v>
      </c>
      <c r="B377" s="4">
        <v>44094</v>
      </c>
      <c r="C377" t="s">
        <v>452</v>
      </c>
      <c r="D377" t="s">
        <v>1054</v>
      </c>
      <c r="E377" t="s">
        <v>536</v>
      </c>
    </row>
    <row r="378" spans="1:5" x14ac:dyDescent="0.3">
      <c r="A378" t="s">
        <v>1069</v>
      </c>
      <c r="B378" s="4">
        <v>44094</v>
      </c>
      <c r="C378" t="s">
        <v>452</v>
      </c>
      <c r="D378" t="s">
        <v>1054</v>
      </c>
      <c r="E378" t="s">
        <v>536</v>
      </c>
    </row>
    <row r="379" spans="1:5" x14ac:dyDescent="0.3">
      <c r="A379" t="s">
        <v>1068</v>
      </c>
      <c r="B379" s="4">
        <v>44094</v>
      </c>
      <c r="C379" t="s">
        <v>452</v>
      </c>
      <c r="D379" t="s">
        <v>1054</v>
      </c>
      <c r="E379" t="s">
        <v>536</v>
      </c>
    </row>
    <row r="380" spans="1:5" x14ac:dyDescent="0.3">
      <c r="A380" t="s">
        <v>1067</v>
      </c>
      <c r="B380" s="4">
        <v>44092</v>
      </c>
      <c r="C380" t="s">
        <v>452</v>
      </c>
      <c r="D380" t="s">
        <v>1054</v>
      </c>
      <c r="E380" t="s">
        <v>536</v>
      </c>
    </row>
    <row r="381" spans="1:5" x14ac:dyDescent="0.3">
      <c r="A381" t="s">
        <v>1066</v>
      </c>
      <c r="B381" s="4">
        <v>44089</v>
      </c>
      <c r="C381" t="s">
        <v>452</v>
      </c>
      <c r="D381" t="s">
        <v>1054</v>
      </c>
      <c r="E381" t="s">
        <v>488</v>
      </c>
    </row>
    <row r="382" spans="1:5" x14ac:dyDescent="0.3">
      <c r="A382" t="s">
        <v>1065</v>
      </c>
      <c r="B382" s="4">
        <v>44089</v>
      </c>
      <c r="C382" t="s">
        <v>452</v>
      </c>
      <c r="D382" t="s">
        <v>1054</v>
      </c>
      <c r="E382" t="s">
        <v>1064</v>
      </c>
    </row>
    <row r="383" spans="1:5" x14ac:dyDescent="0.3">
      <c r="A383" t="s">
        <v>1063</v>
      </c>
      <c r="B383" s="4">
        <v>44083</v>
      </c>
      <c r="C383" t="s">
        <v>452</v>
      </c>
      <c r="D383" t="s">
        <v>1054</v>
      </c>
      <c r="E383" t="s">
        <v>488</v>
      </c>
    </row>
    <row r="384" spans="1:5" x14ac:dyDescent="0.3">
      <c r="A384" t="s">
        <v>1062</v>
      </c>
      <c r="B384" s="4">
        <v>44083</v>
      </c>
      <c r="C384" t="s">
        <v>452</v>
      </c>
      <c r="D384" t="s">
        <v>1054</v>
      </c>
      <c r="E384" t="s">
        <v>629</v>
      </c>
    </row>
    <row r="385" spans="1:5" x14ac:dyDescent="0.3">
      <c r="A385" t="s">
        <v>1061</v>
      </c>
      <c r="B385" s="4">
        <v>44078</v>
      </c>
      <c r="C385" t="s">
        <v>452</v>
      </c>
      <c r="D385" t="s">
        <v>1054</v>
      </c>
      <c r="E385" t="s">
        <v>488</v>
      </c>
    </row>
    <row r="386" spans="1:5" x14ac:dyDescent="0.3">
      <c r="A386" t="s">
        <v>1060</v>
      </c>
      <c r="B386" s="4">
        <v>44078</v>
      </c>
      <c r="C386" t="s">
        <v>452</v>
      </c>
      <c r="D386" t="s">
        <v>1054</v>
      </c>
      <c r="E386" t="s">
        <v>536</v>
      </c>
    </row>
    <row r="387" spans="1:5" x14ac:dyDescent="0.3">
      <c r="A387" t="s">
        <v>1059</v>
      </c>
      <c r="B387" s="4">
        <v>44078</v>
      </c>
      <c r="C387" t="s">
        <v>452</v>
      </c>
      <c r="D387" t="s">
        <v>1054</v>
      </c>
      <c r="E387" t="s">
        <v>488</v>
      </c>
    </row>
    <row r="388" spans="1:5" x14ac:dyDescent="0.3">
      <c r="A388" t="s">
        <v>1058</v>
      </c>
      <c r="B388" s="4">
        <v>44078</v>
      </c>
      <c r="C388" t="s">
        <v>452</v>
      </c>
      <c r="D388" t="s">
        <v>1054</v>
      </c>
      <c r="E388" t="s">
        <v>536</v>
      </c>
    </row>
    <row r="389" spans="1:5" x14ac:dyDescent="0.3">
      <c r="A389" t="s">
        <v>1057</v>
      </c>
      <c r="B389" s="4">
        <v>44078</v>
      </c>
      <c r="C389" t="s">
        <v>452</v>
      </c>
      <c r="D389" t="s">
        <v>1054</v>
      </c>
      <c r="E389" t="s">
        <v>488</v>
      </c>
    </row>
    <row r="390" spans="1:5" x14ac:dyDescent="0.3">
      <c r="A390" t="s">
        <v>1056</v>
      </c>
      <c r="B390" s="4">
        <v>44048</v>
      </c>
      <c r="C390" t="s">
        <v>452</v>
      </c>
      <c r="D390" t="s">
        <v>1054</v>
      </c>
      <c r="E390" t="s">
        <v>536</v>
      </c>
    </row>
    <row r="391" spans="1:5" x14ac:dyDescent="0.3">
      <c r="A391" t="s">
        <v>1055</v>
      </c>
      <c r="B391" s="4">
        <v>44048</v>
      </c>
      <c r="C391" t="s">
        <v>452</v>
      </c>
      <c r="D391" t="s">
        <v>1054</v>
      </c>
      <c r="E391" t="s">
        <v>536</v>
      </c>
    </row>
    <row r="392" spans="1:5" x14ac:dyDescent="0.3">
      <c r="A392" t="s">
        <v>1053</v>
      </c>
      <c r="B392" s="4">
        <v>44049</v>
      </c>
      <c r="C392" t="s">
        <v>452</v>
      </c>
      <c r="D392" t="s">
        <v>1044</v>
      </c>
      <c r="E392" t="s">
        <v>488</v>
      </c>
    </row>
    <row r="393" spans="1:5" x14ac:dyDescent="0.3">
      <c r="A393" t="s">
        <v>1052</v>
      </c>
      <c r="B393" s="4">
        <v>44048</v>
      </c>
      <c r="C393" t="s">
        <v>452</v>
      </c>
      <c r="D393" t="s">
        <v>1044</v>
      </c>
      <c r="E393" t="s">
        <v>536</v>
      </c>
    </row>
    <row r="394" spans="1:5" x14ac:dyDescent="0.3">
      <c r="A394" t="s">
        <v>1051</v>
      </c>
      <c r="B394" s="4">
        <v>44048</v>
      </c>
      <c r="C394" t="s">
        <v>452</v>
      </c>
      <c r="D394" t="s">
        <v>1044</v>
      </c>
      <c r="E394" t="s">
        <v>536</v>
      </c>
    </row>
    <row r="395" spans="1:5" x14ac:dyDescent="0.3">
      <c r="A395" t="s">
        <v>1050</v>
      </c>
      <c r="B395" s="4">
        <v>44048</v>
      </c>
      <c r="C395" t="s">
        <v>452</v>
      </c>
      <c r="D395" t="s">
        <v>1044</v>
      </c>
      <c r="E395" t="s">
        <v>536</v>
      </c>
    </row>
    <row r="396" spans="1:5" x14ac:dyDescent="0.3">
      <c r="A396" t="s">
        <v>1049</v>
      </c>
      <c r="B396" s="4">
        <v>44041</v>
      </c>
      <c r="C396" t="s">
        <v>452</v>
      </c>
      <c r="D396" t="s">
        <v>1044</v>
      </c>
      <c r="E396" t="s">
        <v>536</v>
      </c>
    </row>
    <row r="397" spans="1:5" x14ac:dyDescent="0.3">
      <c r="A397" t="s">
        <v>1048</v>
      </c>
      <c r="B397" s="4">
        <v>44041</v>
      </c>
      <c r="C397" t="s">
        <v>452</v>
      </c>
      <c r="D397" t="s">
        <v>1044</v>
      </c>
      <c r="E397" t="s">
        <v>644</v>
      </c>
    </row>
    <row r="398" spans="1:5" x14ac:dyDescent="0.3">
      <c r="A398" t="s">
        <v>1048</v>
      </c>
      <c r="B398" s="4">
        <v>44041</v>
      </c>
      <c r="C398" t="s">
        <v>452</v>
      </c>
      <c r="D398" t="s">
        <v>1044</v>
      </c>
      <c r="E398" t="s">
        <v>644</v>
      </c>
    </row>
    <row r="399" spans="1:5" x14ac:dyDescent="0.3">
      <c r="A399" t="s">
        <v>1048</v>
      </c>
      <c r="B399" s="4">
        <v>44041</v>
      </c>
      <c r="C399" t="s">
        <v>452</v>
      </c>
      <c r="D399" t="s">
        <v>1044</v>
      </c>
      <c r="E399" t="s">
        <v>644</v>
      </c>
    </row>
    <row r="400" spans="1:5" x14ac:dyDescent="0.3">
      <c r="A400" t="s">
        <v>1048</v>
      </c>
      <c r="B400" s="4">
        <v>44041</v>
      </c>
      <c r="C400" t="s">
        <v>452</v>
      </c>
      <c r="D400" t="s">
        <v>1044</v>
      </c>
      <c r="E400" t="s">
        <v>644</v>
      </c>
    </row>
    <row r="401" spans="1:5" x14ac:dyDescent="0.3">
      <c r="A401" t="s">
        <v>1048</v>
      </c>
      <c r="B401" s="4">
        <v>44041</v>
      </c>
      <c r="C401" t="s">
        <v>452</v>
      </c>
      <c r="D401" t="s">
        <v>1044</v>
      </c>
      <c r="E401" t="s">
        <v>644</v>
      </c>
    </row>
    <row r="402" spans="1:5" x14ac:dyDescent="0.3">
      <c r="A402" t="s">
        <v>1048</v>
      </c>
      <c r="B402" s="4">
        <v>44041</v>
      </c>
      <c r="C402" t="s">
        <v>452</v>
      </c>
      <c r="D402" t="s">
        <v>1044</v>
      </c>
      <c r="E402" t="s">
        <v>644</v>
      </c>
    </row>
    <row r="403" spans="1:5" x14ac:dyDescent="0.3">
      <c r="A403" t="s">
        <v>1048</v>
      </c>
      <c r="B403" s="4">
        <v>44041</v>
      </c>
      <c r="C403" t="s">
        <v>452</v>
      </c>
      <c r="D403" t="s">
        <v>1044</v>
      </c>
      <c r="E403" t="s">
        <v>644</v>
      </c>
    </row>
    <row r="404" spans="1:5" x14ac:dyDescent="0.3">
      <c r="A404" t="s">
        <v>1048</v>
      </c>
      <c r="B404" s="4">
        <v>44041</v>
      </c>
      <c r="C404" t="s">
        <v>452</v>
      </c>
      <c r="D404" t="s">
        <v>1044</v>
      </c>
      <c r="E404" t="s">
        <v>644</v>
      </c>
    </row>
    <row r="405" spans="1:5" x14ac:dyDescent="0.3">
      <c r="A405" t="s">
        <v>1048</v>
      </c>
      <c r="B405" s="4">
        <v>44041</v>
      </c>
      <c r="C405" t="s">
        <v>452</v>
      </c>
      <c r="D405" t="s">
        <v>1044</v>
      </c>
      <c r="E405" t="s">
        <v>644</v>
      </c>
    </row>
    <row r="406" spans="1:5" x14ac:dyDescent="0.3">
      <c r="A406" t="s">
        <v>1048</v>
      </c>
      <c r="B406" s="4">
        <v>44041</v>
      </c>
      <c r="C406" t="s">
        <v>452</v>
      </c>
      <c r="D406" t="s">
        <v>1044</v>
      </c>
      <c r="E406" t="s">
        <v>644</v>
      </c>
    </row>
    <row r="407" spans="1:5" x14ac:dyDescent="0.3">
      <c r="A407" t="s">
        <v>1048</v>
      </c>
      <c r="B407" s="4">
        <v>44041</v>
      </c>
      <c r="C407" t="s">
        <v>452</v>
      </c>
      <c r="D407" t="s">
        <v>1044</v>
      </c>
      <c r="E407" t="s">
        <v>644</v>
      </c>
    </row>
    <row r="408" spans="1:5" x14ac:dyDescent="0.3">
      <c r="A408" t="s">
        <v>1048</v>
      </c>
      <c r="B408" s="4">
        <v>44041</v>
      </c>
      <c r="C408" t="s">
        <v>452</v>
      </c>
      <c r="D408" t="s">
        <v>1044</v>
      </c>
      <c r="E408" t="s">
        <v>644</v>
      </c>
    </row>
    <row r="409" spans="1:5" x14ac:dyDescent="0.3">
      <c r="A409" t="s">
        <v>1048</v>
      </c>
      <c r="B409" s="4">
        <v>44041</v>
      </c>
      <c r="C409" t="s">
        <v>452</v>
      </c>
      <c r="D409" t="s">
        <v>1044</v>
      </c>
      <c r="E409" t="s">
        <v>644</v>
      </c>
    </row>
    <row r="410" spans="1:5" x14ac:dyDescent="0.3">
      <c r="A410" t="s">
        <v>1048</v>
      </c>
      <c r="B410" s="4">
        <v>44041</v>
      </c>
      <c r="C410" t="s">
        <v>452</v>
      </c>
      <c r="D410" t="s">
        <v>1044</v>
      </c>
      <c r="E410" t="s">
        <v>644</v>
      </c>
    </row>
    <row r="411" spans="1:5" x14ac:dyDescent="0.3">
      <c r="A411" t="s">
        <v>1048</v>
      </c>
      <c r="B411" s="4">
        <v>44041</v>
      </c>
      <c r="C411" t="s">
        <v>452</v>
      </c>
      <c r="D411" t="s">
        <v>1044</v>
      </c>
      <c r="E411" t="s">
        <v>644</v>
      </c>
    </row>
    <row r="412" spans="1:5" x14ac:dyDescent="0.3">
      <c r="A412" t="s">
        <v>1048</v>
      </c>
      <c r="B412" s="4">
        <v>44041</v>
      </c>
      <c r="C412" t="s">
        <v>452</v>
      </c>
      <c r="D412" t="s">
        <v>1044</v>
      </c>
      <c r="E412" t="s">
        <v>644</v>
      </c>
    </row>
    <row r="413" spans="1:5" x14ac:dyDescent="0.3">
      <c r="A413" t="s">
        <v>1048</v>
      </c>
      <c r="B413" s="4">
        <v>44041</v>
      </c>
      <c r="C413" t="s">
        <v>452</v>
      </c>
      <c r="D413" t="s">
        <v>1044</v>
      </c>
      <c r="E413" t="s">
        <v>644</v>
      </c>
    </row>
    <row r="414" spans="1:5" x14ac:dyDescent="0.3">
      <c r="A414" t="s">
        <v>1048</v>
      </c>
      <c r="B414" s="4">
        <v>44041</v>
      </c>
      <c r="C414" t="s">
        <v>452</v>
      </c>
      <c r="D414" t="s">
        <v>1044</v>
      </c>
      <c r="E414" t="s">
        <v>644</v>
      </c>
    </row>
    <row r="415" spans="1:5" x14ac:dyDescent="0.3">
      <c r="A415" t="s">
        <v>1048</v>
      </c>
      <c r="B415" s="4">
        <v>44041</v>
      </c>
      <c r="C415" t="s">
        <v>452</v>
      </c>
      <c r="D415" t="s">
        <v>1044</v>
      </c>
      <c r="E415" t="s">
        <v>644</v>
      </c>
    </row>
    <row r="416" spans="1:5" x14ac:dyDescent="0.3">
      <c r="A416" t="s">
        <v>1048</v>
      </c>
      <c r="B416" s="4">
        <v>44041</v>
      </c>
      <c r="C416" t="s">
        <v>452</v>
      </c>
      <c r="D416" t="s">
        <v>1044</v>
      </c>
      <c r="E416" t="s">
        <v>644</v>
      </c>
    </row>
    <row r="417" spans="1:5" x14ac:dyDescent="0.3">
      <c r="A417" t="s">
        <v>1048</v>
      </c>
      <c r="B417" s="4">
        <v>44041</v>
      </c>
      <c r="C417" t="s">
        <v>452</v>
      </c>
      <c r="D417" t="s">
        <v>1044</v>
      </c>
      <c r="E417" t="s">
        <v>644</v>
      </c>
    </row>
    <row r="418" spans="1:5" x14ac:dyDescent="0.3">
      <c r="A418" t="s">
        <v>1048</v>
      </c>
      <c r="B418" s="4">
        <v>44041</v>
      </c>
      <c r="C418" t="s">
        <v>452</v>
      </c>
      <c r="D418" t="s">
        <v>1044</v>
      </c>
      <c r="E418" t="s">
        <v>644</v>
      </c>
    </row>
    <row r="419" spans="1:5" x14ac:dyDescent="0.3">
      <c r="A419" t="s">
        <v>1047</v>
      </c>
      <c r="B419" s="4">
        <v>44015</v>
      </c>
      <c r="C419" t="s">
        <v>452</v>
      </c>
      <c r="D419" t="s">
        <v>1044</v>
      </c>
      <c r="E419" t="s">
        <v>488</v>
      </c>
    </row>
    <row r="420" spans="1:5" x14ac:dyDescent="0.3">
      <c r="A420" t="s">
        <v>1046</v>
      </c>
      <c r="B420" s="4">
        <v>44008</v>
      </c>
      <c r="C420" t="s">
        <v>452</v>
      </c>
      <c r="D420" t="s">
        <v>1044</v>
      </c>
      <c r="E420" t="s">
        <v>536</v>
      </c>
    </row>
    <row r="421" spans="1:5" x14ac:dyDescent="0.3">
      <c r="A421" t="s">
        <v>1045</v>
      </c>
      <c r="B421" s="4">
        <v>43992</v>
      </c>
      <c r="C421" t="s">
        <v>452</v>
      </c>
      <c r="D421" t="s">
        <v>1044</v>
      </c>
      <c r="E421" t="s">
        <v>488</v>
      </c>
    </row>
    <row r="422" spans="1:5" x14ac:dyDescent="0.3">
      <c r="A422" t="s">
        <v>1043</v>
      </c>
      <c r="B422" s="4">
        <v>44099</v>
      </c>
      <c r="C422" t="s">
        <v>452</v>
      </c>
      <c r="D422" t="s">
        <v>1013</v>
      </c>
      <c r="E422" t="s">
        <v>485</v>
      </c>
    </row>
    <row r="423" spans="1:5" x14ac:dyDescent="0.3">
      <c r="A423" t="s">
        <v>1042</v>
      </c>
      <c r="B423" s="4">
        <v>44099</v>
      </c>
      <c r="C423" t="s">
        <v>452</v>
      </c>
      <c r="D423" t="s">
        <v>1013</v>
      </c>
      <c r="E423" t="s">
        <v>485</v>
      </c>
    </row>
    <row r="424" spans="1:5" x14ac:dyDescent="0.3">
      <c r="A424" t="s">
        <v>1041</v>
      </c>
      <c r="B424" s="4">
        <v>44099</v>
      </c>
      <c r="C424" t="s">
        <v>452</v>
      </c>
      <c r="D424" t="s">
        <v>1013</v>
      </c>
      <c r="E424" t="s">
        <v>485</v>
      </c>
    </row>
    <row r="425" spans="1:5" x14ac:dyDescent="0.3">
      <c r="A425" t="s">
        <v>1040</v>
      </c>
      <c r="B425" s="4">
        <v>44099</v>
      </c>
      <c r="C425" t="s">
        <v>452</v>
      </c>
      <c r="D425" t="s">
        <v>1013</v>
      </c>
      <c r="E425" t="s">
        <v>485</v>
      </c>
    </row>
    <row r="426" spans="1:5" x14ac:dyDescent="0.3">
      <c r="A426" t="s">
        <v>1039</v>
      </c>
      <c r="B426" s="4">
        <v>44099</v>
      </c>
      <c r="C426" t="s">
        <v>452</v>
      </c>
      <c r="D426" t="s">
        <v>1013</v>
      </c>
      <c r="E426" t="s">
        <v>488</v>
      </c>
    </row>
    <row r="427" spans="1:5" x14ac:dyDescent="0.3">
      <c r="A427" t="s">
        <v>1038</v>
      </c>
      <c r="B427" s="4">
        <v>44096</v>
      </c>
      <c r="C427" t="s">
        <v>452</v>
      </c>
      <c r="D427" t="s">
        <v>1013</v>
      </c>
      <c r="E427" t="s">
        <v>485</v>
      </c>
    </row>
    <row r="428" spans="1:5" x14ac:dyDescent="0.3">
      <c r="A428" t="s">
        <v>1037</v>
      </c>
      <c r="B428" s="4">
        <v>44096</v>
      </c>
      <c r="C428" t="s">
        <v>452</v>
      </c>
      <c r="D428" t="s">
        <v>1013</v>
      </c>
      <c r="E428" t="s">
        <v>485</v>
      </c>
    </row>
    <row r="429" spans="1:5" x14ac:dyDescent="0.3">
      <c r="A429" t="s">
        <v>1036</v>
      </c>
      <c r="B429" s="4">
        <v>44090</v>
      </c>
      <c r="C429" t="s">
        <v>452</v>
      </c>
      <c r="D429" t="s">
        <v>1013</v>
      </c>
      <c r="E429" t="s">
        <v>485</v>
      </c>
    </row>
    <row r="430" spans="1:5" x14ac:dyDescent="0.3">
      <c r="A430" t="s">
        <v>1035</v>
      </c>
      <c r="B430" s="4">
        <v>44090</v>
      </c>
      <c r="C430" t="s">
        <v>452</v>
      </c>
      <c r="D430" t="s">
        <v>1013</v>
      </c>
      <c r="E430" t="s">
        <v>485</v>
      </c>
    </row>
    <row r="431" spans="1:5" x14ac:dyDescent="0.3">
      <c r="A431" t="s">
        <v>1034</v>
      </c>
      <c r="B431" s="4">
        <v>44090</v>
      </c>
      <c r="C431" t="s">
        <v>452</v>
      </c>
      <c r="D431" t="s">
        <v>1013</v>
      </c>
      <c r="E431" t="s">
        <v>485</v>
      </c>
    </row>
    <row r="432" spans="1:5" x14ac:dyDescent="0.3">
      <c r="A432" t="s">
        <v>1033</v>
      </c>
      <c r="B432" s="4">
        <v>44090</v>
      </c>
      <c r="C432" t="s">
        <v>452</v>
      </c>
      <c r="D432" t="s">
        <v>1013</v>
      </c>
      <c r="E432" t="s">
        <v>485</v>
      </c>
    </row>
    <row r="433" spans="1:5" x14ac:dyDescent="0.3">
      <c r="A433" t="s">
        <v>1032</v>
      </c>
      <c r="B433" s="4">
        <v>44090</v>
      </c>
      <c r="C433" t="s">
        <v>452</v>
      </c>
      <c r="D433" t="s">
        <v>1013</v>
      </c>
      <c r="E433" t="s">
        <v>485</v>
      </c>
    </row>
    <row r="434" spans="1:5" x14ac:dyDescent="0.3">
      <c r="A434" t="s">
        <v>1031</v>
      </c>
      <c r="B434" s="4">
        <v>44090</v>
      </c>
      <c r="C434" t="s">
        <v>452</v>
      </c>
      <c r="D434" t="s">
        <v>1013</v>
      </c>
      <c r="E434" t="s">
        <v>485</v>
      </c>
    </row>
    <row r="435" spans="1:5" x14ac:dyDescent="0.3">
      <c r="A435" t="s">
        <v>1030</v>
      </c>
      <c r="B435" s="4">
        <v>44090</v>
      </c>
      <c r="C435" t="s">
        <v>452</v>
      </c>
      <c r="D435" t="s">
        <v>1013</v>
      </c>
      <c r="E435" t="s">
        <v>485</v>
      </c>
    </row>
    <row r="436" spans="1:5" x14ac:dyDescent="0.3">
      <c r="A436" t="s">
        <v>1029</v>
      </c>
      <c r="B436" s="4">
        <v>44084</v>
      </c>
      <c r="C436" t="s">
        <v>452</v>
      </c>
      <c r="D436" t="s">
        <v>1013</v>
      </c>
      <c r="E436" t="s">
        <v>485</v>
      </c>
    </row>
    <row r="437" spans="1:5" x14ac:dyDescent="0.3">
      <c r="A437" t="s">
        <v>1028</v>
      </c>
      <c r="B437" s="4">
        <v>44084</v>
      </c>
      <c r="C437" t="s">
        <v>452</v>
      </c>
      <c r="D437" t="s">
        <v>1013</v>
      </c>
      <c r="E437" t="s">
        <v>485</v>
      </c>
    </row>
    <row r="438" spans="1:5" x14ac:dyDescent="0.3">
      <c r="A438" t="s">
        <v>1027</v>
      </c>
      <c r="B438" s="4">
        <v>44083</v>
      </c>
      <c r="C438" t="s">
        <v>452</v>
      </c>
      <c r="D438" t="s">
        <v>1013</v>
      </c>
      <c r="E438" t="s">
        <v>488</v>
      </c>
    </row>
    <row r="439" spans="1:5" x14ac:dyDescent="0.3">
      <c r="A439" t="s">
        <v>1026</v>
      </c>
      <c r="B439" s="4">
        <v>44083</v>
      </c>
      <c r="C439" t="s">
        <v>452</v>
      </c>
      <c r="D439" t="s">
        <v>1013</v>
      </c>
      <c r="E439" t="s">
        <v>485</v>
      </c>
    </row>
    <row r="440" spans="1:5" x14ac:dyDescent="0.3">
      <c r="A440" t="s">
        <v>1025</v>
      </c>
      <c r="B440" s="4">
        <v>44083</v>
      </c>
      <c r="C440" t="s">
        <v>452</v>
      </c>
      <c r="D440" t="s">
        <v>1013</v>
      </c>
      <c r="E440" t="s">
        <v>485</v>
      </c>
    </row>
    <row r="441" spans="1:5" x14ac:dyDescent="0.3">
      <c r="A441" t="s">
        <v>1024</v>
      </c>
      <c r="B441" s="4">
        <v>44083</v>
      </c>
      <c r="C441" t="s">
        <v>452</v>
      </c>
      <c r="D441" t="s">
        <v>1013</v>
      </c>
      <c r="E441" t="s">
        <v>485</v>
      </c>
    </row>
    <row r="442" spans="1:5" x14ac:dyDescent="0.3">
      <c r="A442" t="s">
        <v>1023</v>
      </c>
      <c r="B442" s="4">
        <v>44078</v>
      </c>
      <c r="C442" t="s">
        <v>452</v>
      </c>
      <c r="D442" t="s">
        <v>1013</v>
      </c>
      <c r="E442" t="s">
        <v>485</v>
      </c>
    </row>
    <row r="443" spans="1:5" x14ac:dyDescent="0.3">
      <c r="A443" t="s">
        <v>1022</v>
      </c>
      <c r="B443" s="4">
        <v>44078</v>
      </c>
      <c r="C443" t="s">
        <v>452</v>
      </c>
      <c r="D443" t="s">
        <v>1013</v>
      </c>
      <c r="E443" t="s">
        <v>485</v>
      </c>
    </row>
    <row r="444" spans="1:5" x14ac:dyDescent="0.3">
      <c r="A444" t="s">
        <v>1021</v>
      </c>
      <c r="B444" s="4">
        <v>44078</v>
      </c>
      <c r="C444" t="s">
        <v>452</v>
      </c>
      <c r="D444" t="s">
        <v>1013</v>
      </c>
      <c r="E444" t="s">
        <v>485</v>
      </c>
    </row>
    <row r="445" spans="1:5" x14ac:dyDescent="0.3">
      <c r="A445" t="s">
        <v>1020</v>
      </c>
      <c r="B445" s="4">
        <v>44078</v>
      </c>
      <c r="C445" t="s">
        <v>452</v>
      </c>
      <c r="D445" t="s">
        <v>1013</v>
      </c>
      <c r="E445" t="s">
        <v>485</v>
      </c>
    </row>
    <row r="446" spans="1:5" x14ac:dyDescent="0.3">
      <c r="A446" t="s">
        <v>1019</v>
      </c>
      <c r="B446" s="4">
        <v>44078</v>
      </c>
      <c r="C446" t="s">
        <v>452</v>
      </c>
      <c r="D446" t="s">
        <v>1013</v>
      </c>
      <c r="E446" t="s">
        <v>485</v>
      </c>
    </row>
    <row r="447" spans="1:5" x14ac:dyDescent="0.3">
      <c r="A447" t="s">
        <v>1018</v>
      </c>
      <c r="B447" s="4">
        <v>44078</v>
      </c>
      <c r="C447" t="s">
        <v>452</v>
      </c>
      <c r="D447" t="s">
        <v>1013</v>
      </c>
      <c r="E447" t="s">
        <v>485</v>
      </c>
    </row>
    <row r="448" spans="1:5" x14ac:dyDescent="0.3">
      <c r="A448" t="s">
        <v>1017</v>
      </c>
      <c r="B448" s="4">
        <v>44078</v>
      </c>
      <c r="C448" t="s">
        <v>452</v>
      </c>
      <c r="D448" t="s">
        <v>1013</v>
      </c>
      <c r="E448" t="s">
        <v>485</v>
      </c>
    </row>
    <row r="449" spans="1:5" x14ac:dyDescent="0.3">
      <c r="A449" t="s">
        <v>1016</v>
      </c>
      <c r="B449" s="4">
        <v>44078</v>
      </c>
      <c r="C449" t="s">
        <v>452</v>
      </c>
      <c r="D449" t="s">
        <v>1013</v>
      </c>
      <c r="E449" t="s">
        <v>485</v>
      </c>
    </row>
    <row r="450" spans="1:5" x14ac:dyDescent="0.3">
      <c r="A450" t="s">
        <v>1015</v>
      </c>
      <c r="B450" s="4">
        <v>44078</v>
      </c>
      <c r="C450" t="s">
        <v>452</v>
      </c>
      <c r="D450" t="s">
        <v>1013</v>
      </c>
      <c r="E450" t="s">
        <v>485</v>
      </c>
    </row>
    <row r="451" spans="1:5" x14ac:dyDescent="0.3">
      <c r="A451" t="s">
        <v>1014</v>
      </c>
      <c r="B451" s="4">
        <v>44076</v>
      </c>
      <c r="C451" t="s">
        <v>452</v>
      </c>
      <c r="D451" t="s">
        <v>1013</v>
      </c>
      <c r="E451" t="s">
        <v>485</v>
      </c>
    </row>
    <row r="452" spans="1:5" x14ac:dyDescent="0.3">
      <c r="A452" t="s">
        <v>1012</v>
      </c>
      <c r="B452" s="4">
        <v>43369</v>
      </c>
      <c r="C452" t="s">
        <v>452</v>
      </c>
      <c r="D452" t="s">
        <v>1011</v>
      </c>
      <c r="E452" t="s">
        <v>536</v>
      </c>
    </row>
    <row r="453" spans="1:5" x14ac:dyDescent="0.3">
      <c r="A453" t="s">
        <v>1010</v>
      </c>
      <c r="B453" s="4">
        <v>44117</v>
      </c>
      <c r="C453" t="s">
        <v>452</v>
      </c>
      <c r="D453" t="s">
        <v>981</v>
      </c>
      <c r="E453" t="s">
        <v>488</v>
      </c>
    </row>
    <row r="454" spans="1:5" x14ac:dyDescent="0.3">
      <c r="A454" t="s">
        <v>1009</v>
      </c>
      <c r="B454" s="4">
        <v>44107</v>
      </c>
      <c r="C454" t="s">
        <v>452</v>
      </c>
      <c r="D454" t="s">
        <v>981</v>
      </c>
      <c r="E454" t="s">
        <v>488</v>
      </c>
    </row>
    <row r="455" spans="1:5" x14ac:dyDescent="0.3">
      <c r="A455" t="s">
        <v>1008</v>
      </c>
      <c r="B455" s="4">
        <v>44095</v>
      </c>
      <c r="C455" t="s">
        <v>452</v>
      </c>
      <c r="D455" t="s">
        <v>981</v>
      </c>
      <c r="E455" t="s">
        <v>488</v>
      </c>
    </row>
    <row r="456" spans="1:5" x14ac:dyDescent="0.3">
      <c r="A456" t="s">
        <v>1007</v>
      </c>
      <c r="B456" s="4">
        <v>44088</v>
      </c>
      <c r="C456" t="s">
        <v>452</v>
      </c>
      <c r="D456" t="s">
        <v>981</v>
      </c>
      <c r="E456" t="s">
        <v>488</v>
      </c>
    </row>
    <row r="457" spans="1:5" x14ac:dyDescent="0.3">
      <c r="A457" t="s">
        <v>1006</v>
      </c>
      <c r="B457" s="4">
        <v>44070</v>
      </c>
      <c r="C457" t="s">
        <v>452</v>
      </c>
      <c r="D457" t="s">
        <v>981</v>
      </c>
      <c r="E457" t="s">
        <v>488</v>
      </c>
    </row>
    <row r="458" spans="1:5" x14ac:dyDescent="0.3">
      <c r="A458" t="s">
        <v>1005</v>
      </c>
      <c r="B458" s="4">
        <v>44062</v>
      </c>
      <c r="C458" t="s">
        <v>452</v>
      </c>
      <c r="D458" t="s">
        <v>981</v>
      </c>
      <c r="E458" t="s">
        <v>488</v>
      </c>
    </row>
    <row r="459" spans="1:5" x14ac:dyDescent="0.3">
      <c r="A459" t="s">
        <v>1004</v>
      </c>
      <c r="B459" s="4">
        <v>44062</v>
      </c>
      <c r="C459" t="s">
        <v>452</v>
      </c>
      <c r="D459" t="s">
        <v>981</v>
      </c>
      <c r="E459" t="s">
        <v>488</v>
      </c>
    </row>
    <row r="460" spans="1:5" x14ac:dyDescent="0.3">
      <c r="A460" t="s">
        <v>1003</v>
      </c>
      <c r="B460" s="4">
        <v>44060</v>
      </c>
      <c r="C460" t="s">
        <v>452</v>
      </c>
      <c r="D460" t="s">
        <v>981</v>
      </c>
      <c r="E460" t="s">
        <v>644</v>
      </c>
    </row>
    <row r="461" spans="1:5" x14ac:dyDescent="0.3">
      <c r="A461" t="s">
        <v>1002</v>
      </c>
      <c r="B461" s="4">
        <v>44041</v>
      </c>
      <c r="C461" t="s">
        <v>452</v>
      </c>
      <c r="D461" t="s">
        <v>981</v>
      </c>
      <c r="E461" t="s">
        <v>488</v>
      </c>
    </row>
    <row r="462" spans="1:5" x14ac:dyDescent="0.3">
      <c r="A462" t="s">
        <v>1001</v>
      </c>
      <c r="B462" s="4">
        <v>44021</v>
      </c>
      <c r="C462" t="s">
        <v>452</v>
      </c>
      <c r="D462" t="s">
        <v>981</v>
      </c>
      <c r="E462" t="s">
        <v>488</v>
      </c>
    </row>
    <row r="463" spans="1:5" x14ac:dyDescent="0.3">
      <c r="A463" t="s">
        <v>1000</v>
      </c>
      <c r="B463" s="4">
        <v>44020</v>
      </c>
      <c r="C463" t="s">
        <v>452</v>
      </c>
      <c r="D463" t="s">
        <v>981</v>
      </c>
      <c r="E463" t="s">
        <v>488</v>
      </c>
    </row>
    <row r="464" spans="1:5" x14ac:dyDescent="0.3">
      <c r="A464" t="s">
        <v>999</v>
      </c>
      <c r="B464" s="4">
        <v>44020</v>
      </c>
      <c r="C464" t="s">
        <v>452</v>
      </c>
      <c r="D464" t="s">
        <v>981</v>
      </c>
      <c r="E464" t="s">
        <v>488</v>
      </c>
    </row>
    <row r="465" spans="1:5" x14ac:dyDescent="0.3">
      <c r="A465" t="s">
        <v>998</v>
      </c>
      <c r="B465" s="4">
        <v>44020</v>
      </c>
      <c r="C465" t="s">
        <v>452</v>
      </c>
      <c r="D465" t="s">
        <v>981</v>
      </c>
      <c r="E465" t="s">
        <v>488</v>
      </c>
    </row>
    <row r="466" spans="1:5" x14ac:dyDescent="0.3">
      <c r="A466" t="s">
        <v>997</v>
      </c>
      <c r="B466" s="4">
        <v>44007</v>
      </c>
      <c r="C466" t="s">
        <v>452</v>
      </c>
      <c r="D466" t="s">
        <v>981</v>
      </c>
      <c r="E466" t="s">
        <v>644</v>
      </c>
    </row>
    <row r="467" spans="1:5" x14ac:dyDescent="0.3">
      <c r="A467" t="s">
        <v>996</v>
      </c>
      <c r="B467" s="4">
        <v>44005</v>
      </c>
      <c r="C467" t="s">
        <v>452</v>
      </c>
      <c r="D467" t="s">
        <v>981</v>
      </c>
      <c r="E467" t="s">
        <v>644</v>
      </c>
    </row>
    <row r="468" spans="1:5" x14ac:dyDescent="0.3">
      <c r="A468" t="s">
        <v>995</v>
      </c>
      <c r="B468" s="4">
        <v>43998</v>
      </c>
      <c r="C468" t="s">
        <v>452</v>
      </c>
      <c r="D468" t="s">
        <v>981</v>
      </c>
      <c r="E468" t="s">
        <v>625</v>
      </c>
    </row>
    <row r="469" spans="1:5" x14ac:dyDescent="0.3">
      <c r="A469" t="s">
        <v>994</v>
      </c>
      <c r="B469" s="4">
        <v>43951</v>
      </c>
      <c r="C469" t="s">
        <v>452</v>
      </c>
      <c r="D469" t="s">
        <v>981</v>
      </c>
      <c r="E469" t="s">
        <v>488</v>
      </c>
    </row>
    <row r="470" spans="1:5" x14ac:dyDescent="0.3">
      <c r="A470" t="s">
        <v>993</v>
      </c>
      <c r="B470" s="4">
        <v>43946</v>
      </c>
      <c r="C470" t="s">
        <v>452</v>
      </c>
      <c r="D470" t="s">
        <v>981</v>
      </c>
      <c r="E470" t="s">
        <v>536</v>
      </c>
    </row>
    <row r="471" spans="1:5" x14ac:dyDescent="0.3">
      <c r="A471" t="s">
        <v>992</v>
      </c>
      <c r="B471" s="4">
        <v>43946</v>
      </c>
      <c r="C471" t="s">
        <v>452</v>
      </c>
      <c r="D471" t="s">
        <v>981</v>
      </c>
      <c r="E471" t="s">
        <v>536</v>
      </c>
    </row>
    <row r="472" spans="1:5" x14ac:dyDescent="0.3">
      <c r="A472" t="s">
        <v>991</v>
      </c>
      <c r="B472" s="4">
        <v>43945</v>
      </c>
      <c r="C472" t="s">
        <v>452</v>
      </c>
      <c r="D472" t="s">
        <v>981</v>
      </c>
      <c r="E472" t="s">
        <v>536</v>
      </c>
    </row>
    <row r="473" spans="1:5" x14ac:dyDescent="0.3">
      <c r="A473" t="s">
        <v>990</v>
      </c>
      <c r="B473" s="4">
        <v>43945</v>
      </c>
      <c r="C473" t="s">
        <v>452</v>
      </c>
      <c r="D473" t="s">
        <v>981</v>
      </c>
      <c r="E473" t="s">
        <v>536</v>
      </c>
    </row>
    <row r="474" spans="1:5" x14ac:dyDescent="0.3">
      <c r="A474" t="s">
        <v>989</v>
      </c>
      <c r="B474" s="4">
        <v>43922</v>
      </c>
      <c r="C474" t="s">
        <v>452</v>
      </c>
      <c r="D474" t="s">
        <v>981</v>
      </c>
      <c r="E474" t="s">
        <v>625</v>
      </c>
    </row>
    <row r="475" spans="1:5" x14ac:dyDescent="0.3">
      <c r="A475" t="s">
        <v>988</v>
      </c>
      <c r="B475" s="4">
        <v>43921</v>
      </c>
      <c r="C475" t="s">
        <v>452</v>
      </c>
      <c r="D475" t="s">
        <v>981</v>
      </c>
      <c r="E475" t="s">
        <v>488</v>
      </c>
    </row>
    <row r="476" spans="1:5" x14ac:dyDescent="0.3">
      <c r="A476" t="s">
        <v>987</v>
      </c>
      <c r="B476" s="4">
        <v>43914</v>
      </c>
      <c r="C476" t="s">
        <v>452</v>
      </c>
      <c r="D476" t="s">
        <v>981</v>
      </c>
      <c r="E476" t="s">
        <v>625</v>
      </c>
    </row>
    <row r="477" spans="1:5" x14ac:dyDescent="0.3">
      <c r="A477" t="s">
        <v>986</v>
      </c>
      <c r="B477" s="4">
        <v>43914</v>
      </c>
      <c r="C477" t="s">
        <v>452</v>
      </c>
      <c r="D477" t="s">
        <v>981</v>
      </c>
      <c r="E477" t="s">
        <v>625</v>
      </c>
    </row>
    <row r="478" spans="1:5" x14ac:dyDescent="0.3">
      <c r="A478" t="s">
        <v>985</v>
      </c>
      <c r="B478" s="4">
        <v>43895</v>
      </c>
      <c r="C478" t="s">
        <v>452</v>
      </c>
      <c r="D478" t="s">
        <v>981</v>
      </c>
      <c r="E478" t="s">
        <v>644</v>
      </c>
    </row>
    <row r="479" spans="1:5" x14ac:dyDescent="0.3">
      <c r="A479" t="s">
        <v>985</v>
      </c>
      <c r="B479" s="4">
        <v>43895</v>
      </c>
      <c r="C479" t="s">
        <v>452</v>
      </c>
      <c r="D479" t="s">
        <v>981</v>
      </c>
      <c r="E479" t="s">
        <v>644</v>
      </c>
    </row>
    <row r="480" spans="1:5" x14ac:dyDescent="0.3">
      <c r="A480" t="s">
        <v>984</v>
      </c>
      <c r="B480" s="4">
        <v>43892</v>
      </c>
      <c r="C480" t="s">
        <v>452</v>
      </c>
      <c r="D480" t="s">
        <v>981</v>
      </c>
      <c r="E480" t="s">
        <v>536</v>
      </c>
    </row>
    <row r="481" spans="1:5" x14ac:dyDescent="0.3">
      <c r="A481" t="s">
        <v>983</v>
      </c>
      <c r="B481" s="4">
        <v>43887</v>
      </c>
      <c r="C481" t="s">
        <v>452</v>
      </c>
      <c r="D481" t="s">
        <v>981</v>
      </c>
      <c r="E481" t="s">
        <v>488</v>
      </c>
    </row>
    <row r="482" spans="1:5" x14ac:dyDescent="0.3">
      <c r="A482" t="s">
        <v>982</v>
      </c>
      <c r="B482" s="4">
        <v>43887</v>
      </c>
      <c r="C482" t="s">
        <v>452</v>
      </c>
      <c r="D482" t="s">
        <v>981</v>
      </c>
      <c r="E482" t="s">
        <v>536</v>
      </c>
    </row>
    <row r="483" spans="1:5" x14ac:dyDescent="0.3">
      <c r="A483" t="s">
        <v>980</v>
      </c>
      <c r="B483" s="4">
        <v>43774</v>
      </c>
      <c r="C483" t="s">
        <v>452</v>
      </c>
      <c r="D483" t="s">
        <v>950</v>
      </c>
      <c r="E483" t="s">
        <v>625</v>
      </c>
    </row>
    <row r="484" spans="1:5" x14ac:dyDescent="0.3">
      <c r="A484" t="s">
        <v>979</v>
      </c>
      <c r="B484" s="4">
        <v>43774</v>
      </c>
      <c r="C484" t="s">
        <v>452</v>
      </c>
      <c r="D484" t="s">
        <v>950</v>
      </c>
      <c r="E484" t="s">
        <v>625</v>
      </c>
    </row>
    <row r="485" spans="1:5" x14ac:dyDescent="0.3">
      <c r="A485" t="s">
        <v>978</v>
      </c>
      <c r="B485" s="4">
        <v>43731</v>
      </c>
      <c r="C485" t="s">
        <v>452</v>
      </c>
      <c r="D485" t="s">
        <v>950</v>
      </c>
      <c r="E485" t="s">
        <v>625</v>
      </c>
    </row>
    <row r="486" spans="1:5" x14ac:dyDescent="0.3">
      <c r="A486" t="s">
        <v>977</v>
      </c>
      <c r="B486" s="4">
        <v>43731</v>
      </c>
      <c r="C486" t="s">
        <v>452</v>
      </c>
      <c r="D486" t="s">
        <v>950</v>
      </c>
      <c r="E486" t="s">
        <v>949</v>
      </c>
    </row>
    <row r="487" spans="1:5" x14ac:dyDescent="0.3">
      <c r="A487" t="s">
        <v>976</v>
      </c>
      <c r="B487" s="4">
        <v>43731</v>
      </c>
      <c r="C487" t="s">
        <v>452</v>
      </c>
      <c r="D487" t="s">
        <v>950</v>
      </c>
      <c r="E487" t="s">
        <v>949</v>
      </c>
    </row>
    <row r="488" spans="1:5" x14ac:dyDescent="0.3">
      <c r="A488" t="s">
        <v>975</v>
      </c>
      <c r="B488" s="4">
        <v>43728</v>
      </c>
      <c r="C488" t="s">
        <v>452</v>
      </c>
      <c r="D488" t="s">
        <v>950</v>
      </c>
      <c r="E488" t="s">
        <v>949</v>
      </c>
    </row>
    <row r="489" spans="1:5" x14ac:dyDescent="0.3">
      <c r="A489" t="s">
        <v>974</v>
      </c>
      <c r="B489" s="4">
        <v>43728</v>
      </c>
      <c r="C489" t="s">
        <v>452</v>
      </c>
      <c r="D489" t="s">
        <v>950</v>
      </c>
      <c r="E489" t="s">
        <v>949</v>
      </c>
    </row>
    <row r="490" spans="1:5" x14ac:dyDescent="0.3">
      <c r="A490" t="s">
        <v>973</v>
      </c>
      <c r="B490" s="4">
        <v>43728</v>
      </c>
      <c r="C490" t="s">
        <v>452</v>
      </c>
      <c r="D490" t="s">
        <v>950</v>
      </c>
      <c r="E490" t="s">
        <v>949</v>
      </c>
    </row>
    <row r="491" spans="1:5" x14ac:dyDescent="0.3">
      <c r="A491" t="s">
        <v>972</v>
      </c>
      <c r="B491" s="4">
        <v>43728</v>
      </c>
      <c r="C491" t="s">
        <v>452</v>
      </c>
      <c r="D491" t="s">
        <v>950</v>
      </c>
      <c r="E491" t="s">
        <v>949</v>
      </c>
    </row>
    <row r="492" spans="1:5" x14ac:dyDescent="0.3">
      <c r="A492" t="s">
        <v>971</v>
      </c>
      <c r="B492" s="4">
        <v>43728</v>
      </c>
      <c r="C492" t="s">
        <v>452</v>
      </c>
      <c r="D492" t="s">
        <v>950</v>
      </c>
      <c r="E492" t="s">
        <v>949</v>
      </c>
    </row>
    <row r="493" spans="1:5" x14ac:dyDescent="0.3">
      <c r="A493" t="s">
        <v>970</v>
      </c>
      <c r="B493" s="4">
        <v>43728</v>
      </c>
      <c r="C493" t="s">
        <v>452</v>
      </c>
      <c r="D493" t="s">
        <v>950</v>
      </c>
      <c r="E493" t="s">
        <v>949</v>
      </c>
    </row>
    <row r="494" spans="1:5" x14ac:dyDescent="0.3">
      <c r="A494" t="s">
        <v>969</v>
      </c>
      <c r="B494" s="4">
        <v>43724</v>
      </c>
      <c r="C494" t="s">
        <v>452</v>
      </c>
      <c r="D494" t="s">
        <v>950</v>
      </c>
      <c r="E494" t="s">
        <v>949</v>
      </c>
    </row>
    <row r="495" spans="1:5" x14ac:dyDescent="0.3">
      <c r="A495" t="s">
        <v>968</v>
      </c>
      <c r="B495" s="4">
        <v>43724</v>
      </c>
      <c r="C495" t="s">
        <v>452</v>
      </c>
      <c r="D495" t="s">
        <v>950</v>
      </c>
      <c r="E495" t="s">
        <v>949</v>
      </c>
    </row>
    <row r="496" spans="1:5" x14ac:dyDescent="0.3">
      <c r="A496" t="s">
        <v>967</v>
      </c>
      <c r="B496" s="4">
        <v>43590</v>
      </c>
      <c r="C496" t="s">
        <v>452</v>
      </c>
      <c r="D496" t="s">
        <v>950</v>
      </c>
      <c r="E496" t="s">
        <v>625</v>
      </c>
    </row>
    <row r="497" spans="1:5" x14ac:dyDescent="0.3">
      <c r="A497" t="s">
        <v>966</v>
      </c>
      <c r="B497" s="4">
        <v>43589</v>
      </c>
      <c r="C497" t="s">
        <v>452</v>
      </c>
      <c r="D497" t="s">
        <v>950</v>
      </c>
      <c r="E497" t="s">
        <v>625</v>
      </c>
    </row>
    <row r="498" spans="1:5" x14ac:dyDescent="0.3">
      <c r="A498" t="s">
        <v>965</v>
      </c>
      <c r="B498" s="4">
        <v>43587</v>
      </c>
      <c r="C498" t="s">
        <v>452</v>
      </c>
      <c r="D498" t="s">
        <v>950</v>
      </c>
      <c r="E498" t="s">
        <v>488</v>
      </c>
    </row>
    <row r="499" spans="1:5" x14ac:dyDescent="0.3">
      <c r="A499" t="s">
        <v>964</v>
      </c>
      <c r="B499" s="4">
        <v>43587</v>
      </c>
      <c r="C499" t="s">
        <v>452</v>
      </c>
      <c r="D499" t="s">
        <v>950</v>
      </c>
      <c r="E499" t="s">
        <v>949</v>
      </c>
    </row>
    <row r="500" spans="1:5" x14ac:dyDescent="0.3">
      <c r="A500" t="s">
        <v>963</v>
      </c>
      <c r="B500" s="4">
        <v>43581</v>
      </c>
      <c r="C500" t="s">
        <v>452</v>
      </c>
      <c r="D500" t="s">
        <v>950</v>
      </c>
      <c r="E500" t="s">
        <v>949</v>
      </c>
    </row>
    <row r="501" spans="1:5" x14ac:dyDescent="0.3">
      <c r="A501" t="s">
        <v>962</v>
      </c>
      <c r="B501" s="4">
        <v>43573</v>
      </c>
      <c r="C501" t="s">
        <v>452</v>
      </c>
      <c r="D501" t="s">
        <v>950</v>
      </c>
      <c r="E501" t="s">
        <v>949</v>
      </c>
    </row>
    <row r="502" spans="1:5" x14ac:dyDescent="0.3">
      <c r="A502" t="s">
        <v>961</v>
      </c>
      <c r="B502" s="4">
        <v>43572</v>
      </c>
      <c r="C502" t="s">
        <v>452</v>
      </c>
      <c r="D502" t="s">
        <v>950</v>
      </c>
      <c r="E502" t="s">
        <v>949</v>
      </c>
    </row>
    <row r="503" spans="1:5" x14ac:dyDescent="0.3">
      <c r="A503" t="s">
        <v>960</v>
      </c>
      <c r="B503" s="4">
        <v>43572</v>
      </c>
      <c r="C503" t="s">
        <v>452</v>
      </c>
      <c r="D503" t="s">
        <v>950</v>
      </c>
      <c r="E503" t="s">
        <v>949</v>
      </c>
    </row>
    <row r="504" spans="1:5" x14ac:dyDescent="0.3">
      <c r="A504" t="s">
        <v>959</v>
      </c>
      <c r="B504" s="4">
        <v>43570</v>
      </c>
      <c r="C504" t="s">
        <v>452</v>
      </c>
      <c r="D504" t="s">
        <v>950</v>
      </c>
      <c r="E504" t="s">
        <v>949</v>
      </c>
    </row>
    <row r="505" spans="1:5" x14ac:dyDescent="0.3">
      <c r="A505" t="s">
        <v>958</v>
      </c>
      <c r="B505" s="4">
        <v>43570</v>
      </c>
      <c r="C505" t="s">
        <v>452</v>
      </c>
      <c r="D505" t="s">
        <v>950</v>
      </c>
      <c r="E505" t="s">
        <v>949</v>
      </c>
    </row>
    <row r="506" spans="1:5" x14ac:dyDescent="0.3">
      <c r="A506" t="s">
        <v>957</v>
      </c>
      <c r="B506" s="4">
        <v>43570</v>
      </c>
      <c r="C506" t="s">
        <v>452</v>
      </c>
      <c r="D506" t="s">
        <v>950</v>
      </c>
      <c r="E506" t="s">
        <v>949</v>
      </c>
    </row>
    <row r="507" spans="1:5" x14ac:dyDescent="0.3">
      <c r="A507" t="s">
        <v>956</v>
      </c>
      <c r="B507" s="4">
        <v>43570</v>
      </c>
      <c r="C507" t="s">
        <v>452</v>
      </c>
      <c r="D507" t="s">
        <v>950</v>
      </c>
      <c r="E507" t="s">
        <v>949</v>
      </c>
    </row>
    <row r="508" spans="1:5" x14ac:dyDescent="0.3">
      <c r="A508" t="s">
        <v>955</v>
      </c>
      <c r="B508" s="4">
        <v>43570</v>
      </c>
      <c r="C508" t="s">
        <v>452</v>
      </c>
      <c r="D508" t="s">
        <v>950</v>
      </c>
      <c r="E508" t="s">
        <v>949</v>
      </c>
    </row>
    <row r="509" spans="1:5" x14ac:dyDescent="0.3">
      <c r="A509" t="s">
        <v>954</v>
      </c>
      <c r="B509" s="4">
        <v>43567</v>
      </c>
      <c r="C509" t="s">
        <v>452</v>
      </c>
      <c r="D509" t="s">
        <v>950</v>
      </c>
      <c r="E509" t="s">
        <v>949</v>
      </c>
    </row>
    <row r="510" spans="1:5" x14ac:dyDescent="0.3">
      <c r="A510" t="s">
        <v>953</v>
      </c>
      <c r="B510" s="4">
        <v>43567</v>
      </c>
      <c r="C510" t="s">
        <v>452</v>
      </c>
      <c r="D510" t="s">
        <v>950</v>
      </c>
      <c r="E510" t="s">
        <v>949</v>
      </c>
    </row>
    <row r="511" spans="1:5" x14ac:dyDescent="0.3">
      <c r="A511" t="s">
        <v>952</v>
      </c>
      <c r="B511" s="4">
        <v>43567</v>
      </c>
      <c r="C511" t="s">
        <v>452</v>
      </c>
      <c r="D511" t="s">
        <v>950</v>
      </c>
      <c r="E511" t="s">
        <v>949</v>
      </c>
    </row>
    <row r="512" spans="1:5" x14ac:dyDescent="0.3">
      <c r="A512" t="s">
        <v>951</v>
      </c>
      <c r="B512" s="4">
        <v>43567</v>
      </c>
      <c r="C512" t="s">
        <v>452</v>
      </c>
      <c r="D512" t="s">
        <v>950</v>
      </c>
      <c r="E512" t="s">
        <v>949</v>
      </c>
    </row>
    <row r="513" spans="1:5" x14ac:dyDescent="0.3">
      <c r="A513" t="s">
        <v>948</v>
      </c>
      <c r="B513" s="4">
        <v>43993</v>
      </c>
      <c r="C513" t="s">
        <v>452</v>
      </c>
      <c r="D513" t="s">
        <v>911</v>
      </c>
      <c r="E513" t="s">
        <v>913</v>
      </c>
    </row>
    <row r="514" spans="1:5" x14ac:dyDescent="0.3">
      <c r="A514" t="s">
        <v>947</v>
      </c>
      <c r="B514" s="4">
        <v>43993</v>
      </c>
      <c r="C514" t="s">
        <v>452</v>
      </c>
      <c r="D514" t="s">
        <v>911</v>
      </c>
      <c r="E514" t="s">
        <v>488</v>
      </c>
    </row>
    <row r="515" spans="1:5" x14ac:dyDescent="0.3">
      <c r="A515" t="s">
        <v>946</v>
      </c>
      <c r="B515" s="4">
        <v>43993</v>
      </c>
      <c r="C515" t="s">
        <v>452</v>
      </c>
      <c r="D515" t="s">
        <v>911</v>
      </c>
      <c r="E515" t="s">
        <v>488</v>
      </c>
    </row>
    <row r="516" spans="1:5" x14ac:dyDescent="0.3">
      <c r="A516" t="s">
        <v>945</v>
      </c>
      <c r="B516" s="4">
        <v>43992</v>
      </c>
      <c r="C516" t="s">
        <v>452</v>
      </c>
      <c r="D516" t="s">
        <v>911</v>
      </c>
      <c r="E516" t="s">
        <v>913</v>
      </c>
    </row>
    <row r="517" spans="1:5" x14ac:dyDescent="0.3">
      <c r="A517" t="s">
        <v>944</v>
      </c>
      <c r="B517" s="4">
        <v>43992</v>
      </c>
      <c r="C517" t="s">
        <v>452</v>
      </c>
      <c r="D517" t="s">
        <v>911</v>
      </c>
      <c r="E517" t="s">
        <v>488</v>
      </c>
    </row>
    <row r="518" spans="1:5" x14ac:dyDescent="0.3">
      <c r="A518" t="s">
        <v>943</v>
      </c>
      <c r="B518" s="4">
        <v>43991</v>
      </c>
      <c r="C518" t="s">
        <v>452</v>
      </c>
      <c r="D518" t="s">
        <v>911</v>
      </c>
      <c r="E518" t="s">
        <v>913</v>
      </c>
    </row>
    <row r="519" spans="1:5" x14ac:dyDescent="0.3">
      <c r="A519" t="s">
        <v>942</v>
      </c>
      <c r="B519" s="4">
        <v>43991</v>
      </c>
      <c r="C519" t="s">
        <v>452</v>
      </c>
      <c r="D519" t="s">
        <v>911</v>
      </c>
      <c r="E519" t="s">
        <v>488</v>
      </c>
    </row>
    <row r="520" spans="1:5" x14ac:dyDescent="0.3">
      <c r="A520" t="s">
        <v>941</v>
      </c>
      <c r="B520" s="4">
        <v>43991</v>
      </c>
      <c r="C520" t="s">
        <v>452</v>
      </c>
      <c r="D520" t="s">
        <v>911</v>
      </c>
      <c r="E520" t="s">
        <v>922</v>
      </c>
    </row>
    <row r="521" spans="1:5" x14ac:dyDescent="0.3">
      <c r="A521" t="s">
        <v>940</v>
      </c>
      <c r="B521" s="4">
        <v>43991</v>
      </c>
      <c r="C521" t="s">
        <v>452</v>
      </c>
      <c r="D521" t="s">
        <v>911</v>
      </c>
      <c r="E521" t="s">
        <v>922</v>
      </c>
    </row>
    <row r="522" spans="1:5" x14ac:dyDescent="0.3">
      <c r="A522" t="s">
        <v>939</v>
      </c>
      <c r="B522" s="4">
        <v>43991</v>
      </c>
      <c r="C522" t="s">
        <v>452</v>
      </c>
      <c r="D522" t="s">
        <v>911</v>
      </c>
      <c r="E522" t="s">
        <v>922</v>
      </c>
    </row>
    <row r="523" spans="1:5" x14ac:dyDescent="0.3">
      <c r="A523" t="s">
        <v>938</v>
      </c>
      <c r="B523" s="4">
        <v>43990</v>
      </c>
      <c r="C523" t="s">
        <v>452</v>
      </c>
      <c r="D523" t="s">
        <v>911</v>
      </c>
      <c r="E523" t="s">
        <v>937</v>
      </c>
    </row>
    <row r="524" spans="1:5" x14ac:dyDescent="0.3">
      <c r="A524" t="s">
        <v>936</v>
      </c>
      <c r="B524" s="4">
        <v>43990</v>
      </c>
      <c r="C524" t="s">
        <v>452</v>
      </c>
      <c r="D524" t="s">
        <v>911</v>
      </c>
      <c r="E524" t="s">
        <v>488</v>
      </c>
    </row>
    <row r="525" spans="1:5" x14ac:dyDescent="0.3">
      <c r="A525" t="s">
        <v>935</v>
      </c>
      <c r="B525" s="4">
        <v>43990</v>
      </c>
      <c r="C525" t="s">
        <v>452</v>
      </c>
      <c r="D525" t="s">
        <v>911</v>
      </c>
      <c r="E525" t="s">
        <v>488</v>
      </c>
    </row>
    <row r="526" spans="1:5" x14ac:dyDescent="0.3">
      <c r="A526" t="s">
        <v>934</v>
      </c>
      <c r="B526" s="4">
        <v>43989</v>
      </c>
      <c r="C526" t="s">
        <v>452</v>
      </c>
      <c r="D526" t="s">
        <v>911</v>
      </c>
      <c r="E526" t="s">
        <v>488</v>
      </c>
    </row>
    <row r="527" spans="1:5" x14ac:dyDescent="0.3">
      <c r="A527" t="s">
        <v>933</v>
      </c>
      <c r="B527" s="4">
        <v>43987</v>
      </c>
      <c r="C527" t="s">
        <v>452</v>
      </c>
      <c r="D527" t="s">
        <v>911</v>
      </c>
      <c r="E527" t="s">
        <v>932</v>
      </c>
    </row>
    <row r="528" spans="1:5" x14ac:dyDescent="0.3">
      <c r="A528" t="s">
        <v>931</v>
      </c>
      <c r="B528" s="4">
        <v>43986</v>
      </c>
      <c r="C528" t="s">
        <v>452</v>
      </c>
      <c r="D528" t="s">
        <v>911</v>
      </c>
      <c r="E528" t="s">
        <v>488</v>
      </c>
    </row>
    <row r="529" spans="1:5" x14ac:dyDescent="0.3">
      <c r="A529" t="s">
        <v>930</v>
      </c>
      <c r="B529" s="4">
        <v>43985</v>
      </c>
      <c r="C529" t="s">
        <v>452</v>
      </c>
      <c r="D529" t="s">
        <v>911</v>
      </c>
      <c r="E529" t="s">
        <v>929</v>
      </c>
    </row>
    <row r="530" spans="1:5" x14ac:dyDescent="0.3">
      <c r="A530" t="s">
        <v>928</v>
      </c>
      <c r="B530" s="4">
        <v>43985</v>
      </c>
      <c r="C530" t="s">
        <v>452</v>
      </c>
      <c r="D530" t="s">
        <v>911</v>
      </c>
      <c r="E530" t="s">
        <v>488</v>
      </c>
    </row>
    <row r="531" spans="1:5" x14ac:dyDescent="0.3">
      <c r="A531" t="s">
        <v>927</v>
      </c>
      <c r="B531" s="4">
        <v>43985</v>
      </c>
      <c r="C531" t="s">
        <v>452</v>
      </c>
      <c r="D531" t="s">
        <v>911</v>
      </c>
      <c r="E531" t="s">
        <v>488</v>
      </c>
    </row>
    <row r="532" spans="1:5" x14ac:dyDescent="0.3">
      <c r="A532" t="s">
        <v>926</v>
      </c>
      <c r="B532" s="4">
        <v>43978</v>
      </c>
      <c r="C532" t="s">
        <v>452</v>
      </c>
      <c r="D532" t="s">
        <v>911</v>
      </c>
      <c r="E532" t="s">
        <v>925</v>
      </c>
    </row>
    <row r="533" spans="1:5" x14ac:dyDescent="0.3">
      <c r="A533" t="s">
        <v>924</v>
      </c>
      <c r="B533" s="4">
        <v>43975</v>
      </c>
      <c r="C533" t="s">
        <v>452</v>
      </c>
      <c r="D533" t="s">
        <v>911</v>
      </c>
      <c r="E533" t="s">
        <v>488</v>
      </c>
    </row>
    <row r="534" spans="1:5" x14ac:dyDescent="0.3">
      <c r="A534" t="s">
        <v>923</v>
      </c>
      <c r="B534" s="4">
        <v>43971</v>
      </c>
      <c r="C534" t="s">
        <v>452</v>
      </c>
      <c r="D534" t="s">
        <v>911</v>
      </c>
      <c r="E534" t="s">
        <v>922</v>
      </c>
    </row>
    <row r="535" spans="1:5" x14ac:dyDescent="0.3">
      <c r="A535" t="s">
        <v>921</v>
      </c>
      <c r="B535" s="4">
        <v>43971</v>
      </c>
      <c r="C535" t="s">
        <v>452</v>
      </c>
      <c r="D535" t="s">
        <v>911</v>
      </c>
      <c r="E535" t="s">
        <v>488</v>
      </c>
    </row>
    <row r="536" spans="1:5" x14ac:dyDescent="0.3">
      <c r="A536" t="s">
        <v>920</v>
      </c>
      <c r="B536" s="4">
        <v>43964</v>
      </c>
      <c r="C536" t="s">
        <v>452</v>
      </c>
      <c r="D536" t="s">
        <v>911</v>
      </c>
      <c r="E536" t="s">
        <v>918</v>
      </c>
    </row>
    <row r="537" spans="1:5" x14ac:dyDescent="0.3">
      <c r="A537" t="s">
        <v>919</v>
      </c>
      <c r="B537" s="4">
        <v>43964</v>
      </c>
      <c r="C537" t="s">
        <v>452</v>
      </c>
      <c r="D537" t="s">
        <v>911</v>
      </c>
      <c r="E537" t="s">
        <v>918</v>
      </c>
    </row>
    <row r="538" spans="1:5" x14ac:dyDescent="0.3">
      <c r="A538" t="s">
        <v>917</v>
      </c>
      <c r="B538" s="4">
        <v>43963</v>
      </c>
      <c r="C538" t="s">
        <v>452</v>
      </c>
      <c r="D538" t="s">
        <v>911</v>
      </c>
      <c r="E538" t="s">
        <v>913</v>
      </c>
    </row>
    <row r="539" spans="1:5" x14ac:dyDescent="0.3">
      <c r="A539" t="s">
        <v>916</v>
      </c>
      <c r="B539" s="4">
        <v>43963</v>
      </c>
      <c r="C539" t="s">
        <v>452</v>
      </c>
      <c r="D539" t="s">
        <v>911</v>
      </c>
      <c r="E539" t="s">
        <v>488</v>
      </c>
    </row>
    <row r="540" spans="1:5" x14ac:dyDescent="0.3">
      <c r="A540" t="s">
        <v>915</v>
      </c>
      <c r="B540" s="4">
        <v>43963</v>
      </c>
      <c r="C540" t="s">
        <v>452</v>
      </c>
      <c r="D540" t="s">
        <v>911</v>
      </c>
      <c r="E540" t="s">
        <v>913</v>
      </c>
    </row>
    <row r="541" spans="1:5" x14ac:dyDescent="0.3">
      <c r="A541" t="s">
        <v>914</v>
      </c>
      <c r="B541" s="4">
        <v>43963</v>
      </c>
      <c r="C541" t="s">
        <v>452</v>
      </c>
      <c r="D541" t="s">
        <v>911</v>
      </c>
      <c r="E541" t="s">
        <v>913</v>
      </c>
    </row>
    <row r="542" spans="1:5" x14ac:dyDescent="0.3">
      <c r="A542" t="s">
        <v>912</v>
      </c>
      <c r="B542" s="4">
        <v>43963</v>
      </c>
      <c r="C542" t="s">
        <v>452</v>
      </c>
      <c r="D542" t="s">
        <v>911</v>
      </c>
      <c r="E542" t="s">
        <v>488</v>
      </c>
    </row>
    <row r="543" spans="1:5" x14ac:dyDescent="0.3">
      <c r="A543" t="s">
        <v>910</v>
      </c>
      <c r="B543" s="4">
        <v>43796</v>
      </c>
      <c r="C543" t="s">
        <v>452</v>
      </c>
      <c r="D543" t="s">
        <v>879</v>
      </c>
      <c r="E543" t="s">
        <v>488</v>
      </c>
    </row>
    <row r="544" spans="1:5" x14ac:dyDescent="0.3">
      <c r="A544" t="s">
        <v>909</v>
      </c>
      <c r="B544" s="4">
        <v>43796</v>
      </c>
      <c r="C544" t="s">
        <v>452</v>
      </c>
      <c r="D544" t="s">
        <v>879</v>
      </c>
      <c r="E544" t="s">
        <v>625</v>
      </c>
    </row>
    <row r="545" spans="1:5" x14ac:dyDescent="0.3">
      <c r="A545" t="s">
        <v>908</v>
      </c>
      <c r="B545" s="4">
        <v>43783</v>
      </c>
      <c r="C545" t="s">
        <v>452</v>
      </c>
      <c r="D545" t="s">
        <v>879</v>
      </c>
      <c r="E545" t="s">
        <v>625</v>
      </c>
    </row>
    <row r="546" spans="1:5" x14ac:dyDescent="0.3">
      <c r="A546" t="s">
        <v>907</v>
      </c>
      <c r="B546" s="4">
        <v>43782</v>
      </c>
      <c r="C546" t="s">
        <v>452</v>
      </c>
      <c r="D546" t="s">
        <v>879</v>
      </c>
      <c r="E546" t="s">
        <v>488</v>
      </c>
    </row>
    <row r="547" spans="1:5" x14ac:dyDescent="0.3">
      <c r="A547" t="s">
        <v>906</v>
      </c>
      <c r="B547" s="4">
        <v>43782</v>
      </c>
      <c r="C547" t="s">
        <v>452</v>
      </c>
      <c r="D547" t="s">
        <v>879</v>
      </c>
      <c r="E547" t="s">
        <v>488</v>
      </c>
    </row>
    <row r="548" spans="1:5" x14ac:dyDescent="0.3">
      <c r="A548" t="s">
        <v>905</v>
      </c>
      <c r="B548" s="4">
        <v>43782</v>
      </c>
      <c r="C548" t="s">
        <v>452</v>
      </c>
      <c r="D548" t="s">
        <v>879</v>
      </c>
      <c r="E548" t="s">
        <v>878</v>
      </c>
    </row>
    <row r="549" spans="1:5" x14ac:dyDescent="0.3">
      <c r="A549" t="s">
        <v>904</v>
      </c>
      <c r="B549" s="4">
        <v>43782</v>
      </c>
      <c r="C549" t="s">
        <v>452</v>
      </c>
      <c r="D549" t="s">
        <v>879</v>
      </c>
      <c r="E549" t="s">
        <v>488</v>
      </c>
    </row>
    <row r="550" spans="1:5" x14ac:dyDescent="0.3">
      <c r="A550" t="s">
        <v>903</v>
      </c>
      <c r="B550" s="4">
        <v>43782</v>
      </c>
      <c r="C550" t="s">
        <v>452</v>
      </c>
      <c r="D550" t="s">
        <v>879</v>
      </c>
      <c r="E550" t="s">
        <v>488</v>
      </c>
    </row>
    <row r="551" spans="1:5" x14ac:dyDescent="0.3">
      <c r="A551" t="s">
        <v>902</v>
      </c>
      <c r="B551" s="4">
        <v>43782</v>
      </c>
      <c r="C551" t="s">
        <v>452</v>
      </c>
      <c r="D551" t="s">
        <v>879</v>
      </c>
      <c r="E551" t="s">
        <v>488</v>
      </c>
    </row>
    <row r="552" spans="1:5" x14ac:dyDescent="0.3">
      <c r="A552" t="s">
        <v>901</v>
      </c>
      <c r="B552" s="4">
        <v>43782</v>
      </c>
      <c r="C552" t="s">
        <v>452</v>
      </c>
      <c r="D552" t="s">
        <v>879</v>
      </c>
      <c r="E552" t="s">
        <v>488</v>
      </c>
    </row>
    <row r="553" spans="1:5" x14ac:dyDescent="0.3">
      <c r="A553" t="s">
        <v>900</v>
      </c>
      <c r="B553" s="4">
        <v>43769</v>
      </c>
      <c r="C553" t="s">
        <v>452</v>
      </c>
      <c r="D553" t="s">
        <v>879</v>
      </c>
      <c r="E553" t="s">
        <v>899</v>
      </c>
    </row>
    <row r="554" spans="1:5" x14ac:dyDescent="0.3">
      <c r="A554" t="s">
        <v>898</v>
      </c>
      <c r="B554" s="4">
        <v>43706</v>
      </c>
      <c r="C554" t="s">
        <v>452</v>
      </c>
      <c r="D554" t="s">
        <v>879</v>
      </c>
      <c r="E554" t="s">
        <v>488</v>
      </c>
    </row>
    <row r="555" spans="1:5" x14ac:dyDescent="0.3">
      <c r="A555" t="s">
        <v>897</v>
      </c>
      <c r="B555" s="4">
        <v>43706</v>
      </c>
      <c r="C555" t="s">
        <v>452</v>
      </c>
      <c r="D555" t="s">
        <v>879</v>
      </c>
      <c r="E555" t="s">
        <v>878</v>
      </c>
    </row>
    <row r="556" spans="1:5" x14ac:dyDescent="0.3">
      <c r="A556" t="s">
        <v>896</v>
      </c>
      <c r="B556" s="4">
        <v>43706</v>
      </c>
      <c r="C556" t="s">
        <v>452</v>
      </c>
      <c r="D556" t="s">
        <v>879</v>
      </c>
      <c r="E556" t="s">
        <v>878</v>
      </c>
    </row>
    <row r="557" spans="1:5" x14ac:dyDescent="0.3">
      <c r="A557" t="s">
        <v>895</v>
      </c>
      <c r="B557" s="4">
        <v>43706</v>
      </c>
      <c r="C557" t="s">
        <v>452</v>
      </c>
      <c r="D557" t="s">
        <v>879</v>
      </c>
      <c r="E557" t="s">
        <v>878</v>
      </c>
    </row>
    <row r="558" spans="1:5" x14ac:dyDescent="0.3">
      <c r="A558" t="s">
        <v>894</v>
      </c>
      <c r="B558" s="4">
        <v>43706</v>
      </c>
      <c r="C558" t="s">
        <v>452</v>
      </c>
      <c r="D558" t="s">
        <v>879</v>
      </c>
      <c r="E558" t="s">
        <v>878</v>
      </c>
    </row>
    <row r="559" spans="1:5" x14ac:dyDescent="0.3">
      <c r="A559" t="s">
        <v>893</v>
      </c>
      <c r="B559" s="4">
        <v>43706</v>
      </c>
      <c r="C559" t="s">
        <v>452</v>
      </c>
      <c r="D559" t="s">
        <v>879</v>
      </c>
      <c r="E559" t="s">
        <v>878</v>
      </c>
    </row>
    <row r="560" spans="1:5" x14ac:dyDescent="0.3">
      <c r="A560" t="s">
        <v>892</v>
      </c>
      <c r="B560" s="4">
        <v>43706</v>
      </c>
      <c r="C560" t="s">
        <v>452</v>
      </c>
      <c r="D560" t="s">
        <v>879</v>
      </c>
      <c r="E560" t="s">
        <v>878</v>
      </c>
    </row>
    <row r="561" spans="1:5" x14ac:dyDescent="0.3">
      <c r="A561" t="s">
        <v>891</v>
      </c>
      <c r="B561" s="4">
        <v>43706</v>
      </c>
      <c r="C561" t="s">
        <v>452</v>
      </c>
      <c r="D561" t="s">
        <v>879</v>
      </c>
      <c r="E561" t="s">
        <v>878</v>
      </c>
    </row>
    <row r="562" spans="1:5" x14ac:dyDescent="0.3">
      <c r="A562" t="s">
        <v>890</v>
      </c>
      <c r="B562" s="4">
        <v>43706</v>
      </c>
      <c r="C562" t="s">
        <v>452</v>
      </c>
      <c r="D562" t="s">
        <v>879</v>
      </c>
      <c r="E562" t="s">
        <v>878</v>
      </c>
    </row>
    <row r="563" spans="1:5" x14ac:dyDescent="0.3">
      <c r="A563" t="s">
        <v>889</v>
      </c>
      <c r="B563" s="4">
        <v>43706</v>
      </c>
      <c r="C563" t="s">
        <v>452</v>
      </c>
      <c r="D563" t="s">
        <v>879</v>
      </c>
      <c r="E563" t="s">
        <v>878</v>
      </c>
    </row>
    <row r="564" spans="1:5" x14ac:dyDescent="0.3">
      <c r="A564" t="s">
        <v>888</v>
      </c>
      <c r="B564" s="4">
        <v>43706</v>
      </c>
      <c r="C564" t="s">
        <v>452</v>
      </c>
      <c r="D564" t="s">
        <v>879</v>
      </c>
      <c r="E564" t="s">
        <v>878</v>
      </c>
    </row>
    <row r="565" spans="1:5" x14ac:dyDescent="0.3">
      <c r="A565" t="s">
        <v>887</v>
      </c>
      <c r="B565" s="4">
        <v>43706</v>
      </c>
      <c r="C565" t="s">
        <v>452</v>
      </c>
      <c r="D565" t="s">
        <v>879</v>
      </c>
      <c r="E565" t="s">
        <v>878</v>
      </c>
    </row>
    <row r="566" spans="1:5" x14ac:dyDescent="0.3">
      <c r="A566" t="s">
        <v>886</v>
      </c>
      <c r="B566" s="4">
        <v>43706</v>
      </c>
      <c r="C566" t="s">
        <v>452</v>
      </c>
      <c r="D566" t="s">
        <v>879</v>
      </c>
      <c r="E566" t="s">
        <v>878</v>
      </c>
    </row>
    <row r="567" spans="1:5" x14ac:dyDescent="0.3">
      <c r="A567" t="s">
        <v>885</v>
      </c>
      <c r="B567" s="4">
        <v>43706</v>
      </c>
      <c r="C567" t="s">
        <v>452</v>
      </c>
      <c r="D567" t="s">
        <v>879</v>
      </c>
      <c r="E567" t="s">
        <v>878</v>
      </c>
    </row>
    <row r="568" spans="1:5" x14ac:dyDescent="0.3">
      <c r="A568" t="s">
        <v>884</v>
      </c>
      <c r="B568" s="4">
        <v>43706</v>
      </c>
      <c r="C568" t="s">
        <v>452</v>
      </c>
      <c r="D568" t="s">
        <v>879</v>
      </c>
      <c r="E568" t="s">
        <v>878</v>
      </c>
    </row>
    <row r="569" spans="1:5" x14ac:dyDescent="0.3">
      <c r="A569" t="s">
        <v>883</v>
      </c>
      <c r="B569" s="4">
        <v>43635</v>
      </c>
      <c r="C569" t="s">
        <v>452</v>
      </c>
      <c r="D569" t="s">
        <v>879</v>
      </c>
      <c r="E569" t="s">
        <v>488</v>
      </c>
    </row>
    <row r="570" spans="1:5" x14ac:dyDescent="0.3">
      <c r="A570" t="s">
        <v>882</v>
      </c>
      <c r="B570" s="4">
        <v>43635</v>
      </c>
      <c r="C570" t="s">
        <v>452</v>
      </c>
      <c r="D570" t="s">
        <v>879</v>
      </c>
      <c r="E570" t="s">
        <v>488</v>
      </c>
    </row>
    <row r="571" spans="1:5" x14ac:dyDescent="0.3">
      <c r="A571" t="s">
        <v>881</v>
      </c>
      <c r="B571" s="4">
        <v>43635</v>
      </c>
      <c r="C571" t="s">
        <v>452</v>
      </c>
      <c r="D571" t="s">
        <v>879</v>
      </c>
      <c r="E571" t="s">
        <v>878</v>
      </c>
    </row>
    <row r="572" spans="1:5" x14ac:dyDescent="0.3">
      <c r="A572" t="s">
        <v>880</v>
      </c>
      <c r="B572" s="4">
        <v>43635</v>
      </c>
      <c r="C572" t="s">
        <v>452</v>
      </c>
      <c r="D572" t="s">
        <v>879</v>
      </c>
      <c r="E572" t="s">
        <v>878</v>
      </c>
    </row>
    <row r="573" spans="1:5" x14ac:dyDescent="0.3">
      <c r="A573" t="s">
        <v>877</v>
      </c>
      <c r="B573" s="4">
        <v>43776</v>
      </c>
      <c r="C573" t="s">
        <v>452</v>
      </c>
      <c r="D573" t="s">
        <v>852</v>
      </c>
      <c r="E573" t="s">
        <v>488</v>
      </c>
    </row>
    <row r="574" spans="1:5" x14ac:dyDescent="0.3">
      <c r="A574" t="s">
        <v>876</v>
      </c>
      <c r="B574" s="4">
        <v>43775</v>
      </c>
      <c r="C574" t="s">
        <v>452</v>
      </c>
      <c r="D574" t="s">
        <v>852</v>
      </c>
      <c r="E574" t="s">
        <v>847</v>
      </c>
    </row>
    <row r="575" spans="1:5" x14ac:dyDescent="0.3">
      <c r="A575" t="s">
        <v>875</v>
      </c>
      <c r="B575" s="4">
        <v>43774</v>
      </c>
      <c r="C575" t="s">
        <v>452</v>
      </c>
      <c r="D575" t="s">
        <v>852</v>
      </c>
      <c r="E575" t="s">
        <v>828</v>
      </c>
    </row>
    <row r="576" spans="1:5" x14ac:dyDescent="0.3">
      <c r="A576" t="s">
        <v>874</v>
      </c>
      <c r="B576" s="4">
        <v>43774</v>
      </c>
      <c r="C576" t="s">
        <v>452</v>
      </c>
      <c r="D576" t="s">
        <v>852</v>
      </c>
      <c r="E576" t="s">
        <v>831</v>
      </c>
    </row>
    <row r="577" spans="1:5" x14ac:dyDescent="0.3">
      <c r="A577" t="s">
        <v>873</v>
      </c>
      <c r="B577" s="4">
        <v>43773</v>
      </c>
      <c r="C577" t="s">
        <v>452</v>
      </c>
      <c r="D577" t="s">
        <v>852</v>
      </c>
      <c r="E577" t="s">
        <v>831</v>
      </c>
    </row>
    <row r="578" spans="1:5" x14ac:dyDescent="0.3">
      <c r="A578" t="s">
        <v>872</v>
      </c>
      <c r="B578" s="4">
        <v>43644</v>
      </c>
      <c r="C578" t="s">
        <v>452</v>
      </c>
      <c r="D578" t="s">
        <v>852</v>
      </c>
      <c r="E578" t="s">
        <v>488</v>
      </c>
    </row>
    <row r="579" spans="1:5" x14ac:dyDescent="0.3">
      <c r="A579" t="s">
        <v>871</v>
      </c>
      <c r="B579" s="4">
        <v>43644</v>
      </c>
      <c r="C579" t="s">
        <v>452</v>
      </c>
      <c r="D579" t="s">
        <v>852</v>
      </c>
      <c r="E579" t="s">
        <v>860</v>
      </c>
    </row>
    <row r="580" spans="1:5" x14ac:dyDescent="0.3">
      <c r="A580" t="s">
        <v>870</v>
      </c>
      <c r="B580" s="4">
        <v>43641</v>
      </c>
      <c r="C580" t="s">
        <v>452</v>
      </c>
      <c r="D580" t="s">
        <v>852</v>
      </c>
      <c r="E580" t="s">
        <v>860</v>
      </c>
    </row>
    <row r="581" spans="1:5" x14ac:dyDescent="0.3">
      <c r="A581" t="s">
        <v>869</v>
      </c>
      <c r="B581" s="4">
        <v>43641</v>
      </c>
      <c r="C581" t="s">
        <v>452</v>
      </c>
      <c r="D581" t="s">
        <v>852</v>
      </c>
      <c r="E581" t="s">
        <v>860</v>
      </c>
    </row>
    <row r="582" spans="1:5" x14ac:dyDescent="0.3">
      <c r="A582" t="s">
        <v>868</v>
      </c>
      <c r="B582" s="4">
        <v>43641</v>
      </c>
      <c r="C582" t="s">
        <v>452</v>
      </c>
      <c r="D582" t="s">
        <v>852</v>
      </c>
      <c r="E582" t="s">
        <v>831</v>
      </c>
    </row>
    <row r="583" spans="1:5" x14ac:dyDescent="0.3">
      <c r="A583" t="s">
        <v>867</v>
      </c>
      <c r="B583" s="4">
        <v>43641</v>
      </c>
      <c r="C583" t="s">
        <v>452</v>
      </c>
      <c r="D583" t="s">
        <v>852</v>
      </c>
      <c r="E583" t="s">
        <v>831</v>
      </c>
    </row>
    <row r="584" spans="1:5" x14ac:dyDescent="0.3">
      <c r="A584" t="s">
        <v>866</v>
      </c>
      <c r="B584" s="4">
        <v>43641</v>
      </c>
      <c r="C584" t="s">
        <v>452</v>
      </c>
      <c r="D584" t="s">
        <v>852</v>
      </c>
      <c r="E584" t="s">
        <v>831</v>
      </c>
    </row>
    <row r="585" spans="1:5" x14ac:dyDescent="0.3">
      <c r="A585" t="s">
        <v>865</v>
      </c>
      <c r="B585" s="4">
        <v>43599</v>
      </c>
      <c r="C585" t="s">
        <v>452</v>
      </c>
      <c r="D585" t="s">
        <v>852</v>
      </c>
      <c r="E585" t="s">
        <v>488</v>
      </c>
    </row>
    <row r="586" spans="1:5" x14ac:dyDescent="0.3">
      <c r="A586" t="s">
        <v>864</v>
      </c>
      <c r="B586" s="4">
        <v>43599</v>
      </c>
      <c r="C586" t="s">
        <v>452</v>
      </c>
      <c r="D586" t="s">
        <v>852</v>
      </c>
      <c r="E586" t="s">
        <v>860</v>
      </c>
    </row>
    <row r="587" spans="1:5" x14ac:dyDescent="0.3">
      <c r="A587" t="s">
        <v>864</v>
      </c>
      <c r="B587" s="4">
        <v>43599</v>
      </c>
      <c r="C587" t="s">
        <v>452</v>
      </c>
      <c r="D587" t="s">
        <v>852</v>
      </c>
      <c r="E587" t="s">
        <v>860</v>
      </c>
    </row>
    <row r="588" spans="1:5" x14ac:dyDescent="0.3">
      <c r="A588" t="s">
        <v>863</v>
      </c>
      <c r="B588" s="4">
        <v>43599</v>
      </c>
      <c r="C588" t="s">
        <v>452</v>
      </c>
      <c r="D588" t="s">
        <v>852</v>
      </c>
      <c r="E588" t="s">
        <v>860</v>
      </c>
    </row>
    <row r="589" spans="1:5" x14ac:dyDescent="0.3">
      <c r="A589" t="s">
        <v>863</v>
      </c>
      <c r="B589" s="4">
        <v>43599</v>
      </c>
      <c r="C589" t="s">
        <v>452</v>
      </c>
      <c r="D589" t="s">
        <v>852</v>
      </c>
      <c r="E589" t="s">
        <v>860</v>
      </c>
    </row>
    <row r="590" spans="1:5" x14ac:dyDescent="0.3">
      <c r="A590" t="s">
        <v>863</v>
      </c>
      <c r="B590" s="4">
        <v>43599</v>
      </c>
      <c r="C590" t="s">
        <v>452</v>
      </c>
      <c r="D590" t="s">
        <v>852</v>
      </c>
      <c r="E590" t="s">
        <v>860</v>
      </c>
    </row>
    <row r="591" spans="1:5" x14ac:dyDescent="0.3">
      <c r="A591" t="s">
        <v>862</v>
      </c>
      <c r="B591" s="4">
        <v>43599</v>
      </c>
      <c r="C591" t="s">
        <v>452</v>
      </c>
      <c r="D591" t="s">
        <v>852</v>
      </c>
      <c r="E591" t="s">
        <v>860</v>
      </c>
    </row>
    <row r="592" spans="1:5" x14ac:dyDescent="0.3">
      <c r="A592" t="s">
        <v>862</v>
      </c>
      <c r="B592" s="4">
        <v>43599</v>
      </c>
      <c r="C592" t="s">
        <v>452</v>
      </c>
      <c r="D592" t="s">
        <v>852</v>
      </c>
      <c r="E592" t="s">
        <v>860</v>
      </c>
    </row>
    <row r="593" spans="1:5" x14ac:dyDescent="0.3">
      <c r="A593" t="s">
        <v>862</v>
      </c>
      <c r="B593" s="4">
        <v>43599</v>
      </c>
      <c r="C593" t="s">
        <v>452</v>
      </c>
      <c r="D593" t="s">
        <v>852</v>
      </c>
      <c r="E593" t="s">
        <v>860</v>
      </c>
    </row>
    <row r="594" spans="1:5" x14ac:dyDescent="0.3">
      <c r="A594" t="s">
        <v>861</v>
      </c>
      <c r="B594" s="4">
        <v>43599</v>
      </c>
      <c r="C594" t="s">
        <v>452</v>
      </c>
      <c r="D594" t="s">
        <v>852</v>
      </c>
      <c r="E594" t="s">
        <v>860</v>
      </c>
    </row>
    <row r="595" spans="1:5" x14ac:dyDescent="0.3">
      <c r="A595" t="s">
        <v>861</v>
      </c>
      <c r="B595" s="4">
        <v>43599</v>
      </c>
      <c r="C595" t="s">
        <v>452</v>
      </c>
      <c r="D595" t="s">
        <v>852</v>
      </c>
      <c r="E595" t="s">
        <v>860</v>
      </c>
    </row>
    <row r="596" spans="1:5" x14ac:dyDescent="0.3">
      <c r="A596" t="s">
        <v>859</v>
      </c>
      <c r="B596" s="4">
        <v>43584</v>
      </c>
      <c r="C596" t="s">
        <v>452</v>
      </c>
      <c r="D596" t="s">
        <v>852</v>
      </c>
      <c r="E596" t="s">
        <v>488</v>
      </c>
    </row>
    <row r="597" spans="1:5" x14ac:dyDescent="0.3">
      <c r="A597" t="s">
        <v>858</v>
      </c>
      <c r="B597" s="4">
        <v>43584</v>
      </c>
      <c r="C597" t="s">
        <v>452</v>
      </c>
      <c r="D597" t="s">
        <v>852</v>
      </c>
      <c r="E597" t="s">
        <v>488</v>
      </c>
    </row>
    <row r="598" spans="1:5" x14ac:dyDescent="0.3">
      <c r="A598" t="s">
        <v>857</v>
      </c>
      <c r="B598" s="4">
        <v>43581</v>
      </c>
      <c r="C598" t="s">
        <v>452</v>
      </c>
      <c r="D598" t="s">
        <v>852</v>
      </c>
      <c r="E598" t="s">
        <v>488</v>
      </c>
    </row>
    <row r="599" spans="1:5" x14ac:dyDescent="0.3">
      <c r="A599" t="s">
        <v>856</v>
      </c>
      <c r="B599" s="4">
        <v>43581</v>
      </c>
      <c r="C599" t="s">
        <v>452</v>
      </c>
      <c r="D599" t="s">
        <v>852</v>
      </c>
      <c r="E599" t="s">
        <v>828</v>
      </c>
    </row>
    <row r="600" spans="1:5" x14ac:dyDescent="0.3">
      <c r="A600" t="s">
        <v>855</v>
      </c>
      <c r="B600" s="4">
        <v>43581</v>
      </c>
      <c r="C600" t="s">
        <v>452</v>
      </c>
      <c r="D600" t="s">
        <v>852</v>
      </c>
      <c r="E600" t="s">
        <v>828</v>
      </c>
    </row>
    <row r="601" spans="1:5" x14ac:dyDescent="0.3">
      <c r="A601" t="s">
        <v>854</v>
      </c>
      <c r="B601" s="4">
        <v>43581</v>
      </c>
      <c r="C601" t="s">
        <v>452</v>
      </c>
      <c r="D601" t="s">
        <v>852</v>
      </c>
      <c r="E601" t="s">
        <v>828</v>
      </c>
    </row>
    <row r="602" spans="1:5" x14ac:dyDescent="0.3">
      <c r="A602" t="s">
        <v>853</v>
      </c>
      <c r="B602" s="4">
        <v>43581</v>
      </c>
      <c r="C602" t="s">
        <v>452</v>
      </c>
      <c r="D602" t="s">
        <v>852</v>
      </c>
      <c r="E602" t="s">
        <v>488</v>
      </c>
    </row>
    <row r="603" spans="1:5" x14ac:dyDescent="0.3">
      <c r="A603" t="s">
        <v>851</v>
      </c>
      <c r="B603" s="4">
        <v>43815</v>
      </c>
      <c r="C603" t="s">
        <v>452</v>
      </c>
      <c r="D603" t="s">
        <v>817</v>
      </c>
      <c r="E603" t="s">
        <v>488</v>
      </c>
    </row>
    <row r="604" spans="1:5" x14ac:dyDescent="0.3">
      <c r="A604" t="s">
        <v>850</v>
      </c>
      <c r="B604" s="4">
        <v>43815</v>
      </c>
      <c r="C604" t="s">
        <v>452</v>
      </c>
      <c r="D604" t="s">
        <v>817</v>
      </c>
      <c r="E604" t="s">
        <v>847</v>
      </c>
    </row>
    <row r="605" spans="1:5" x14ac:dyDescent="0.3">
      <c r="A605" t="s">
        <v>849</v>
      </c>
      <c r="B605" s="4">
        <v>43815</v>
      </c>
      <c r="C605" t="s">
        <v>452</v>
      </c>
      <c r="D605" t="s">
        <v>817</v>
      </c>
      <c r="E605" t="s">
        <v>847</v>
      </c>
    </row>
    <row r="606" spans="1:5" x14ac:dyDescent="0.3">
      <c r="A606" t="s">
        <v>848</v>
      </c>
      <c r="B606" s="4">
        <v>43815</v>
      </c>
      <c r="C606" t="s">
        <v>452</v>
      </c>
      <c r="D606" t="s">
        <v>817</v>
      </c>
      <c r="E606" t="s">
        <v>847</v>
      </c>
    </row>
    <row r="607" spans="1:5" x14ac:dyDescent="0.3">
      <c r="A607" t="s">
        <v>846</v>
      </c>
      <c r="B607" s="4">
        <v>43814</v>
      </c>
      <c r="C607" t="s">
        <v>452</v>
      </c>
      <c r="D607" t="s">
        <v>817</v>
      </c>
      <c r="E607" t="s">
        <v>488</v>
      </c>
    </row>
    <row r="608" spans="1:5" x14ac:dyDescent="0.3">
      <c r="A608" t="s">
        <v>845</v>
      </c>
      <c r="B608" s="4">
        <v>43812</v>
      </c>
      <c r="C608" t="s">
        <v>452</v>
      </c>
      <c r="D608" t="s">
        <v>817</v>
      </c>
      <c r="E608" t="s">
        <v>837</v>
      </c>
    </row>
    <row r="609" spans="1:5" x14ac:dyDescent="0.3">
      <c r="A609" t="s">
        <v>844</v>
      </c>
      <c r="B609" s="4">
        <v>43812</v>
      </c>
      <c r="C609" t="s">
        <v>452</v>
      </c>
      <c r="D609" t="s">
        <v>817</v>
      </c>
      <c r="E609" t="s">
        <v>837</v>
      </c>
    </row>
    <row r="610" spans="1:5" x14ac:dyDescent="0.3">
      <c r="A610" t="s">
        <v>843</v>
      </c>
      <c r="B610" s="4">
        <v>43810</v>
      </c>
      <c r="C610" t="s">
        <v>452</v>
      </c>
      <c r="D610" t="s">
        <v>817</v>
      </c>
      <c r="E610" t="s">
        <v>488</v>
      </c>
    </row>
    <row r="611" spans="1:5" x14ac:dyDescent="0.3">
      <c r="A611" t="s">
        <v>842</v>
      </c>
      <c r="B611" s="4">
        <v>43810</v>
      </c>
      <c r="C611" t="s">
        <v>452</v>
      </c>
      <c r="D611" t="s">
        <v>817</v>
      </c>
      <c r="E611" t="s">
        <v>837</v>
      </c>
    </row>
    <row r="612" spans="1:5" x14ac:dyDescent="0.3">
      <c r="A612" t="s">
        <v>841</v>
      </c>
      <c r="B612" s="4">
        <v>43808</v>
      </c>
      <c r="C612" t="s">
        <v>452</v>
      </c>
      <c r="D612" t="s">
        <v>817</v>
      </c>
      <c r="E612" t="s">
        <v>488</v>
      </c>
    </row>
    <row r="613" spans="1:5" x14ac:dyDescent="0.3">
      <c r="A613" t="s">
        <v>840</v>
      </c>
      <c r="B613" s="4">
        <v>43808</v>
      </c>
      <c r="C613" t="s">
        <v>452</v>
      </c>
      <c r="D613" t="s">
        <v>817</v>
      </c>
      <c r="E613" t="s">
        <v>837</v>
      </c>
    </row>
    <row r="614" spans="1:5" x14ac:dyDescent="0.3">
      <c r="A614" t="s">
        <v>839</v>
      </c>
      <c r="B614" s="4">
        <v>43805</v>
      </c>
      <c r="C614" t="s">
        <v>452</v>
      </c>
      <c r="D614" t="s">
        <v>817</v>
      </c>
      <c r="E614" t="s">
        <v>837</v>
      </c>
    </row>
    <row r="615" spans="1:5" x14ac:dyDescent="0.3">
      <c r="A615" t="s">
        <v>838</v>
      </c>
      <c r="B615" s="4">
        <v>43805</v>
      </c>
      <c r="C615" t="s">
        <v>452</v>
      </c>
      <c r="D615" t="s">
        <v>817</v>
      </c>
      <c r="E615" t="s">
        <v>837</v>
      </c>
    </row>
    <row r="616" spans="1:5" x14ac:dyDescent="0.3">
      <c r="A616" t="s">
        <v>836</v>
      </c>
      <c r="B616" s="4">
        <v>43796</v>
      </c>
      <c r="C616" t="s">
        <v>452</v>
      </c>
      <c r="D616" t="s">
        <v>817</v>
      </c>
      <c r="E616" t="s">
        <v>831</v>
      </c>
    </row>
    <row r="617" spans="1:5" x14ac:dyDescent="0.3">
      <c r="A617" t="s">
        <v>835</v>
      </c>
      <c r="B617" s="4">
        <v>43796</v>
      </c>
      <c r="C617" t="s">
        <v>452</v>
      </c>
      <c r="D617" t="s">
        <v>817</v>
      </c>
      <c r="E617" t="s">
        <v>831</v>
      </c>
    </row>
    <row r="618" spans="1:5" x14ac:dyDescent="0.3">
      <c r="A618" t="s">
        <v>834</v>
      </c>
      <c r="B618" s="4">
        <v>43790</v>
      </c>
      <c r="C618" t="s">
        <v>452</v>
      </c>
      <c r="D618" t="s">
        <v>817</v>
      </c>
      <c r="E618" t="s">
        <v>831</v>
      </c>
    </row>
    <row r="619" spans="1:5" x14ac:dyDescent="0.3">
      <c r="A619" t="s">
        <v>833</v>
      </c>
      <c r="B619" s="4">
        <v>43790</v>
      </c>
      <c r="C619" t="s">
        <v>452</v>
      </c>
      <c r="D619" t="s">
        <v>817</v>
      </c>
      <c r="E619" t="s">
        <v>831</v>
      </c>
    </row>
    <row r="620" spans="1:5" x14ac:dyDescent="0.3">
      <c r="A620" t="s">
        <v>832</v>
      </c>
      <c r="B620" s="4">
        <v>43789</v>
      </c>
      <c r="C620" t="s">
        <v>452</v>
      </c>
      <c r="D620" t="s">
        <v>817</v>
      </c>
      <c r="E620" t="s">
        <v>831</v>
      </c>
    </row>
    <row r="621" spans="1:5" x14ac:dyDescent="0.3">
      <c r="A621" t="s">
        <v>830</v>
      </c>
      <c r="B621" s="4">
        <v>43788</v>
      </c>
      <c r="C621" t="s">
        <v>452</v>
      </c>
      <c r="D621" t="s">
        <v>817</v>
      </c>
      <c r="E621" t="s">
        <v>488</v>
      </c>
    </row>
    <row r="622" spans="1:5" x14ac:dyDescent="0.3">
      <c r="A622" t="s">
        <v>829</v>
      </c>
      <c r="B622" s="4">
        <v>43788</v>
      </c>
      <c r="C622" t="s">
        <v>452</v>
      </c>
      <c r="D622" t="s">
        <v>817</v>
      </c>
      <c r="E622" t="s">
        <v>828</v>
      </c>
    </row>
    <row r="623" spans="1:5" x14ac:dyDescent="0.3">
      <c r="A623" t="s">
        <v>827</v>
      </c>
      <c r="B623" s="4">
        <v>43787</v>
      </c>
      <c r="C623" t="s">
        <v>452</v>
      </c>
      <c r="D623" t="s">
        <v>817</v>
      </c>
      <c r="E623" t="s">
        <v>488</v>
      </c>
    </row>
    <row r="624" spans="1:5" x14ac:dyDescent="0.3">
      <c r="A624" t="s">
        <v>826</v>
      </c>
      <c r="B624" s="4">
        <v>43787</v>
      </c>
      <c r="C624" t="s">
        <v>452</v>
      </c>
      <c r="D624" t="s">
        <v>817</v>
      </c>
      <c r="E624" t="s">
        <v>816</v>
      </c>
    </row>
    <row r="625" spans="1:5" x14ac:dyDescent="0.3">
      <c r="A625" t="s">
        <v>825</v>
      </c>
      <c r="B625" s="4">
        <v>43787</v>
      </c>
      <c r="C625" t="s">
        <v>452</v>
      </c>
      <c r="D625" t="s">
        <v>817</v>
      </c>
      <c r="E625" t="s">
        <v>816</v>
      </c>
    </row>
    <row r="626" spans="1:5" x14ac:dyDescent="0.3">
      <c r="A626" t="s">
        <v>824</v>
      </c>
      <c r="B626" s="4">
        <v>43784</v>
      </c>
      <c r="C626" t="s">
        <v>452</v>
      </c>
      <c r="D626" t="s">
        <v>817</v>
      </c>
      <c r="E626" t="s">
        <v>816</v>
      </c>
    </row>
    <row r="627" spans="1:5" x14ac:dyDescent="0.3">
      <c r="A627" t="s">
        <v>823</v>
      </c>
      <c r="B627" s="4">
        <v>43784</v>
      </c>
      <c r="C627" t="s">
        <v>452</v>
      </c>
      <c r="D627" t="s">
        <v>817</v>
      </c>
      <c r="E627" t="s">
        <v>816</v>
      </c>
    </row>
    <row r="628" spans="1:5" x14ac:dyDescent="0.3">
      <c r="A628" t="s">
        <v>822</v>
      </c>
      <c r="B628" s="4">
        <v>43784</v>
      </c>
      <c r="C628" t="s">
        <v>452</v>
      </c>
      <c r="D628" t="s">
        <v>817</v>
      </c>
      <c r="E628" t="s">
        <v>816</v>
      </c>
    </row>
    <row r="629" spans="1:5" x14ac:dyDescent="0.3">
      <c r="A629" t="s">
        <v>821</v>
      </c>
      <c r="B629" s="4">
        <v>43784</v>
      </c>
      <c r="C629" t="s">
        <v>452</v>
      </c>
      <c r="D629" t="s">
        <v>817</v>
      </c>
      <c r="E629" t="s">
        <v>816</v>
      </c>
    </row>
    <row r="630" spans="1:5" x14ac:dyDescent="0.3">
      <c r="A630" t="s">
        <v>820</v>
      </c>
      <c r="B630" s="4">
        <v>43782</v>
      </c>
      <c r="C630" t="s">
        <v>452</v>
      </c>
      <c r="D630" t="s">
        <v>817</v>
      </c>
      <c r="E630" t="s">
        <v>816</v>
      </c>
    </row>
    <row r="631" spans="1:5" x14ac:dyDescent="0.3">
      <c r="A631" t="s">
        <v>819</v>
      </c>
      <c r="B631" s="4">
        <v>43780</v>
      </c>
      <c r="C631" t="s">
        <v>452</v>
      </c>
      <c r="D631" t="s">
        <v>817</v>
      </c>
      <c r="E631" t="s">
        <v>816</v>
      </c>
    </row>
    <row r="632" spans="1:5" x14ac:dyDescent="0.3">
      <c r="A632" t="s">
        <v>818</v>
      </c>
      <c r="B632" s="4">
        <v>43780</v>
      </c>
      <c r="C632" t="s">
        <v>452</v>
      </c>
      <c r="D632" t="s">
        <v>817</v>
      </c>
      <c r="E632" t="s">
        <v>816</v>
      </c>
    </row>
    <row r="633" spans="1:5" x14ac:dyDescent="0.3">
      <c r="A633" t="s">
        <v>815</v>
      </c>
      <c r="B633" s="4">
        <v>44040</v>
      </c>
      <c r="C633" t="s">
        <v>452</v>
      </c>
      <c r="D633" t="s">
        <v>809</v>
      </c>
      <c r="E633" t="s">
        <v>536</v>
      </c>
    </row>
    <row r="634" spans="1:5" x14ac:dyDescent="0.3">
      <c r="A634" t="s">
        <v>814</v>
      </c>
      <c r="B634" s="4">
        <v>44026</v>
      </c>
      <c r="C634" t="s">
        <v>452</v>
      </c>
      <c r="D634" t="s">
        <v>809</v>
      </c>
      <c r="E634" t="s">
        <v>536</v>
      </c>
    </row>
    <row r="635" spans="1:5" x14ac:dyDescent="0.3">
      <c r="A635" t="s">
        <v>813</v>
      </c>
      <c r="B635" s="4">
        <v>43984</v>
      </c>
      <c r="C635" t="s">
        <v>452</v>
      </c>
      <c r="D635" t="s">
        <v>809</v>
      </c>
      <c r="E635" t="s">
        <v>536</v>
      </c>
    </row>
    <row r="636" spans="1:5" x14ac:dyDescent="0.3">
      <c r="A636" t="s">
        <v>812</v>
      </c>
      <c r="B636" s="4">
        <v>43977</v>
      </c>
      <c r="C636" t="s">
        <v>452</v>
      </c>
      <c r="D636" t="s">
        <v>809</v>
      </c>
      <c r="E636" t="s">
        <v>536</v>
      </c>
    </row>
    <row r="637" spans="1:5" x14ac:dyDescent="0.3">
      <c r="A637" t="s">
        <v>811</v>
      </c>
      <c r="B637" s="4">
        <v>43976</v>
      </c>
      <c r="C637" t="s">
        <v>452</v>
      </c>
      <c r="D637" t="s">
        <v>809</v>
      </c>
      <c r="E637" t="s">
        <v>536</v>
      </c>
    </row>
    <row r="638" spans="1:5" x14ac:dyDescent="0.3">
      <c r="A638" t="s">
        <v>810</v>
      </c>
      <c r="B638" s="4">
        <v>43973</v>
      </c>
      <c r="C638" t="s">
        <v>452</v>
      </c>
      <c r="D638" t="s">
        <v>809</v>
      </c>
      <c r="E638" t="s">
        <v>536</v>
      </c>
    </row>
    <row r="639" spans="1:5" x14ac:dyDescent="0.3">
      <c r="A639" t="s">
        <v>808</v>
      </c>
      <c r="B639" s="4">
        <v>44008</v>
      </c>
      <c r="C639" t="s">
        <v>452</v>
      </c>
      <c r="D639" t="s">
        <v>777</v>
      </c>
      <c r="E639" t="s">
        <v>753</v>
      </c>
    </row>
    <row r="640" spans="1:5" x14ac:dyDescent="0.3">
      <c r="A640" t="s">
        <v>807</v>
      </c>
      <c r="B640" s="4">
        <v>44008</v>
      </c>
      <c r="C640" t="s">
        <v>452</v>
      </c>
      <c r="D640" t="s">
        <v>777</v>
      </c>
      <c r="E640" t="s">
        <v>753</v>
      </c>
    </row>
    <row r="641" spans="1:5" x14ac:dyDescent="0.3">
      <c r="A641" t="s">
        <v>806</v>
      </c>
      <c r="B641" s="4">
        <v>44008</v>
      </c>
      <c r="C641" t="s">
        <v>452</v>
      </c>
      <c r="D641" t="s">
        <v>777</v>
      </c>
      <c r="E641" t="s">
        <v>753</v>
      </c>
    </row>
    <row r="642" spans="1:5" x14ac:dyDescent="0.3">
      <c r="A642" t="s">
        <v>805</v>
      </c>
      <c r="B642" s="4">
        <v>44007</v>
      </c>
      <c r="C642" t="s">
        <v>452</v>
      </c>
      <c r="D642" t="s">
        <v>777</v>
      </c>
      <c r="E642" t="s">
        <v>488</v>
      </c>
    </row>
    <row r="643" spans="1:5" x14ac:dyDescent="0.3">
      <c r="A643" t="s">
        <v>804</v>
      </c>
      <c r="B643" s="4">
        <v>44007</v>
      </c>
      <c r="C643" t="s">
        <v>452</v>
      </c>
      <c r="D643" t="s">
        <v>777</v>
      </c>
      <c r="E643" t="s">
        <v>753</v>
      </c>
    </row>
    <row r="644" spans="1:5" x14ac:dyDescent="0.3">
      <c r="A644" t="s">
        <v>803</v>
      </c>
      <c r="B644" s="4">
        <v>44006</v>
      </c>
      <c r="C644" t="s">
        <v>452</v>
      </c>
      <c r="D644" t="s">
        <v>777</v>
      </c>
      <c r="E644" t="s">
        <v>488</v>
      </c>
    </row>
    <row r="645" spans="1:5" x14ac:dyDescent="0.3">
      <c r="A645" t="s">
        <v>802</v>
      </c>
      <c r="B645" s="4">
        <v>44006</v>
      </c>
      <c r="C645" t="s">
        <v>452</v>
      </c>
      <c r="D645" t="s">
        <v>777</v>
      </c>
      <c r="E645" t="s">
        <v>488</v>
      </c>
    </row>
    <row r="646" spans="1:5" x14ac:dyDescent="0.3">
      <c r="A646" t="s">
        <v>801</v>
      </c>
      <c r="B646" s="4">
        <v>44006</v>
      </c>
      <c r="C646" t="s">
        <v>452</v>
      </c>
      <c r="D646" t="s">
        <v>777</v>
      </c>
      <c r="E646" t="s">
        <v>753</v>
      </c>
    </row>
    <row r="647" spans="1:5" x14ac:dyDescent="0.3">
      <c r="A647" t="s">
        <v>800</v>
      </c>
      <c r="B647" s="4">
        <v>44006</v>
      </c>
      <c r="C647" t="s">
        <v>452</v>
      </c>
      <c r="D647" t="s">
        <v>777</v>
      </c>
      <c r="E647" t="s">
        <v>753</v>
      </c>
    </row>
    <row r="648" spans="1:5" x14ac:dyDescent="0.3">
      <c r="A648" t="s">
        <v>799</v>
      </c>
      <c r="B648" s="4">
        <v>44006</v>
      </c>
      <c r="C648" t="s">
        <v>452</v>
      </c>
      <c r="D648" t="s">
        <v>777</v>
      </c>
      <c r="E648" t="s">
        <v>488</v>
      </c>
    </row>
    <row r="649" spans="1:5" x14ac:dyDescent="0.3">
      <c r="A649" t="s">
        <v>798</v>
      </c>
      <c r="B649" s="4">
        <v>43972</v>
      </c>
      <c r="C649" t="s">
        <v>452</v>
      </c>
      <c r="D649" t="s">
        <v>777</v>
      </c>
      <c r="E649" t="s">
        <v>488</v>
      </c>
    </row>
    <row r="650" spans="1:5" x14ac:dyDescent="0.3">
      <c r="A650" t="s">
        <v>797</v>
      </c>
      <c r="B650" s="4">
        <v>43971</v>
      </c>
      <c r="C650" t="s">
        <v>452</v>
      </c>
      <c r="D650" t="s">
        <v>777</v>
      </c>
      <c r="E650" t="s">
        <v>488</v>
      </c>
    </row>
    <row r="651" spans="1:5" x14ac:dyDescent="0.3">
      <c r="A651" t="s">
        <v>796</v>
      </c>
      <c r="B651" s="4">
        <v>43970</v>
      </c>
      <c r="C651" t="s">
        <v>452</v>
      </c>
      <c r="D651" t="s">
        <v>777</v>
      </c>
      <c r="E651" t="s">
        <v>488</v>
      </c>
    </row>
    <row r="652" spans="1:5" x14ac:dyDescent="0.3">
      <c r="A652" t="s">
        <v>795</v>
      </c>
      <c r="B652" s="4">
        <v>43970</v>
      </c>
      <c r="C652" t="s">
        <v>452</v>
      </c>
      <c r="D652" t="s">
        <v>777</v>
      </c>
      <c r="E652" t="s">
        <v>488</v>
      </c>
    </row>
    <row r="653" spans="1:5" x14ac:dyDescent="0.3">
      <c r="A653" t="s">
        <v>794</v>
      </c>
      <c r="B653" s="4">
        <v>43969</v>
      </c>
      <c r="C653" t="s">
        <v>452</v>
      </c>
      <c r="D653" t="s">
        <v>777</v>
      </c>
      <c r="E653" t="s">
        <v>753</v>
      </c>
    </row>
    <row r="654" spans="1:5" x14ac:dyDescent="0.3">
      <c r="A654" t="s">
        <v>793</v>
      </c>
      <c r="B654" s="4">
        <v>43969</v>
      </c>
      <c r="C654" t="s">
        <v>452</v>
      </c>
      <c r="D654" t="s">
        <v>777</v>
      </c>
      <c r="E654" t="s">
        <v>753</v>
      </c>
    </row>
    <row r="655" spans="1:5" x14ac:dyDescent="0.3">
      <c r="A655" t="s">
        <v>792</v>
      </c>
      <c r="B655" s="4">
        <v>43969</v>
      </c>
      <c r="C655" t="s">
        <v>452</v>
      </c>
      <c r="D655" t="s">
        <v>777</v>
      </c>
      <c r="E655" t="s">
        <v>488</v>
      </c>
    </row>
    <row r="656" spans="1:5" x14ac:dyDescent="0.3">
      <c r="A656" t="s">
        <v>791</v>
      </c>
      <c r="B656" s="4">
        <v>43966</v>
      </c>
      <c r="C656" t="s">
        <v>452</v>
      </c>
      <c r="D656" t="s">
        <v>777</v>
      </c>
      <c r="E656" t="s">
        <v>488</v>
      </c>
    </row>
    <row r="657" spans="1:5" x14ac:dyDescent="0.3">
      <c r="A657" t="s">
        <v>790</v>
      </c>
      <c r="B657" s="4">
        <v>43966</v>
      </c>
      <c r="C657" t="s">
        <v>452</v>
      </c>
      <c r="D657" t="s">
        <v>777</v>
      </c>
      <c r="E657" t="s">
        <v>488</v>
      </c>
    </row>
    <row r="658" spans="1:5" x14ac:dyDescent="0.3">
      <c r="A658" t="s">
        <v>789</v>
      </c>
      <c r="B658" s="4">
        <v>43965</v>
      </c>
      <c r="C658" t="s">
        <v>452</v>
      </c>
      <c r="D658" t="s">
        <v>777</v>
      </c>
      <c r="E658" t="s">
        <v>488</v>
      </c>
    </row>
    <row r="659" spans="1:5" x14ac:dyDescent="0.3">
      <c r="A659" t="s">
        <v>788</v>
      </c>
      <c r="B659" s="4">
        <v>43957</v>
      </c>
      <c r="C659" t="s">
        <v>452</v>
      </c>
      <c r="D659" t="s">
        <v>777</v>
      </c>
      <c r="E659" t="s">
        <v>488</v>
      </c>
    </row>
    <row r="660" spans="1:5" x14ac:dyDescent="0.3">
      <c r="A660" t="s">
        <v>787</v>
      </c>
      <c r="B660" s="4">
        <v>43957</v>
      </c>
      <c r="C660" t="s">
        <v>452</v>
      </c>
      <c r="D660" t="s">
        <v>777</v>
      </c>
      <c r="E660" t="s">
        <v>488</v>
      </c>
    </row>
    <row r="661" spans="1:5" x14ac:dyDescent="0.3">
      <c r="A661" t="s">
        <v>786</v>
      </c>
      <c r="B661" s="4">
        <v>43926</v>
      </c>
      <c r="C661" t="s">
        <v>452</v>
      </c>
      <c r="D661" t="s">
        <v>777</v>
      </c>
      <c r="E661" t="s">
        <v>488</v>
      </c>
    </row>
    <row r="662" spans="1:5" x14ac:dyDescent="0.3">
      <c r="A662" t="s">
        <v>785</v>
      </c>
      <c r="B662" s="4">
        <v>43924</v>
      </c>
      <c r="C662" t="s">
        <v>452</v>
      </c>
      <c r="D662" t="s">
        <v>777</v>
      </c>
      <c r="E662" t="s">
        <v>784</v>
      </c>
    </row>
    <row r="663" spans="1:5" x14ac:dyDescent="0.3">
      <c r="A663" t="s">
        <v>783</v>
      </c>
      <c r="B663" s="4">
        <v>43875</v>
      </c>
      <c r="C663" t="s">
        <v>452</v>
      </c>
      <c r="D663" t="s">
        <v>777</v>
      </c>
      <c r="E663" t="s">
        <v>763</v>
      </c>
    </row>
    <row r="664" spans="1:5" x14ac:dyDescent="0.3">
      <c r="A664" t="s">
        <v>782</v>
      </c>
      <c r="B664" s="4">
        <v>43875</v>
      </c>
      <c r="C664" t="s">
        <v>452</v>
      </c>
      <c r="D664" t="s">
        <v>777</v>
      </c>
      <c r="E664" t="s">
        <v>763</v>
      </c>
    </row>
    <row r="665" spans="1:5" x14ac:dyDescent="0.3">
      <c r="A665" t="s">
        <v>781</v>
      </c>
      <c r="B665" s="4">
        <v>43873</v>
      </c>
      <c r="C665" t="s">
        <v>452</v>
      </c>
      <c r="D665" t="s">
        <v>777</v>
      </c>
      <c r="E665" t="s">
        <v>488</v>
      </c>
    </row>
    <row r="666" spans="1:5" x14ac:dyDescent="0.3">
      <c r="A666" t="s">
        <v>780</v>
      </c>
      <c r="B666" s="4">
        <v>43860</v>
      </c>
      <c r="C666" t="s">
        <v>452</v>
      </c>
      <c r="D666" t="s">
        <v>777</v>
      </c>
      <c r="E666" t="s">
        <v>763</v>
      </c>
    </row>
    <row r="667" spans="1:5" x14ac:dyDescent="0.3">
      <c r="A667" t="s">
        <v>779</v>
      </c>
      <c r="B667" s="4">
        <v>43860</v>
      </c>
      <c r="C667" t="s">
        <v>452</v>
      </c>
      <c r="D667" t="s">
        <v>777</v>
      </c>
      <c r="E667" t="s">
        <v>488</v>
      </c>
    </row>
    <row r="668" spans="1:5" x14ac:dyDescent="0.3">
      <c r="A668" t="s">
        <v>778</v>
      </c>
      <c r="B668" s="4">
        <v>43860</v>
      </c>
      <c r="C668" t="s">
        <v>452</v>
      </c>
      <c r="D668" t="s">
        <v>777</v>
      </c>
      <c r="E668" t="s">
        <v>763</v>
      </c>
    </row>
    <row r="669" spans="1:5" x14ac:dyDescent="0.3">
      <c r="A669" t="s">
        <v>776</v>
      </c>
      <c r="B669" s="4">
        <v>43836</v>
      </c>
      <c r="C669" t="s">
        <v>452</v>
      </c>
      <c r="D669" t="s">
        <v>750</v>
      </c>
      <c r="E669" t="s">
        <v>753</v>
      </c>
    </row>
    <row r="670" spans="1:5" x14ac:dyDescent="0.3">
      <c r="A670" t="s">
        <v>775</v>
      </c>
      <c r="B670" s="4">
        <v>43810</v>
      </c>
      <c r="C670" t="s">
        <v>452</v>
      </c>
      <c r="D670" t="s">
        <v>750</v>
      </c>
      <c r="E670" t="s">
        <v>488</v>
      </c>
    </row>
    <row r="671" spans="1:5" x14ac:dyDescent="0.3">
      <c r="A671" t="s">
        <v>774</v>
      </c>
      <c r="B671" s="4">
        <v>43811</v>
      </c>
      <c r="C671" t="s">
        <v>452</v>
      </c>
      <c r="D671" t="s">
        <v>750</v>
      </c>
      <c r="E671" t="s">
        <v>753</v>
      </c>
    </row>
    <row r="672" spans="1:5" x14ac:dyDescent="0.3">
      <c r="A672" t="s">
        <v>773</v>
      </c>
      <c r="B672" s="4">
        <v>43809</v>
      </c>
      <c r="C672" t="s">
        <v>452</v>
      </c>
      <c r="D672" t="s">
        <v>750</v>
      </c>
      <c r="E672" t="s">
        <v>488</v>
      </c>
    </row>
    <row r="673" spans="1:5" x14ac:dyDescent="0.3">
      <c r="A673" t="s">
        <v>772</v>
      </c>
      <c r="B673" s="4">
        <v>43809</v>
      </c>
      <c r="C673" t="s">
        <v>452</v>
      </c>
      <c r="D673" t="s">
        <v>750</v>
      </c>
      <c r="E673" t="s">
        <v>753</v>
      </c>
    </row>
    <row r="674" spans="1:5" x14ac:dyDescent="0.3">
      <c r="A674" t="s">
        <v>771</v>
      </c>
      <c r="B674" s="4">
        <v>43809</v>
      </c>
      <c r="C674" t="s">
        <v>452</v>
      </c>
      <c r="D674" t="s">
        <v>750</v>
      </c>
      <c r="E674" t="s">
        <v>753</v>
      </c>
    </row>
    <row r="675" spans="1:5" x14ac:dyDescent="0.3">
      <c r="A675" t="s">
        <v>770</v>
      </c>
      <c r="B675" s="4">
        <v>43809</v>
      </c>
      <c r="C675" t="s">
        <v>452</v>
      </c>
      <c r="D675" t="s">
        <v>750</v>
      </c>
      <c r="E675" t="s">
        <v>753</v>
      </c>
    </row>
    <row r="676" spans="1:5" x14ac:dyDescent="0.3">
      <c r="A676" t="s">
        <v>769</v>
      </c>
      <c r="B676" s="4">
        <v>43809</v>
      </c>
      <c r="C676" t="s">
        <v>452</v>
      </c>
      <c r="D676" t="s">
        <v>750</v>
      </c>
      <c r="E676" t="s">
        <v>753</v>
      </c>
    </row>
    <row r="677" spans="1:5" x14ac:dyDescent="0.3">
      <c r="A677" t="s">
        <v>768</v>
      </c>
      <c r="B677" s="4">
        <v>43809</v>
      </c>
      <c r="C677" t="s">
        <v>452</v>
      </c>
      <c r="D677" t="s">
        <v>750</v>
      </c>
      <c r="E677" t="s">
        <v>753</v>
      </c>
    </row>
    <row r="678" spans="1:5" x14ac:dyDescent="0.3">
      <c r="A678" t="s">
        <v>767</v>
      </c>
      <c r="B678" s="4">
        <v>43809</v>
      </c>
      <c r="C678" t="s">
        <v>452</v>
      </c>
      <c r="D678" t="s">
        <v>750</v>
      </c>
      <c r="E678" t="s">
        <v>763</v>
      </c>
    </row>
    <row r="679" spans="1:5" x14ac:dyDescent="0.3">
      <c r="A679" t="s">
        <v>766</v>
      </c>
      <c r="B679" s="4">
        <v>43809</v>
      </c>
      <c r="C679" t="s">
        <v>452</v>
      </c>
      <c r="D679" t="s">
        <v>750</v>
      </c>
      <c r="E679" t="s">
        <v>763</v>
      </c>
    </row>
    <row r="680" spans="1:5" x14ac:dyDescent="0.3">
      <c r="A680" t="s">
        <v>766</v>
      </c>
      <c r="B680" s="4">
        <v>43809</v>
      </c>
      <c r="C680" t="s">
        <v>452</v>
      </c>
      <c r="D680" t="s">
        <v>750</v>
      </c>
      <c r="E680" t="s">
        <v>763</v>
      </c>
    </row>
    <row r="681" spans="1:5" x14ac:dyDescent="0.3">
      <c r="A681" t="s">
        <v>766</v>
      </c>
      <c r="B681" s="4">
        <v>43809</v>
      </c>
      <c r="C681" t="s">
        <v>452</v>
      </c>
      <c r="D681" t="s">
        <v>750</v>
      </c>
      <c r="E681" t="s">
        <v>763</v>
      </c>
    </row>
    <row r="682" spans="1:5" x14ac:dyDescent="0.3">
      <c r="A682" t="s">
        <v>766</v>
      </c>
      <c r="B682" s="4">
        <v>43809</v>
      </c>
      <c r="C682" t="s">
        <v>452</v>
      </c>
      <c r="D682" t="s">
        <v>750</v>
      </c>
      <c r="E682" t="s">
        <v>763</v>
      </c>
    </row>
    <row r="683" spans="1:5" x14ac:dyDescent="0.3">
      <c r="A683" t="s">
        <v>765</v>
      </c>
      <c r="B683" s="4">
        <v>43809</v>
      </c>
      <c r="C683" t="s">
        <v>452</v>
      </c>
      <c r="D683" t="s">
        <v>750</v>
      </c>
      <c r="E683" t="s">
        <v>763</v>
      </c>
    </row>
    <row r="684" spans="1:5" x14ac:dyDescent="0.3">
      <c r="A684" t="s">
        <v>765</v>
      </c>
      <c r="B684" s="4">
        <v>43809</v>
      </c>
      <c r="C684" t="s">
        <v>452</v>
      </c>
      <c r="D684" t="s">
        <v>750</v>
      </c>
      <c r="E684" t="s">
        <v>763</v>
      </c>
    </row>
    <row r="685" spans="1:5" x14ac:dyDescent="0.3">
      <c r="A685" t="s">
        <v>765</v>
      </c>
      <c r="B685" s="4">
        <v>43809</v>
      </c>
      <c r="C685" t="s">
        <v>452</v>
      </c>
      <c r="D685" t="s">
        <v>750</v>
      </c>
      <c r="E685" t="s">
        <v>763</v>
      </c>
    </row>
    <row r="686" spans="1:5" x14ac:dyDescent="0.3">
      <c r="A686" t="s">
        <v>765</v>
      </c>
      <c r="B686" s="4">
        <v>43809</v>
      </c>
      <c r="C686" t="s">
        <v>452</v>
      </c>
      <c r="D686" t="s">
        <v>750</v>
      </c>
      <c r="E686" t="s">
        <v>763</v>
      </c>
    </row>
    <row r="687" spans="1:5" x14ac:dyDescent="0.3">
      <c r="A687" t="s">
        <v>764</v>
      </c>
      <c r="B687" s="4">
        <v>43809</v>
      </c>
      <c r="C687" t="s">
        <v>452</v>
      </c>
      <c r="D687" t="s">
        <v>750</v>
      </c>
      <c r="E687" t="s">
        <v>763</v>
      </c>
    </row>
    <row r="688" spans="1:5" x14ac:dyDescent="0.3">
      <c r="A688" t="s">
        <v>764</v>
      </c>
      <c r="B688" s="4">
        <v>43809</v>
      </c>
      <c r="C688" t="s">
        <v>452</v>
      </c>
      <c r="D688" t="s">
        <v>750</v>
      </c>
      <c r="E688" t="s">
        <v>763</v>
      </c>
    </row>
    <row r="689" spans="1:5" x14ac:dyDescent="0.3">
      <c r="A689" t="s">
        <v>764</v>
      </c>
      <c r="B689" s="4">
        <v>43809</v>
      </c>
      <c r="C689" t="s">
        <v>452</v>
      </c>
      <c r="D689" t="s">
        <v>750</v>
      </c>
      <c r="E689" t="s">
        <v>763</v>
      </c>
    </row>
    <row r="690" spans="1:5" x14ac:dyDescent="0.3">
      <c r="A690" t="s">
        <v>762</v>
      </c>
      <c r="B690" s="4">
        <v>43794</v>
      </c>
      <c r="C690" t="s">
        <v>452</v>
      </c>
      <c r="D690" t="s">
        <v>750</v>
      </c>
      <c r="E690" t="s">
        <v>757</v>
      </c>
    </row>
    <row r="691" spans="1:5" x14ac:dyDescent="0.3">
      <c r="A691" t="s">
        <v>761</v>
      </c>
      <c r="B691" s="4">
        <v>43794</v>
      </c>
      <c r="C691" t="s">
        <v>452</v>
      </c>
      <c r="D691" t="s">
        <v>750</v>
      </c>
      <c r="E691" t="s">
        <v>488</v>
      </c>
    </row>
    <row r="692" spans="1:5" x14ac:dyDescent="0.3">
      <c r="A692" t="s">
        <v>760</v>
      </c>
      <c r="B692" s="4">
        <v>43776</v>
      </c>
      <c r="C692" t="s">
        <v>452</v>
      </c>
      <c r="D692" t="s">
        <v>750</v>
      </c>
      <c r="E692" t="s">
        <v>757</v>
      </c>
    </row>
    <row r="693" spans="1:5" x14ac:dyDescent="0.3">
      <c r="A693" t="s">
        <v>759</v>
      </c>
      <c r="B693" s="4">
        <v>43776</v>
      </c>
      <c r="C693" t="s">
        <v>452</v>
      </c>
      <c r="D693" t="s">
        <v>750</v>
      </c>
      <c r="E693" t="s">
        <v>757</v>
      </c>
    </row>
    <row r="694" spans="1:5" x14ac:dyDescent="0.3">
      <c r="A694" t="s">
        <v>758</v>
      </c>
      <c r="B694" s="4">
        <v>43775</v>
      </c>
      <c r="C694" t="s">
        <v>452</v>
      </c>
      <c r="D694" t="s">
        <v>750</v>
      </c>
      <c r="E694" t="s">
        <v>757</v>
      </c>
    </row>
    <row r="695" spans="1:5" x14ac:dyDescent="0.3">
      <c r="A695" t="s">
        <v>756</v>
      </c>
      <c r="B695" s="4">
        <v>43775</v>
      </c>
      <c r="C695" t="s">
        <v>452</v>
      </c>
      <c r="D695" t="s">
        <v>750</v>
      </c>
      <c r="E695" t="s">
        <v>755</v>
      </c>
    </row>
    <row r="696" spans="1:5" x14ac:dyDescent="0.3">
      <c r="A696" t="s">
        <v>754</v>
      </c>
      <c r="B696" s="4">
        <v>43747</v>
      </c>
      <c r="C696" t="s">
        <v>452</v>
      </c>
      <c r="D696" t="s">
        <v>750</v>
      </c>
      <c r="E696" t="s">
        <v>753</v>
      </c>
    </row>
    <row r="697" spans="1:5" x14ac:dyDescent="0.3">
      <c r="A697" t="s">
        <v>752</v>
      </c>
      <c r="B697" s="4">
        <v>43747</v>
      </c>
      <c r="C697" t="s">
        <v>452</v>
      </c>
      <c r="D697" t="s">
        <v>750</v>
      </c>
      <c r="E697" t="s">
        <v>488</v>
      </c>
    </row>
    <row r="698" spans="1:5" x14ac:dyDescent="0.3">
      <c r="A698" t="s">
        <v>751</v>
      </c>
      <c r="B698" s="4">
        <v>43747</v>
      </c>
      <c r="C698" t="s">
        <v>452</v>
      </c>
      <c r="D698" t="s">
        <v>750</v>
      </c>
      <c r="E698" t="s">
        <v>488</v>
      </c>
    </row>
    <row r="699" spans="1:5" x14ac:dyDescent="0.3">
      <c r="A699" t="s">
        <v>749</v>
      </c>
      <c r="B699" s="4">
        <v>44084</v>
      </c>
      <c r="C699" t="s">
        <v>452</v>
      </c>
      <c r="D699" t="s">
        <v>720</v>
      </c>
      <c r="E699" t="s">
        <v>488</v>
      </c>
    </row>
    <row r="700" spans="1:5" x14ac:dyDescent="0.3">
      <c r="A700" t="s">
        <v>748</v>
      </c>
      <c r="B700" s="4">
        <v>44064</v>
      </c>
      <c r="C700" t="s">
        <v>452</v>
      </c>
      <c r="D700" t="s">
        <v>720</v>
      </c>
      <c r="E700" t="s">
        <v>488</v>
      </c>
    </row>
    <row r="701" spans="1:5" x14ac:dyDescent="0.3">
      <c r="A701" t="s">
        <v>747</v>
      </c>
      <c r="B701" s="4">
        <v>44056</v>
      </c>
      <c r="C701" t="s">
        <v>452</v>
      </c>
      <c r="D701" t="s">
        <v>720</v>
      </c>
      <c r="E701" t="s">
        <v>488</v>
      </c>
    </row>
    <row r="702" spans="1:5" x14ac:dyDescent="0.3">
      <c r="A702" t="s">
        <v>746</v>
      </c>
      <c r="B702" s="4">
        <v>44056</v>
      </c>
      <c r="C702" t="s">
        <v>452</v>
      </c>
      <c r="D702" t="s">
        <v>720</v>
      </c>
      <c r="E702" t="s">
        <v>629</v>
      </c>
    </row>
    <row r="703" spans="1:5" x14ac:dyDescent="0.3">
      <c r="A703" t="s">
        <v>745</v>
      </c>
      <c r="B703" s="4">
        <v>44056</v>
      </c>
      <c r="C703" t="s">
        <v>452</v>
      </c>
      <c r="D703" t="s">
        <v>720</v>
      </c>
      <c r="E703" t="s">
        <v>629</v>
      </c>
    </row>
    <row r="704" spans="1:5" x14ac:dyDescent="0.3">
      <c r="A704" t="s">
        <v>744</v>
      </c>
      <c r="B704" s="4">
        <v>44050</v>
      </c>
      <c r="C704" t="s">
        <v>452</v>
      </c>
      <c r="D704" t="s">
        <v>720</v>
      </c>
      <c r="E704" t="s">
        <v>488</v>
      </c>
    </row>
    <row r="705" spans="1:5" x14ac:dyDescent="0.3">
      <c r="A705" t="s">
        <v>743</v>
      </c>
      <c r="B705" s="4">
        <v>44048</v>
      </c>
      <c r="C705" t="s">
        <v>452</v>
      </c>
      <c r="D705" t="s">
        <v>720</v>
      </c>
      <c r="E705" t="s">
        <v>488</v>
      </c>
    </row>
    <row r="706" spans="1:5" x14ac:dyDescent="0.3">
      <c r="A706" t="s">
        <v>742</v>
      </c>
      <c r="B706" s="4">
        <v>44048</v>
      </c>
      <c r="C706" t="s">
        <v>452</v>
      </c>
      <c r="D706" t="s">
        <v>720</v>
      </c>
      <c r="E706" t="s">
        <v>488</v>
      </c>
    </row>
    <row r="707" spans="1:5" x14ac:dyDescent="0.3">
      <c r="A707" t="s">
        <v>741</v>
      </c>
      <c r="B707" s="4">
        <v>44047</v>
      </c>
      <c r="C707" t="s">
        <v>452</v>
      </c>
      <c r="D707" t="s">
        <v>720</v>
      </c>
      <c r="E707" t="s">
        <v>629</v>
      </c>
    </row>
    <row r="708" spans="1:5" x14ac:dyDescent="0.3">
      <c r="A708" t="s">
        <v>740</v>
      </c>
      <c r="B708" s="4">
        <v>44047</v>
      </c>
      <c r="C708" t="s">
        <v>452</v>
      </c>
      <c r="D708" t="s">
        <v>720</v>
      </c>
      <c r="E708" t="s">
        <v>629</v>
      </c>
    </row>
    <row r="709" spans="1:5" x14ac:dyDescent="0.3">
      <c r="A709" t="s">
        <v>739</v>
      </c>
      <c r="B709" s="4">
        <v>44047</v>
      </c>
      <c r="C709" t="s">
        <v>452</v>
      </c>
      <c r="D709" t="s">
        <v>720</v>
      </c>
      <c r="E709" t="s">
        <v>488</v>
      </c>
    </row>
    <row r="710" spans="1:5" x14ac:dyDescent="0.3">
      <c r="A710" t="s">
        <v>738</v>
      </c>
      <c r="B710" s="4">
        <v>44043</v>
      </c>
      <c r="C710" t="s">
        <v>452</v>
      </c>
      <c r="D710" t="s">
        <v>720</v>
      </c>
      <c r="E710" t="s">
        <v>644</v>
      </c>
    </row>
    <row r="711" spans="1:5" x14ac:dyDescent="0.3">
      <c r="A711" t="s">
        <v>738</v>
      </c>
      <c r="B711" s="4">
        <v>44043</v>
      </c>
      <c r="C711" t="s">
        <v>452</v>
      </c>
      <c r="D711" t="s">
        <v>720</v>
      </c>
      <c r="E711" t="s">
        <v>644</v>
      </c>
    </row>
    <row r="712" spans="1:5" x14ac:dyDescent="0.3">
      <c r="A712" t="s">
        <v>737</v>
      </c>
      <c r="B712" s="4">
        <v>44040</v>
      </c>
      <c r="C712" t="s">
        <v>452</v>
      </c>
      <c r="D712" t="s">
        <v>720</v>
      </c>
      <c r="E712" t="s">
        <v>625</v>
      </c>
    </row>
    <row r="713" spans="1:5" x14ac:dyDescent="0.3">
      <c r="A713" t="s">
        <v>736</v>
      </c>
      <c r="B713" s="4">
        <v>44016</v>
      </c>
      <c r="C713" t="s">
        <v>452</v>
      </c>
      <c r="D713" t="s">
        <v>720</v>
      </c>
      <c r="E713" t="s">
        <v>625</v>
      </c>
    </row>
    <row r="714" spans="1:5" x14ac:dyDescent="0.3">
      <c r="A714" t="s">
        <v>735</v>
      </c>
      <c r="B714" s="4">
        <v>44005</v>
      </c>
      <c r="C714" t="s">
        <v>452</v>
      </c>
      <c r="D714" t="s">
        <v>720</v>
      </c>
      <c r="E714" t="s">
        <v>625</v>
      </c>
    </row>
    <row r="715" spans="1:5" x14ac:dyDescent="0.3">
      <c r="A715" t="s">
        <v>734</v>
      </c>
      <c r="B715" s="4">
        <v>43861</v>
      </c>
      <c r="C715" t="s">
        <v>452</v>
      </c>
      <c r="D715" t="s">
        <v>720</v>
      </c>
      <c r="E715" t="s">
        <v>536</v>
      </c>
    </row>
    <row r="716" spans="1:5" x14ac:dyDescent="0.3">
      <c r="A716" t="s">
        <v>733</v>
      </c>
      <c r="B716" s="4">
        <v>43861</v>
      </c>
      <c r="C716" t="s">
        <v>452</v>
      </c>
      <c r="D716" t="s">
        <v>720</v>
      </c>
      <c r="E716" t="s">
        <v>536</v>
      </c>
    </row>
    <row r="717" spans="1:5" x14ac:dyDescent="0.3">
      <c r="A717" t="s">
        <v>732</v>
      </c>
      <c r="B717" s="4">
        <v>43861</v>
      </c>
      <c r="C717" t="s">
        <v>452</v>
      </c>
      <c r="D717" t="s">
        <v>720</v>
      </c>
      <c r="E717" t="s">
        <v>536</v>
      </c>
    </row>
    <row r="718" spans="1:5" x14ac:dyDescent="0.3">
      <c r="A718" t="s">
        <v>731</v>
      </c>
      <c r="B718" s="4">
        <v>43861</v>
      </c>
      <c r="C718" t="s">
        <v>452</v>
      </c>
      <c r="D718" t="s">
        <v>720</v>
      </c>
      <c r="E718" t="s">
        <v>536</v>
      </c>
    </row>
    <row r="719" spans="1:5" x14ac:dyDescent="0.3">
      <c r="A719" t="s">
        <v>730</v>
      </c>
      <c r="B719" s="4">
        <v>43861</v>
      </c>
      <c r="C719" t="s">
        <v>452</v>
      </c>
      <c r="D719" t="s">
        <v>720</v>
      </c>
      <c r="E719" t="s">
        <v>536</v>
      </c>
    </row>
    <row r="720" spans="1:5" x14ac:dyDescent="0.3">
      <c r="A720" t="s">
        <v>729</v>
      </c>
      <c r="B720" s="4">
        <v>43861</v>
      </c>
      <c r="C720" t="s">
        <v>452</v>
      </c>
      <c r="D720" t="s">
        <v>720</v>
      </c>
      <c r="E720" t="s">
        <v>536</v>
      </c>
    </row>
    <row r="721" spans="1:5" x14ac:dyDescent="0.3">
      <c r="A721" t="s">
        <v>728</v>
      </c>
      <c r="B721" s="4">
        <v>43860</v>
      </c>
      <c r="C721" t="s">
        <v>452</v>
      </c>
      <c r="D721" t="s">
        <v>720</v>
      </c>
      <c r="E721" t="s">
        <v>536</v>
      </c>
    </row>
    <row r="722" spans="1:5" x14ac:dyDescent="0.3">
      <c r="A722" t="s">
        <v>727</v>
      </c>
      <c r="B722" s="4">
        <v>43859</v>
      </c>
      <c r="C722" t="s">
        <v>452</v>
      </c>
      <c r="D722" t="s">
        <v>720</v>
      </c>
      <c r="E722" t="s">
        <v>536</v>
      </c>
    </row>
    <row r="723" spans="1:5" x14ac:dyDescent="0.3">
      <c r="A723" t="s">
        <v>726</v>
      </c>
      <c r="B723" s="4">
        <v>43859</v>
      </c>
      <c r="C723" t="s">
        <v>452</v>
      </c>
      <c r="D723" t="s">
        <v>720</v>
      </c>
      <c r="E723" t="s">
        <v>536</v>
      </c>
    </row>
    <row r="724" spans="1:5" x14ac:dyDescent="0.3">
      <c r="A724" t="s">
        <v>725</v>
      </c>
      <c r="B724" s="4">
        <v>43859</v>
      </c>
      <c r="C724" t="s">
        <v>452</v>
      </c>
      <c r="D724" t="s">
        <v>720</v>
      </c>
      <c r="E724" t="s">
        <v>536</v>
      </c>
    </row>
    <row r="725" spans="1:5" x14ac:dyDescent="0.3">
      <c r="A725" t="s">
        <v>724</v>
      </c>
      <c r="B725" s="4">
        <v>43859</v>
      </c>
      <c r="C725" t="s">
        <v>452</v>
      </c>
      <c r="D725" t="s">
        <v>720</v>
      </c>
      <c r="E725" t="s">
        <v>536</v>
      </c>
    </row>
    <row r="726" spans="1:5" x14ac:dyDescent="0.3">
      <c r="A726" t="s">
        <v>723</v>
      </c>
      <c r="B726" s="4">
        <v>43859</v>
      </c>
      <c r="C726" t="s">
        <v>452</v>
      </c>
      <c r="D726" t="s">
        <v>720</v>
      </c>
      <c r="E726" t="s">
        <v>536</v>
      </c>
    </row>
    <row r="727" spans="1:5" x14ac:dyDescent="0.3">
      <c r="A727" t="s">
        <v>722</v>
      </c>
      <c r="B727" s="4">
        <v>43858</v>
      </c>
      <c r="C727" t="s">
        <v>452</v>
      </c>
      <c r="D727" t="s">
        <v>720</v>
      </c>
      <c r="E727" t="s">
        <v>536</v>
      </c>
    </row>
    <row r="728" spans="1:5" x14ac:dyDescent="0.3">
      <c r="A728" t="s">
        <v>721</v>
      </c>
      <c r="B728" s="4">
        <v>43857</v>
      </c>
      <c r="C728" t="s">
        <v>452</v>
      </c>
      <c r="D728" t="s">
        <v>720</v>
      </c>
      <c r="E728" t="s">
        <v>536</v>
      </c>
    </row>
    <row r="729" spans="1:5" x14ac:dyDescent="0.3">
      <c r="A729" t="s">
        <v>719</v>
      </c>
      <c r="B729" s="4">
        <v>44066</v>
      </c>
      <c r="C729" t="s">
        <v>452</v>
      </c>
      <c r="D729" t="s">
        <v>718</v>
      </c>
      <c r="E729" t="s">
        <v>625</v>
      </c>
    </row>
    <row r="730" spans="1:5" x14ac:dyDescent="0.3">
      <c r="A730" t="s">
        <v>717</v>
      </c>
      <c r="B730" s="4">
        <v>43429</v>
      </c>
      <c r="C730" t="s">
        <v>452</v>
      </c>
      <c r="D730" t="s">
        <v>687</v>
      </c>
      <c r="E730" t="s">
        <v>488</v>
      </c>
    </row>
    <row r="731" spans="1:5" x14ac:dyDescent="0.3">
      <c r="A731" t="s">
        <v>716</v>
      </c>
      <c r="B731" s="4">
        <v>43425</v>
      </c>
      <c r="C731" t="s">
        <v>452</v>
      </c>
      <c r="D731" t="s">
        <v>687</v>
      </c>
      <c r="E731" t="s">
        <v>488</v>
      </c>
    </row>
    <row r="732" spans="1:5" x14ac:dyDescent="0.3">
      <c r="A732" t="s">
        <v>715</v>
      </c>
      <c r="B732" s="4">
        <v>43425</v>
      </c>
      <c r="C732" t="s">
        <v>452</v>
      </c>
      <c r="D732" t="s">
        <v>687</v>
      </c>
      <c r="E732" t="s">
        <v>488</v>
      </c>
    </row>
    <row r="733" spans="1:5" x14ac:dyDescent="0.3">
      <c r="A733" t="s">
        <v>714</v>
      </c>
      <c r="B733" s="4">
        <v>43425</v>
      </c>
      <c r="C733" t="s">
        <v>452</v>
      </c>
      <c r="D733" t="s">
        <v>687</v>
      </c>
      <c r="E733" t="s">
        <v>686</v>
      </c>
    </row>
    <row r="734" spans="1:5" x14ac:dyDescent="0.3">
      <c r="A734" t="s">
        <v>713</v>
      </c>
      <c r="B734" s="4">
        <v>43425</v>
      </c>
      <c r="C734" t="s">
        <v>452</v>
      </c>
      <c r="D734" t="s">
        <v>687</v>
      </c>
      <c r="E734" t="s">
        <v>488</v>
      </c>
    </row>
    <row r="735" spans="1:5" x14ac:dyDescent="0.3">
      <c r="A735" t="s">
        <v>712</v>
      </c>
      <c r="B735" s="4">
        <v>43425</v>
      </c>
      <c r="C735" t="s">
        <v>452</v>
      </c>
      <c r="D735" t="s">
        <v>687</v>
      </c>
      <c r="E735" t="s">
        <v>686</v>
      </c>
    </row>
    <row r="736" spans="1:5" x14ac:dyDescent="0.3">
      <c r="A736" t="s">
        <v>711</v>
      </c>
      <c r="B736" s="4">
        <v>43425</v>
      </c>
      <c r="C736" t="s">
        <v>452</v>
      </c>
      <c r="D736" t="s">
        <v>687</v>
      </c>
      <c r="E736" t="s">
        <v>686</v>
      </c>
    </row>
    <row r="737" spans="1:5" x14ac:dyDescent="0.3">
      <c r="A737" t="s">
        <v>710</v>
      </c>
      <c r="B737" s="4">
        <v>43424</v>
      </c>
      <c r="C737" t="s">
        <v>452</v>
      </c>
      <c r="D737" t="s">
        <v>687</v>
      </c>
      <c r="E737" t="s">
        <v>686</v>
      </c>
    </row>
    <row r="738" spans="1:5" x14ac:dyDescent="0.3">
      <c r="A738" t="s">
        <v>709</v>
      </c>
      <c r="B738" s="4">
        <v>43424</v>
      </c>
      <c r="C738" t="s">
        <v>452</v>
      </c>
      <c r="D738" t="s">
        <v>687</v>
      </c>
      <c r="E738" t="s">
        <v>488</v>
      </c>
    </row>
    <row r="739" spans="1:5" x14ac:dyDescent="0.3">
      <c r="A739" t="s">
        <v>708</v>
      </c>
      <c r="B739" s="4">
        <v>43424</v>
      </c>
      <c r="C739" t="s">
        <v>452</v>
      </c>
      <c r="D739" t="s">
        <v>687</v>
      </c>
      <c r="E739" t="s">
        <v>686</v>
      </c>
    </row>
    <row r="740" spans="1:5" x14ac:dyDescent="0.3">
      <c r="A740" t="s">
        <v>707</v>
      </c>
      <c r="B740" s="4">
        <v>43424</v>
      </c>
      <c r="C740" t="s">
        <v>452</v>
      </c>
      <c r="D740" t="s">
        <v>687</v>
      </c>
      <c r="E740" t="s">
        <v>686</v>
      </c>
    </row>
    <row r="741" spans="1:5" x14ac:dyDescent="0.3">
      <c r="A741" t="s">
        <v>706</v>
      </c>
      <c r="B741" s="4">
        <v>43424</v>
      </c>
      <c r="C741" t="s">
        <v>452</v>
      </c>
      <c r="D741" t="s">
        <v>687</v>
      </c>
      <c r="E741" t="s">
        <v>686</v>
      </c>
    </row>
    <row r="742" spans="1:5" x14ac:dyDescent="0.3">
      <c r="A742" t="s">
        <v>705</v>
      </c>
      <c r="B742" s="4">
        <v>43424</v>
      </c>
      <c r="C742" t="s">
        <v>452</v>
      </c>
      <c r="D742" t="s">
        <v>687</v>
      </c>
      <c r="E742" t="s">
        <v>686</v>
      </c>
    </row>
    <row r="743" spans="1:5" x14ac:dyDescent="0.3">
      <c r="A743" t="s">
        <v>704</v>
      </c>
      <c r="B743" s="4">
        <v>43424</v>
      </c>
      <c r="C743" t="s">
        <v>452</v>
      </c>
      <c r="D743" t="s">
        <v>687</v>
      </c>
      <c r="E743" t="s">
        <v>686</v>
      </c>
    </row>
    <row r="744" spans="1:5" x14ac:dyDescent="0.3">
      <c r="A744" t="s">
        <v>703</v>
      </c>
      <c r="B744" s="4">
        <v>43423</v>
      </c>
      <c r="C744" t="s">
        <v>452</v>
      </c>
      <c r="D744" t="s">
        <v>687</v>
      </c>
      <c r="E744" t="s">
        <v>488</v>
      </c>
    </row>
    <row r="745" spans="1:5" x14ac:dyDescent="0.3">
      <c r="A745" t="s">
        <v>702</v>
      </c>
      <c r="B745" s="4">
        <v>43421</v>
      </c>
      <c r="C745" t="s">
        <v>452</v>
      </c>
      <c r="D745" t="s">
        <v>687</v>
      </c>
      <c r="E745" t="s">
        <v>686</v>
      </c>
    </row>
    <row r="746" spans="1:5" x14ac:dyDescent="0.3">
      <c r="A746" t="s">
        <v>701</v>
      </c>
      <c r="B746" s="4">
        <v>43421</v>
      </c>
      <c r="C746" t="s">
        <v>452</v>
      </c>
      <c r="D746" t="s">
        <v>687</v>
      </c>
      <c r="E746" t="s">
        <v>686</v>
      </c>
    </row>
    <row r="747" spans="1:5" x14ac:dyDescent="0.3">
      <c r="A747" t="s">
        <v>700</v>
      </c>
      <c r="B747" s="4">
        <v>43420</v>
      </c>
      <c r="C747" t="s">
        <v>452</v>
      </c>
      <c r="D747" t="s">
        <v>687</v>
      </c>
      <c r="E747" t="s">
        <v>686</v>
      </c>
    </row>
    <row r="748" spans="1:5" x14ac:dyDescent="0.3">
      <c r="A748" t="s">
        <v>699</v>
      </c>
      <c r="B748" s="4">
        <v>43420</v>
      </c>
      <c r="C748" t="s">
        <v>452</v>
      </c>
      <c r="D748" t="s">
        <v>687</v>
      </c>
      <c r="E748" t="s">
        <v>686</v>
      </c>
    </row>
    <row r="749" spans="1:5" x14ac:dyDescent="0.3">
      <c r="A749" t="s">
        <v>698</v>
      </c>
      <c r="B749" s="4">
        <v>43420</v>
      </c>
      <c r="C749" t="s">
        <v>452</v>
      </c>
      <c r="D749" t="s">
        <v>687</v>
      </c>
      <c r="E749" t="s">
        <v>686</v>
      </c>
    </row>
    <row r="750" spans="1:5" x14ac:dyDescent="0.3">
      <c r="A750" t="s">
        <v>697</v>
      </c>
      <c r="B750" s="4">
        <v>43420</v>
      </c>
      <c r="C750" t="s">
        <v>452</v>
      </c>
      <c r="D750" t="s">
        <v>687</v>
      </c>
      <c r="E750" t="s">
        <v>686</v>
      </c>
    </row>
    <row r="751" spans="1:5" x14ac:dyDescent="0.3">
      <c r="A751" t="s">
        <v>696</v>
      </c>
      <c r="B751" s="4">
        <v>43419</v>
      </c>
      <c r="C751" t="s">
        <v>452</v>
      </c>
      <c r="D751" t="s">
        <v>687</v>
      </c>
      <c r="E751" t="s">
        <v>686</v>
      </c>
    </row>
    <row r="752" spans="1:5" x14ac:dyDescent="0.3">
      <c r="A752" t="s">
        <v>695</v>
      </c>
      <c r="B752" s="4">
        <v>43419</v>
      </c>
      <c r="C752" t="s">
        <v>452</v>
      </c>
      <c r="D752" t="s">
        <v>687</v>
      </c>
      <c r="E752" t="s">
        <v>686</v>
      </c>
    </row>
    <row r="753" spans="1:5" x14ac:dyDescent="0.3">
      <c r="A753" t="s">
        <v>694</v>
      </c>
      <c r="B753" s="4">
        <v>43419</v>
      </c>
      <c r="C753" t="s">
        <v>452</v>
      </c>
      <c r="D753" t="s">
        <v>687</v>
      </c>
      <c r="E753" t="s">
        <v>686</v>
      </c>
    </row>
    <row r="754" spans="1:5" x14ac:dyDescent="0.3">
      <c r="A754" t="s">
        <v>693</v>
      </c>
      <c r="B754" s="4">
        <v>43419</v>
      </c>
      <c r="C754" t="s">
        <v>452</v>
      </c>
      <c r="D754" t="s">
        <v>687</v>
      </c>
      <c r="E754" t="s">
        <v>686</v>
      </c>
    </row>
    <row r="755" spans="1:5" x14ac:dyDescent="0.3">
      <c r="A755" t="s">
        <v>692</v>
      </c>
      <c r="B755" s="4">
        <v>43419</v>
      </c>
      <c r="C755" t="s">
        <v>452</v>
      </c>
      <c r="D755" t="s">
        <v>687</v>
      </c>
      <c r="E755" t="s">
        <v>488</v>
      </c>
    </row>
    <row r="756" spans="1:5" x14ac:dyDescent="0.3">
      <c r="A756" t="s">
        <v>691</v>
      </c>
      <c r="B756" s="4">
        <v>43419</v>
      </c>
      <c r="C756" t="s">
        <v>452</v>
      </c>
      <c r="D756" t="s">
        <v>687</v>
      </c>
      <c r="E756" t="s">
        <v>488</v>
      </c>
    </row>
    <row r="757" spans="1:5" x14ac:dyDescent="0.3">
      <c r="A757" t="s">
        <v>690</v>
      </c>
      <c r="B757" s="4">
        <v>43419</v>
      </c>
      <c r="C757" t="s">
        <v>452</v>
      </c>
      <c r="D757" t="s">
        <v>687</v>
      </c>
      <c r="E757" t="s">
        <v>686</v>
      </c>
    </row>
    <row r="758" spans="1:5" x14ac:dyDescent="0.3">
      <c r="A758" t="s">
        <v>689</v>
      </c>
      <c r="B758" s="4">
        <v>43419</v>
      </c>
      <c r="C758" t="s">
        <v>452</v>
      </c>
      <c r="D758" t="s">
        <v>687</v>
      </c>
      <c r="E758" t="s">
        <v>686</v>
      </c>
    </row>
    <row r="759" spans="1:5" x14ac:dyDescent="0.3">
      <c r="A759" t="s">
        <v>688</v>
      </c>
      <c r="B759" s="4">
        <v>43418</v>
      </c>
      <c r="C759" t="s">
        <v>452</v>
      </c>
      <c r="D759" t="s">
        <v>687</v>
      </c>
      <c r="E759" t="s">
        <v>686</v>
      </c>
    </row>
    <row r="760" spans="1:5" x14ac:dyDescent="0.3">
      <c r="A760" t="s">
        <v>685</v>
      </c>
      <c r="B760" s="4">
        <v>43133</v>
      </c>
      <c r="C760" t="s">
        <v>452</v>
      </c>
      <c r="D760" t="s">
        <v>654</v>
      </c>
      <c r="E760" t="s">
        <v>660</v>
      </c>
    </row>
    <row r="761" spans="1:5" x14ac:dyDescent="0.3">
      <c r="A761" t="s">
        <v>684</v>
      </c>
      <c r="B761" s="4">
        <v>43124</v>
      </c>
      <c r="C761" t="s">
        <v>452</v>
      </c>
      <c r="D761" t="s">
        <v>654</v>
      </c>
      <c r="E761" t="s">
        <v>660</v>
      </c>
    </row>
    <row r="762" spans="1:5" x14ac:dyDescent="0.3">
      <c r="A762" t="s">
        <v>683</v>
      </c>
      <c r="B762" s="4">
        <v>43119</v>
      </c>
      <c r="C762" t="s">
        <v>452</v>
      </c>
      <c r="D762" t="s">
        <v>654</v>
      </c>
      <c r="E762" t="s">
        <v>488</v>
      </c>
    </row>
    <row r="763" spans="1:5" x14ac:dyDescent="0.3">
      <c r="A763" t="s">
        <v>682</v>
      </c>
      <c r="B763" s="4">
        <v>43119</v>
      </c>
      <c r="C763" t="s">
        <v>452</v>
      </c>
      <c r="D763" t="s">
        <v>654</v>
      </c>
      <c r="E763" t="s">
        <v>681</v>
      </c>
    </row>
    <row r="764" spans="1:5" x14ac:dyDescent="0.3">
      <c r="A764" t="s">
        <v>680</v>
      </c>
      <c r="B764" s="4">
        <v>43073</v>
      </c>
      <c r="C764" t="s">
        <v>452</v>
      </c>
      <c r="D764" t="s">
        <v>654</v>
      </c>
      <c r="E764" t="s">
        <v>660</v>
      </c>
    </row>
    <row r="765" spans="1:5" x14ac:dyDescent="0.3">
      <c r="A765" t="s">
        <v>679</v>
      </c>
      <c r="B765" s="4">
        <v>43070</v>
      </c>
      <c r="C765" t="s">
        <v>452</v>
      </c>
      <c r="D765" t="s">
        <v>654</v>
      </c>
      <c r="E765" t="s">
        <v>660</v>
      </c>
    </row>
    <row r="766" spans="1:5" x14ac:dyDescent="0.3">
      <c r="A766" t="s">
        <v>678</v>
      </c>
      <c r="B766" s="4">
        <v>43069</v>
      </c>
      <c r="C766" t="s">
        <v>452</v>
      </c>
      <c r="D766" t="s">
        <v>654</v>
      </c>
      <c r="E766" t="s">
        <v>660</v>
      </c>
    </row>
    <row r="767" spans="1:5" x14ac:dyDescent="0.3">
      <c r="A767" t="s">
        <v>677</v>
      </c>
      <c r="B767" s="4">
        <v>42999</v>
      </c>
      <c r="C767" t="s">
        <v>452</v>
      </c>
      <c r="D767" t="s">
        <v>654</v>
      </c>
      <c r="E767" t="s">
        <v>660</v>
      </c>
    </row>
    <row r="768" spans="1:5" x14ac:dyDescent="0.3">
      <c r="A768" t="s">
        <v>677</v>
      </c>
      <c r="B768" s="4">
        <v>42999</v>
      </c>
      <c r="C768" t="s">
        <v>452</v>
      </c>
      <c r="D768" t="s">
        <v>654</v>
      </c>
      <c r="E768" t="s">
        <v>660</v>
      </c>
    </row>
    <row r="769" spans="1:5" x14ac:dyDescent="0.3">
      <c r="A769" t="s">
        <v>676</v>
      </c>
      <c r="B769" s="4">
        <v>42944</v>
      </c>
      <c r="C769" t="s">
        <v>452</v>
      </c>
      <c r="D769" t="s">
        <v>654</v>
      </c>
      <c r="E769" t="s">
        <v>660</v>
      </c>
    </row>
    <row r="770" spans="1:5" x14ac:dyDescent="0.3">
      <c r="A770" t="s">
        <v>675</v>
      </c>
      <c r="B770" s="4">
        <v>42940</v>
      </c>
      <c r="C770" t="s">
        <v>452</v>
      </c>
      <c r="D770" t="s">
        <v>654</v>
      </c>
      <c r="E770" t="s">
        <v>660</v>
      </c>
    </row>
    <row r="771" spans="1:5" x14ac:dyDescent="0.3">
      <c r="A771" t="s">
        <v>674</v>
      </c>
      <c r="B771" s="4">
        <v>42930</v>
      </c>
      <c r="C771" t="s">
        <v>452</v>
      </c>
      <c r="D771" t="s">
        <v>654</v>
      </c>
      <c r="E771" t="s">
        <v>488</v>
      </c>
    </row>
    <row r="772" spans="1:5" x14ac:dyDescent="0.3">
      <c r="A772" t="s">
        <v>673</v>
      </c>
      <c r="B772" s="4">
        <v>42930</v>
      </c>
      <c r="C772" t="s">
        <v>452</v>
      </c>
      <c r="D772" t="s">
        <v>654</v>
      </c>
      <c r="E772" t="s">
        <v>653</v>
      </c>
    </row>
    <row r="773" spans="1:5" x14ac:dyDescent="0.3">
      <c r="A773" t="s">
        <v>672</v>
      </c>
      <c r="B773" s="4">
        <v>42930</v>
      </c>
      <c r="C773" t="s">
        <v>452</v>
      </c>
      <c r="D773" t="s">
        <v>654</v>
      </c>
      <c r="E773" t="s">
        <v>488</v>
      </c>
    </row>
    <row r="774" spans="1:5" x14ac:dyDescent="0.3">
      <c r="A774" t="s">
        <v>671</v>
      </c>
      <c r="B774" s="4">
        <v>42930</v>
      </c>
      <c r="C774" t="s">
        <v>452</v>
      </c>
      <c r="D774" t="s">
        <v>654</v>
      </c>
      <c r="E774" t="s">
        <v>653</v>
      </c>
    </row>
    <row r="775" spans="1:5" x14ac:dyDescent="0.3">
      <c r="A775" t="s">
        <v>670</v>
      </c>
      <c r="B775" s="4">
        <v>42905</v>
      </c>
      <c r="C775" t="s">
        <v>452</v>
      </c>
      <c r="D775" t="s">
        <v>654</v>
      </c>
      <c r="E775" t="s">
        <v>653</v>
      </c>
    </row>
    <row r="776" spans="1:5" x14ac:dyDescent="0.3">
      <c r="A776" t="s">
        <v>669</v>
      </c>
      <c r="B776" s="4">
        <v>42894</v>
      </c>
      <c r="C776" t="s">
        <v>452</v>
      </c>
      <c r="D776" t="s">
        <v>654</v>
      </c>
      <c r="E776" t="s">
        <v>488</v>
      </c>
    </row>
    <row r="777" spans="1:5" x14ac:dyDescent="0.3">
      <c r="A777" t="s">
        <v>668</v>
      </c>
      <c r="B777" s="4">
        <v>42894</v>
      </c>
      <c r="C777" t="s">
        <v>452</v>
      </c>
      <c r="D777" t="s">
        <v>654</v>
      </c>
      <c r="E777" t="s">
        <v>488</v>
      </c>
    </row>
    <row r="778" spans="1:5" x14ac:dyDescent="0.3">
      <c r="A778" t="s">
        <v>667</v>
      </c>
      <c r="B778" s="4">
        <v>42894</v>
      </c>
      <c r="C778" t="s">
        <v>452</v>
      </c>
      <c r="D778" t="s">
        <v>654</v>
      </c>
      <c r="E778" t="s">
        <v>653</v>
      </c>
    </row>
    <row r="779" spans="1:5" x14ac:dyDescent="0.3">
      <c r="A779" t="s">
        <v>666</v>
      </c>
      <c r="B779" s="4">
        <v>42894</v>
      </c>
      <c r="C779" t="s">
        <v>452</v>
      </c>
      <c r="D779" t="s">
        <v>654</v>
      </c>
      <c r="E779" t="s">
        <v>653</v>
      </c>
    </row>
    <row r="780" spans="1:5" x14ac:dyDescent="0.3">
      <c r="A780" t="s">
        <v>665</v>
      </c>
      <c r="B780" s="4">
        <v>42873</v>
      </c>
      <c r="C780" t="s">
        <v>452</v>
      </c>
      <c r="D780" t="s">
        <v>654</v>
      </c>
      <c r="E780" t="s">
        <v>653</v>
      </c>
    </row>
    <row r="781" spans="1:5" x14ac:dyDescent="0.3">
      <c r="A781" t="s">
        <v>664</v>
      </c>
      <c r="B781" s="4">
        <v>42794</v>
      </c>
      <c r="C781" t="s">
        <v>452</v>
      </c>
      <c r="D781" t="s">
        <v>654</v>
      </c>
      <c r="E781" t="s">
        <v>653</v>
      </c>
    </row>
    <row r="782" spans="1:5" x14ac:dyDescent="0.3">
      <c r="A782" t="s">
        <v>663</v>
      </c>
      <c r="B782" s="4">
        <v>42779</v>
      </c>
      <c r="C782" t="s">
        <v>452</v>
      </c>
      <c r="D782" t="s">
        <v>654</v>
      </c>
      <c r="E782" t="s">
        <v>660</v>
      </c>
    </row>
    <row r="783" spans="1:5" x14ac:dyDescent="0.3">
      <c r="A783" t="s">
        <v>662</v>
      </c>
      <c r="B783" s="4">
        <v>42766</v>
      </c>
      <c r="C783" t="s">
        <v>452</v>
      </c>
      <c r="D783" t="s">
        <v>654</v>
      </c>
      <c r="E783" t="s">
        <v>653</v>
      </c>
    </row>
    <row r="784" spans="1:5" x14ac:dyDescent="0.3">
      <c r="A784" t="s">
        <v>661</v>
      </c>
      <c r="B784" s="4">
        <v>42766</v>
      </c>
      <c r="C784" t="s">
        <v>452</v>
      </c>
      <c r="D784" t="s">
        <v>654</v>
      </c>
      <c r="E784" t="s">
        <v>660</v>
      </c>
    </row>
    <row r="785" spans="1:5" x14ac:dyDescent="0.3">
      <c r="A785" t="s">
        <v>659</v>
      </c>
      <c r="B785" s="4">
        <v>42753</v>
      </c>
      <c r="C785" t="s">
        <v>452</v>
      </c>
      <c r="D785" t="s">
        <v>654</v>
      </c>
      <c r="E785" t="s">
        <v>488</v>
      </c>
    </row>
    <row r="786" spans="1:5" x14ac:dyDescent="0.3">
      <c r="A786" t="s">
        <v>658</v>
      </c>
      <c r="B786" s="4">
        <v>42753</v>
      </c>
      <c r="C786" t="s">
        <v>452</v>
      </c>
      <c r="D786" t="s">
        <v>654</v>
      </c>
      <c r="E786" t="s">
        <v>653</v>
      </c>
    </row>
    <row r="787" spans="1:5" x14ac:dyDescent="0.3">
      <c r="A787" t="s">
        <v>657</v>
      </c>
      <c r="B787" s="4">
        <v>42753</v>
      </c>
      <c r="C787" t="s">
        <v>452</v>
      </c>
      <c r="D787" t="s">
        <v>654</v>
      </c>
      <c r="E787" t="s">
        <v>653</v>
      </c>
    </row>
    <row r="788" spans="1:5" x14ac:dyDescent="0.3">
      <c r="A788" t="s">
        <v>656</v>
      </c>
      <c r="B788" s="4">
        <v>42753</v>
      </c>
      <c r="C788" t="s">
        <v>452</v>
      </c>
      <c r="D788" t="s">
        <v>654</v>
      </c>
      <c r="E788" t="s">
        <v>653</v>
      </c>
    </row>
    <row r="789" spans="1:5" x14ac:dyDescent="0.3">
      <c r="A789" t="s">
        <v>655</v>
      </c>
      <c r="B789" s="4">
        <v>42753</v>
      </c>
      <c r="C789" t="s">
        <v>452</v>
      </c>
      <c r="D789" t="s">
        <v>654</v>
      </c>
      <c r="E789" t="s">
        <v>653</v>
      </c>
    </row>
    <row r="790" spans="1:5" x14ac:dyDescent="0.3">
      <c r="A790" t="s">
        <v>652</v>
      </c>
      <c r="B790" s="4">
        <v>43453</v>
      </c>
      <c r="C790" t="s">
        <v>452</v>
      </c>
      <c r="D790" t="s">
        <v>633</v>
      </c>
      <c r="E790" t="s">
        <v>644</v>
      </c>
    </row>
    <row r="791" spans="1:5" x14ac:dyDescent="0.3">
      <c r="A791" t="s">
        <v>652</v>
      </c>
      <c r="B791" s="4">
        <v>43453</v>
      </c>
      <c r="C791" t="s">
        <v>452</v>
      </c>
      <c r="D791" t="s">
        <v>633</v>
      </c>
      <c r="E791" t="s">
        <v>644</v>
      </c>
    </row>
    <row r="792" spans="1:5" x14ac:dyDescent="0.3">
      <c r="A792" t="s">
        <v>651</v>
      </c>
      <c r="B792" s="4">
        <v>43403</v>
      </c>
      <c r="C792" t="s">
        <v>452</v>
      </c>
      <c r="D792" t="s">
        <v>633</v>
      </c>
      <c r="E792" t="s">
        <v>536</v>
      </c>
    </row>
    <row r="793" spans="1:5" x14ac:dyDescent="0.3">
      <c r="A793" t="s">
        <v>650</v>
      </c>
      <c r="B793" s="4">
        <v>43403</v>
      </c>
      <c r="C793" t="s">
        <v>452</v>
      </c>
      <c r="D793" t="s">
        <v>633</v>
      </c>
      <c r="E793" t="s">
        <v>536</v>
      </c>
    </row>
    <row r="794" spans="1:5" x14ac:dyDescent="0.3">
      <c r="A794" t="s">
        <v>649</v>
      </c>
      <c r="B794" s="4">
        <v>43403</v>
      </c>
      <c r="C794" t="s">
        <v>452</v>
      </c>
      <c r="D794" t="s">
        <v>633</v>
      </c>
      <c r="E794" t="s">
        <v>536</v>
      </c>
    </row>
    <row r="795" spans="1:5" x14ac:dyDescent="0.3">
      <c r="A795" t="s">
        <v>648</v>
      </c>
      <c r="B795" s="4">
        <v>43402</v>
      </c>
      <c r="C795" t="s">
        <v>452</v>
      </c>
      <c r="D795" t="s">
        <v>633</v>
      </c>
      <c r="E795" t="s">
        <v>536</v>
      </c>
    </row>
    <row r="796" spans="1:5" x14ac:dyDescent="0.3">
      <c r="A796" t="s">
        <v>647</v>
      </c>
      <c r="B796" s="4">
        <v>43315</v>
      </c>
      <c r="C796" t="s">
        <v>452</v>
      </c>
      <c r="D796" t="s">
        <v>633</v>
      </c>
      <c r="E796" t="s">
        <v>536</v>
      </c>
    </row>
    <row r="797" spans="1:5" x14ac:dyDescent="0.3">
      <c r="A797" t="s">
        <v>646</v>
      </c>
      <c r="B797" s="4">
        <v>43315</v>
      </c>
      <c r="C797" t="s">
        <v>452</v>
      </c>
      <c r="D797" t="s">
        <v>633</v>
      </c>
      <c r="E797" t="s">
        <v>644</v>
      </c>
    </row>
    <row r="798" spans="1:5" x14ac:dyDescent="0.3">
      <c r="A798" t="s">
        <v>645</v>
      </c>
      <c r="B798" s="4">
        <v>43315</v>
      </c>
      <c r="C798" t="s">
        <v>452</v>
      </c>
      <c r="D798" t="s">
        <v>633</v>
      </c>
      <c r="E798" t="s">
        <v>644</v>
      </c>
    </row>
    <row r="799" spans="1:5" x14ac:dyDescent="0.3">
      <c r="A799" t="s">
        <v>645</v>
      </c>
      <c r="B799" s="4">
        <v>43315</v>
      </c>
      <c r="C799" t="s">
        <v>452</v>
      </c>
      <c r="D799" t="s">
        <v>633</v>
      </c>
      <c r="E799" t="s">
        <v>644</v>
      </c>
    </row>
    <row r="800" spans="1:5" x14ac:dyDescent="0.3">
      <c r="A800" t="s">
        <v>643</v>
      </c>
      <c r="B800" s="4">
        <v>43313</v>
      </c>
      <c r="C800" t="s">
        <v>452</v>
      </c>
      <c r="D800" t="s">
        <v>633</v>
      </c>
      <c r="E800" t="s">
        <v>488</v>
      </c>
    </row>
    <row r="801" spans="1:5" x14ac:dyDescent="0.3">
      <c r="A801" t="s">
        <v>642</v>
      </c>
      <c r="B801" s="4">
        <v>43297</v>
      </c>
      <c r="C801" t="s">
        <v>452</v>
      </c>
      <c r="D801" t="s">
        <v>633</v>
      </c>
      <c r="E801" t="s">
        <v>640</v>
      </c>
    </row>
    <row r="802" spans="1:5" x14ac:dyDescent="0.3">
      <c r="A802" t="s">
        <v>641</v>
      </c>
      <c r="B802" s="4">
        <v>43297</v>
      </c>
      <c r="C802" t="s">
        <v>452</v>
      </c>
      <c r="D802" t="s">
        <v>633</v>
      </c>
      <c r="E802" t="s">
        <v>640</v>
      </c>
    </row>
    <row r="803" spans="1:5" x14ac:dyDescent="0.3">
      <c r="A803" t="s">
        <v>639</v>
      </c>
      <c r="B803" s="4">
        <v>43111</v>
      </c>
      <c r="C803" t="s">
        <v>452</v>
      </c>
      <c r="D803" t="s">
        <v>633</v>
      </c>
      <c r="E803" t="s">
        <v>536</v>
      </c>
    </row>
    <row r="804" spans="1:5" x14ac:dyDescent="0.3">
      <c r="A804" t="s">
        <v>638</v>
      </c>
      <c r="B804" s="4">
        <v>43111</v>
      </c>
      <c r="C804" t="s">
        <v>452</v>
      </c>
      <c r="D804" t="s">
        <v>633</v>
      </c>
      <c r="E804" t="s">
        <v>536</v>
      </c>
    </row>
    <row r="805" spans="1:5" x14ac:dyDescent="0.3">
      <c r="A805" t="s">
        <v>637</v>
      </c>
      <c r="B805" s="4">
        <v>43111</v>
      </c>
      <c r="C805" t="s">
        <v>452</v>
      </c>
      <c r="D805" t="s">
        <v>633</v>
      </c>
      <c r="E805" t="s">
        <v>536</v>
      </c>
    </row>
    <row r="806" spans="1:5" x14ac:dyDescent="0.3">
      <c r="A806" t="s">
        <v>636</v>
      </c>
      <c r="B806" s="4">
        <v>43111</v>
      </c>
      <c r="C806" t="s">
        <v>452</v>
      </c>
      <c r="D806" t="s">
        <v>633</v>
      </c>
      <c r="E806" t="s">
        <v>536</v>
      </c>
    </row>
    <row r="807" spans="1:5" x14ac:dyDescent="0.3">
      <c r="A807" t="s">
        <v>635</v>
      </c>
      <c r="B807" s="4">
        <v>43111</v>
      </c>
      <c r="C807" t="s">
        <v>452</v>
      </c>
      <c r="D807" t="s">
        <v>633</v>
      </c>
      <c r="E807" t="s">
        <v>536</v>
      </c>
    </row>
    <row r="808" spans="1:5" x14ac:dyDescent="0.3">
      <c r="A808" t="s">
        <v>634</v>
      </c>
      <c r="B808" s="4">
        <v>43111</v>
      </c>
      <c r="C808" t="s">
        <v>452</v>
      </c>
      <c r="D808" t="s">
        <v>633</v>
      </c>
      <c r="E808" t="s">
        <v>536</v>
      </c>
    </row>
    <row r="809" spans="1:5" x14ac:dyDescent="0.3">
      <c r="A809" t="s">
        <v>632</v>
      </c>
      <c r="B809" s="4">
        <v>44064</v>
      </c>
      <c r="C809" t="s">
        <v>452</v>
      </c>
      <c r="D809" t="s">
        <v>607</v>
      </c>
      <c r="E809" t="s">
        <v>488</v>
      </c>
    </row>
    <row r="810" spans="1:5" x14ac:dyDescent="0.3">
      <c r="A810" t="s">
        <v>631</v>
      </c>
      <c r="B810" s="4">
        <v>44057</v>
      </c>
      <c r="C810" t="s">
        <v>452</v>
      </c>
      <c r="D810" t="s">
        <v>607</v>
      </c>
      <c r="E810" t="s">
        <v>629</v>
      </c>
    </row>
    <row r="811" spans="1:5" x14ac:dyDescent="0.3">
      <c r="A811" t="s">
        <v>630</v>
      </c>
      <c r="B811" s="4">
        <v>44057</v>
      </c>
      <c r="C811" t="s">
        <v>452</v>
      </c>
      <c r="D811" t="s">
        <v>607</v>
      </c>
      <c r="E811" t="s">
        <v>629</v>
      </c>
    </row>
    <row r="812" spans="1:5" x14ac:dyDescent="0.3">
      <c r="A812" t="s">
        <v>628</v>
      </c>
      <c r="B812" s="4">
        <v>44039</v>
      </c>
      <c r="C812" t="s">
        <v>452</v>
      </c>
      <c r="D812" t="s">
        <v>607</v>
      </c>
      <c r="E812" t="s">
        <v>536</v>
      </c>
    </row>
    <row r="813" spans="1:5" x14ac:dyDescent="0.3">
      <c r="A813" t="s">
        <v>627</v>
      </c>
      <c r="B813" s="4">
        <v>44035</v>
      </c>
      <c r="C813" t="s">
        <v>452</v>
      </c>
      <c r="D813" t="s">
        <v>607</v>
      </c>
      <c r="E813" t="s">
        <v>536</v>
      </c>
    </row>
    <row r="814" spans="1:5" x14ac:dyDescent="0.3">
      <c r="A814" t="s">
        <v>627</v>
      </c>
      <c r="B814" s="4">
        <v>44035</v>
      </c>
      <c r="C814" t="s">
        <v>452</v>
      </c>
      <c r="D814" t="s">
        <v>607</v>
      </c>
      <c r="E814" t="s">
        <v>536</v>
      </c>
    </row>
    <row r="815" spans="1:5" x14ac:dyDescent="0.3">
      <c r="A815" t="s">
        <v>627</v>
      </c>
      <c r="B815" s="4">
        <v>44035</v>
      </c>
      <c r="C815" t="s">
        <v>452</v>
      </c>
      <c r="D815" t="s">
        <v>607</v>
      </c>
      <c r="E815" t="s">
        <v>536</v>
      </c>
    </row>
    <row r="816" spans="1:5" x14ac:dyDescent="0.3">
      <c r="A816" t="s">
        <v>627</v>
      </c>
      <c r="B816" s="4">
        <v>44035</v>
      </c>
      <c r="C816" t="s">
        <v>452</v>
      </c>
      <c r="D816" t="s">
        <v>607</v>
      </c>
      <c r="E816" t="s">
        <v>536</v>
      </c>
    </row>
    <row r="817" spans="1:5" x14ac:dyDescent="0.3">
      <c r="A817" t="s">
        <v>627</v>
      </c>
      <c r="B817" s="4">
        <v>44035</v>
      </c>
      <c r="C817" t="s">
        <v>452</v>
      </c>
      <c r="D817" t="s">
        <v>607</v>
      </c>
      <c r="E817" t="s">
        <v>536</v>
      </c>
    </row>
    <row r="818" spans="1:5" x14ac:dyDescent="0.3">
      <c r="A818" t="s">
        <v>627</v>
      </c>
      <c r="B818" s="4">
        <v>44035</v>
      </c>
      <c r="C818" t="s">
        <v>452</v>
      </c>
      <c r="D818" t="s">
        <v>607</v>
      </c>
      <c r="E818" t="s">
        <v>536</v>
      </c>
    </row>
    <row r="819" spans="1:5" x14ac:dyDescent="0.3">
      <c r="A819" t="s">
        <v>627</v>
      </c>
      <c r="B819" s="4">
        <v>44035</v>
      </c>
      <c r="C819" t="s">
        <v>452</v>
      </c>
      <c r="D819" t="s">
        <v>607</v>
      </c>
      <c r="E819" t="s">
        <v>536</v>
      </c>
    </row>
    <row r="820" spans="1:5" x14ac:dyDescent="0.3">
      <c r="A820" t="s">
        <v>627</v>
      </c>
      <c r="B820" s="4">
        <v>44035</v>
      </c>
      <c r="C820" t="s">
        <v>452</v>
      </c>
      <c r="D820" t="s">
        <v>607</v>
      </c>
      <c r="E820" t="s">
        <v>536</v>
      </c>
    </row>
    <row r="821" spans="1:5" x14ac:dyDescent="0.3">
      <c r="A821" t="s">
        <v>627</v>
      </c>
      <c r="B821" s="4">
        <v>44035</v>
      </c>
      <c r="C821" t="s">
        <v>452</v>
      </c>
      <c r="D821" t="s">
        <v>607</v>
      </c>
      <c r="E821" t="s">
        <v>536</v>
      </c>
    </row>
    <row r="822" spans="1:5" x14ac:dyDescent="0.3">
      <c r="A822" t="s">
        <v>626</v>
      </c>
      <c r="B822" s="4">
        <v>43938</v>
      </c>
      <c r="C822" t="s">
        <v>452</v>
      </c>
      <c r="D822" t="s">
        <v>607</v>
      </c>
      <c r="E822" t="s">
        <v>625</v>
      </c>
    </row>
    <row r="823" spans="1:5" x14ac:dyDescent="0.3">
      <c r="A823" t="s">
        <v>624</v>
      </c>
      <c r="B823" s="4">
        <v>43938</v>
      </c>
      <c r="C823" t="s">
        <v>452</v>
      </c>
      <c r="D823" t="s">
        <v>607</v>
      </c>
      <c r="E823" t="s">
        <v>488</v>
      </c>
    </row>
    <row r="824" spans="1:5" x14ac:dyDescent="0.3">
      <c r="A824" t="s">
        <v>623</v>
      </c>
      <c r="B824" s="4">
        <v>43938</v>
      </c>
      <c r="C824" t="s">
        <v>452</v>
      </c>
      <c r="D824" t="s">
        <v>607</v>
      </c>
      <c r="E824" t="s">
        <v>536</v>
      </c>
    </row>
    <row r="825" spans="1:5" x14ac:dyDescent="0.3">
      <c r="A825" t="s">
        <v>622</v>
      </c>
      <c r="B825" s="4">
        <v>43938</v>
      </c>
      <c r="C825" t="s">
        <v>452</v>
      </c>
      <c r="D825" t="s">
        <v>607</v>
      </c>
      <c r="E825" t="s">
        <v>488</v>
      </c>
    </row>
    <row r="826" spans="1:5" x14ac:dyDescent="0.3">
      <c r="A826" t="s">
        <v>621</v>
      </c>
      <c r="B826" s="4">
        <v>43936</v>
      </c>
      <c r="C826" t="s">
        <v>452</v>
      </c>
      <c r="D826" t="s">
        <v>607</v>
      </c>
      <c r="E826" t="s">
        <v>536</v>
      </c>
    </row>
    <row r="827" spans="1:5" x14ac:dyDescent="0.3">
      <c r="A827" t="s">
        <v>620</v>
      </c>
      <c r="B827" s="4">
        <v>43936</v>
      </c>
      <c r="C827" t="s">
        <v>452</v>
      </c>
      <c r="D827" t="s">
        <v>607</v>
      </c>
      <c r="E827" t="s">
        <v>488</v>
      </c>
    </row>
    <row r="828" spans="1:5" x14ac:dyDescent="0.3">
      <c r="A828" t="s">
        <v>619</v>
      </c>
      <c r="B828" s="4">
        <v>43896</v>
      </c>
      <c r="C828" t="s">
        <v>452</v>
      </c>
      <c r="D828" t="s">
        <v>607</v>
      </c>
      <c r="E828" t="s">
        <v>488</v>
      </c>
    </row>
    <row r="829" spans="1:5" x14ac:dyDescent="0.3">
      <c r="A829" t="s">
        <v>618</v>
      </c>
      <c r="B829" s="4">
        <v>43896</v>
      </c>
      <c r="C829" t="s">
        <v>452</v>
      </c>
      <c r="D829" t="s">
        <v>607</v>
      </c>
      <c r="E829" t="s">
        <v>488</v>
      </c>
    </row>
    <row r="830" spans="1:5" x14ac:dyDescent="0.3">
      <c r="A830" t="s">
        <v>617</v>
      </c>
      <c r="B830" s="4">
        <v>43893</v>
      </c>
      <c r="C830" t="s">
        <v>452</v>
      </c>
      <c r="D830" t="s">
        <v>607</v>
      </c>
      <c r="E830" t="s">
        <v>612</v>
      </c>
    </row>
    <row r="831" spans="1:5" x14ac:dyDescent="0.3">
      <c r="A831" t="s">
        <v>616</v>
      </c>
      <c r="B831" s="4">
        <v>43893</v>
      </c>
      <c r="C831" t="s">
        <v>452</v>
      </c>
      <c r="D831" t="s">
        <v>607</v>
      </c>
      <c r="E831" t="s">
        <v>612</v>
      </c>
    </row>
    <row r="832" spans="1:5" x14ac:dyDescent="0.3">
      <c r="A832" t="s">
        <v>615</v>
      </c>
      <c r="B832" s="4">
        <v>43893</v>
      </c>
      <c r="C832" t="s">
        <v>452</v>
      </c>
      <c r="D832" t="s">
        <v>607</v>
      </c>
      <c r="E832" t="s">
        <v>536</v>
      </c>
    </row>
    <row r="833" spans="1:5" x14ac:dyDescent="0.3">
      <c r="A833" t="s">
        <v>614</v>
      </c>
      <c r="B833" s="4">
        <v>43893</v>
      </c>
      <c r="C833" t="s">
        <v>452</v>
      </c>
      <c r="D833" t="s">
        <v>607</v>
      </c>
      <c r="E833" t="s">
        <v>612</v>
      </c>
    </row>
    <row r="834" spans="1:5" x14ac:dyDescent="0.3">
      <c r="A834" t="s">
        <v>613</v>
      </c>
      <c r="B834" s="4">
        <v>43889</v>
      </c>
      <c r="C834" t="s">
        <v>452</v>
      </c>
      <c r="D834" t="s">
        <v>607</v>
      </c>
      <c r="E834" t="s">
        <v>612</v>
      </c>
    </row>
    <row r="835" spans="1:5" x14ac:dyDescent="0.3">
      <c r="A835" t="s">
        <v>611</v>
      </c>
      <c r="B835" s="4">
        <v>43887</v>
      </c>
      <c r="C835" t="s">
        <v>452</v>
      </c>
      <c r="D835" t="s">
        <v>607</v>
      </c>
      <c r="E835" t="s">
        <v>536</v>
      </c>
    </row>
    <row r="836" spans="1:5" x14ac:dyDescent="0.3">
      <c r="A836" t="s">
        <v>610</v>
      </c>
      <c r="B836" s="4">
        <v>43887</v>
      </c>
      <c r="C836" t="s">
        <v>452</v>
      </c>
      <c r="D836" t="s">
        <v>607</v>
      </c>
      <c r="E836" t="s">
        <v>488</v>
      </c>
    </row>
    <row r="837" spans="1:5" x14ac:dyDescent="0.3">
      <c r="A837" t="s">
        <v>609</v>
      </c>
      <c r="B837" s="4">
        <v>43883</v>
      </c>
      <c r="C837" t="s">
        <v>452</v>
      </c>
      <c r="D837" t="s">
        <v>607</v>
      </c>
      <c r="E837" t="s">
        <v>536</v>
      </c>
    </row>
    <row r="838" spans="1:5" x14ac:dyDescent="0.3">
      <c r="A838" t="s">
        <v>608</v>
      </c>
      <c r="B838" s="4">
        <v>43883</v>
      </c>
      <c r="C838" t="s">
        <v>452</v>
      </c>
      <c r="D838" t="s">
        <v>607</v>
      </c>
      <c r="E838" t="s">
        <v>536</v>
      </c>
    </row>
    <row r="839" spans="1:5" x14ac:dyDescent="0.3">
      <c r="A839" t="s">
        <v>606</v>
      </c>
      <c r="B839" s="4">
        <v>43491</v>
      </c>
      <c r="C839" t="s">
        <v>452</v>
      </c>
      <c r="D839" t="s">
        <v>571</v>
      </c>
      <c r="E839" t="s">
        <v>605</v>
      </c>
    </row>
    <row r="840" spans="1:5" x14ac:dyDescent="0.3">
      <c r="A840" t="s">
        <v>604</v>
      </c>
      <c r="B840" s="4">
        <v>43489</v>
      </c>
      <c r="C840" t="s">
        <v>452</v>
      </c>
      <c r="D840" t="s">
        <v>571</v>
      </c>
      <c r="E840" t="s">
        <v>488</v>
      </c>
    </row>
    <row r="841" spans="1:5" x14ac:dyDescent="0.3">
      <c r="A841" t="s">
        <v>603</v>
      </c>
      <c r="B841" s="4">
        <v>43489</v>
      </c>
      <c r="C841" t="s">
        <v>452</v>
      </c>
      <c r="D841" t="s">
        <v>571</v>
      </c>
      <c r="E841" t="s">
        <v>574</v>
      </c>
    </row>
    <row r="842" spans="1:5" x14ac:dyDescent="0.3">
      <c r="A842" t="s">
        <v>602</v>
      </c>
      <c r="B842" s="4">
        <v>43489</v>
      </c>
      <c r="C842" t="s">
        <v>452</v>
      </c>
      <c r="D842" t="s">
        <v>571</v>
      </c>
      <c r="E842" t="s">
        <v>488</v>
      </c>
    </row>
    <row r="843" spans="1:5" x14ac:dyDescent="0.3">
      <c r="A843" t="s">
        <v>601</v>
      </c>
      <c r="B843" s="4">
        <v>43489</v>
      </c>
      <c r="C843" t="s">
        <v>452</v>
      </c>
      <c r="D843" t="s">
        <v>571</v>
      </c>
      <c r="E843" t="s">
        <v>488</v>
      </c>
    </row>
    <row r="844" spans="1:5" x14ac:dyDescent="0.3">
      <c r="A844" t="s">
        <v>600</v>
      </c>
      <c r="B844" s="4">
        <v>43488</v>
      </c>
      <c r="C844" t="s">
        <v>452</v>
      </c>
      <c r="D844" t="s">
        <v>571</v>
      </c>
      <c r="E844" t="s">
        <v>488</v>
      </c>
    </row>
    <row r="845" spans="1:5" x14ac:dyDescent="0.3">
      <c r="A845" t="s">
        <v>599</v>
      </c>
      <c r="B845" s="4">
        <v>43488</v>
      </c>
      <c r="C845" t="s">
        <v>452</v>
      </c>
      <c r="D845" t="s">
        <v>571</v>
      </c>
      <c r="E845" t="s">
        <v>574</v>
      </c>
    </row>
    <row r="846" spans="1:5" x14ac:dyDescent="0.3">
      <c r="A846" t="s">
        <v>598</v>
      </c>
      <c r="B846" s="4">
        <v>43488</v>
      </c>
      <c r="C846" t="s">
        <v>452</v>
      </c>
      <c r="D846" t="s">
        <v>571</v>
      </c>
      <c r="E846" t="s">
        <v>574</v>
      </c>
    </row>
    <row r="847" spans="1:5" x14ac:dyDescent="0.3">
      <c r="A847" t="s">
        <v>597</v>
      </c>
      <c r="B847" s="4">
        <v>43488</v>
      </c>
      <c r="C847" t="s">
        <v>452</v>
      </c>
      <c r="D847" t="s">
        <v>571</v>
      </c>
      <c r="E847" t="s">
        <v>596</v>
      </c>
    </row>
    <row r="848" spans="1:5" x14ac:dyDescent="0.3">
      <c r="A848" t="s">
        <v>595</v>
      </c>
      <c r="B848" s="4">
        <v>43488</v>
      </c>
      <c r="C848" t="s">
        <v>452</v>
      </c>
      <c r="D848" t="s">
        <v>571</v>
      </c>
      <c r="E848" t="s">
        <v>488</v>
      </c>
    </row>
    <row r="849" spans="1:5" x14ac:dyDescent="0.3">
      <c r="A849" t="s">
        <v>594</v>
      </c>
      <c r="B849" s="4">
        <v>43488</v>
      </c>
      <c r="C849" t="s">
        <v>452</v>
      </c>
      <c r="D849" t="s">
        <v>571</v>
      </c>
      <c r="E849" t="s">
        <v>593</v>
      </c>
    </row>
    <row r="850" spans="1:5" x14ac:dyDescent="0.3">
      <c r="A850" t="s">
        <v>592</v>
      </c>
      <c r="B850" s="4">
        <v>43487</v>
      </c>
      <c r="C850" t="s">
        <v>452</v>
      </c>
      <c r="D850" t="s">
        <v>571</v>
      </c>
      <c r="E850" t="s">
        <v>574</v>
      </c>
    </row>
    <row r="851" spans="1:5" x14ac:dyDescent="0.3">
      <c r="A851" t="s">
        <v>591</v>
      </c>
      <c r="B851" s="4">
        <v>43487</v>
      </c>
      <c r="C851" t="s">
        <v>452</v>
      </c>
      <c r="D851" t="s">
        <v>571</v>
      </c>
      <c r="E851" t="s">
        <v>488</v>
      </c>
    </row>
    <row r="852" spans="1:5" x14ac:dyDescent="0.3">
      <c r="A852" t="s">
        <v>590</v>
      </c>
      <c r="B852" s="4">
        <v>43487</v>
      </c>
      <c r="C852" t="s">
        <v>452</v>
      </c>
      <c r="D852" t="s">
        <v>571</v>
      </c>
      <c r="E852" t="s">
        <v>488</v>
      </c>
    </row>
    <row r="853" spans="1:5" x14ac:dyDescent="0.3">
      <c r="A853" t="s">
        <v>589</v>
      </c>
      <c r="B853" s="4">
        <v>43487</v>
      </c>
      <c r="C853" t="s">
        <v>452</v>
      </c>
      <c r="D853" t="s">
        <v>571</v>
      </c>
      <c r="E853" t="s">
        <v>488</v>
      </c>
    </row>
    <row r="854" spans="1:5" x14ac:dyDescent="0.3">
      <c r="A854" t="s">
        <v>588</v>
      </c>
      <c r="B854" s="4">
        <v>43487</v>
      </c>
      <c r="C854" t="s">
        <v>452</v>
      </c>
      <c r="D854" t="s">
        <v>571</v>
      </c>
      <c r="E854" t="s">
        <v>488</v>
      </c>
    </row>
    <row r="855" spans="1:5" x14ac:dyDescent="0.3">
      <c r="A855" t="s">
        <v>587</v>
      </c>
      <c r="B855" s="4">
        <v>43487</v>
      </c>
      <c r="C855" t="s">
        <v>452</v>
      </c>
      <c r="D855" t="s">
        <v>571</v>
      </c>
      <c r="E855" t="s">
        <v>488</v>
      </c>
    </row>
    <row r="856" spans="1:5" x14ac:dyDescent="0.3">
      <c r="A856" t="s">
        <v>586</v>
      </c>
      <c r="B856" s="4">
        <v>43487</v>
      </c>
      <c r="C856" t="s">
        <v>452</v>
      </c>
      <c r="D856" t="s">
        <v>571</v>
      </c>
      <c r="E856" t="s">
        <v>488</v>
      </c>
    </row>
    <row r="857" spans="1:5" x14ac:dyDescent="0.3">
      <c r="A857" t="s">
        <v>585</v>
      </c>
      <c r="B857" s="4">
        <v>43487</v>
      </c>
      <c r="C857" t="s">
        <v>452</v>
      </c>
      <c r="D857" t="s">
        <v>571</v>
      </c>
      <c r="E857" t="s">
        <v>574</v>
      </c>
    </row>
    <row r="858" spans="1:5" x14ac:dyDescent="0.3">
      <c r="A858" t="s">
        <v>584</v>
      </c>
      <c r="B858" s="4">
        <v>43487</v>
      </c>
      <c r="C858" t="s">
        <v>452</v>
      </c>
      <c r="D858" t="s">
        <v>571</v>
      </c>
      <c r="E858" t="s">
        <v>576</v>
      </c>
    </row>
    <row r="859" spans="1:5" x14ac:dyDescent="0.3">
      <c r="A859" t="s">
        <v>583</v>
      </c>
      <c r="B859" s="4">
        <v>43487</v>
      </c>
      <c r="C859" t="s">
        <v>452</v>
      </c>
      <c r="D859" t="s">
        <v>571</v>
      </c>
      <c r="E859" t="s">
        <v>576</v>
      </c>
    </row>
    <row r="860" spans="1:5" x14ac:dyDescent="0.3">
      <c r="A860" t="s">
        <v>582</v>
      </c>
      <c r="B860" s="4">
        <v>43487</v>
      </c>
      <c r="C860" t="s">
        <v>452</v>
      </c>
      <c r="D860" t="s">
        <v>571</v>
      </c>
      <c r="E860" t="s">
        <v>576</v>
      </c>
    </row>
    <row r="861" spans="1:5" x14ac:dyDescent="0.3">
      <c r="A861" t="s">
        <v>581</v>
      </c>
      <c r="B861" s="4">
        <v>43487</v>
      </c>
      <c r="C861" t="s">
        <v>452</v>
      </c>
      <c r="D861" t="s">
        <v>571</v>
      </c>
      <c r="E861" t="s">
        <v>488</v>
      </c>
    </row>
    <row r="862" spans="1:5" x14ac:dyDescent="0.3">
      <c r="A862" t="s">
        <v>580</v>
      </c>
      <c r="B862" s="4">
        <v>43487</v>
      </c>
      <c r="C862" t="s">
        <v>452</v>
      </c>
      <c r="D862" t="s">
        <v>571</v>
      </c>
      <c r="E862" t="s">
        <v>488</v>
      </c>
    </row>
    <row r="863" spans="1:5" x14ac:dyDescent="0.3">
      <c r="A863" t="s">
        <v>579</v>
      </c>
      <c r="B863" s="4">
        <v>43487</v>
      </c>
      <c r="C863" t="s">
        <v>452</v>
      </c>
      <c r="D863" t="s">
        <v>571</v>
      </c>
      <c r="E863" t="s">
        <v>574</v>
      </c>
    </row>
    <row r="864" spans="1:5" x14ac:dyDescent="0.3">
      <c r="A864" t="s">
        <v>578</v>
      </c>
      <c r="B864" s="4">
        <v>43487</v>
      </c>
      <c r="C864" t="s">
        <v>452</v>
      </c>
      <c r="D864" t="s">
        <v>571</v>
      </c>
      <c r="E864" t="s">
        <v>488</v>
      </c>
    </row>
    <row r="865" spans="1:5" x14ac:dyDescent="0.3">
      <c r="A865" t="s">
        <v>577</v>
      </c>
      <c r="B865" s="4">
        <v>43487</v>
      </c>
      <c r="C865" t="s">
        <v>452</v>
      </c>
      <c r="D865" t="s">
        <v>571</v>
      </c>
      <c r="E865" t="s">
        <v>576</v>
      </c>
    </row>
    <row r="866" spans="1:5" x14ac:dyDescent="0.3">
      <c r="A866" t="s">
        <v>575</v>
      </c>
      <c r="B866" s="4">
        <v>43487</v>
      </c>
      <c r="C866" t="s">
        <v>452</v>
      </c>
      <c r="D866" t="s">
        <v>571</v>
      </c>
      <c r="E866" t="s">
        <v>574</v>
      </c>
    </row>
    <row r="867" spans="1:5" x14ac:dyDescent="0.3">
      <c r="A867" t="s">
        <v>573</v>
      </c>
      <c r="B867" s="4">
        <v>43487</v>
      </c>
      <c r="C867" t="s">
        <v>452</v>
      </c>
      <c r="D867" t="s">
        <v>571</v>
      </c>
      <c r="E867" t="s">
        <v>488</v>
      </c>
    </row>
    <row r="868" spans="1:5" x14ac:dyDescent="0.3">
      <c r="A868" t="s">
        <v>572</v>
      </c>
      <c r="B868" s="4">
        <v>43487</v>
      </c>
      <c r="C868" t="s">
        <v>452</v>
      </c>
      <c r="D868" t="s">
        <v>571</v>
      </c>
      <c r="E868" t="s">
        <v>488</v>
      </c>
    </row>
    <row r="869" spans="1:5" x14ac:dyDescent="0.3">
      <c r="A869" t="s">
        <v>570</v>
      </c>
      <c r="B869" s="4">
        <v>43250</v>
      </c>
      <c r="C869" t="s">
        <v>452</v>
      </c>
      <c r="D869" t="s">
        <v>539</v>
      </c>
      <c r="E869" t="s">
        <v>536</v>
      </c>
    </row>
    <row r="870" spans="1:5" x14ac:dyDescent="0.3">
      <c r="A870" t="s">
        <v>569</v>
      </c>
      <c r="B870" s="4">
        <v>43243</v>
      </c>
      <c r="C870" t="s">
        <v>452</v>
      </c>
      <c r="D870" t="s">
        <v>539</v>
      </c>
      <c r="E870" t="s">
        <v>488</v>
      </c>
    </row>
    <row r="871" spans="1:5" x14ac:dyDescent="0.3">
      <c r="A871" t="s">
        <v>568</v>
      </c>
      <c r="B871" s="4">
        <v>43243</v>
      </c>
      <c r="C871" t="s">
        <v>452</v>
      </c>
      <c r="D871" t="s">
        <v>539</v>
      </c>
      <c r="E871" t="s">
        <v>538</v>
      </c>
    </row>
    <row r="872" spans="1:5" x14ac:dyDescent="0.3">
      <c r="A872" t="s">
        <v>567</v>
      </c>
      <c r="B872" s="4">
        <v>43243</v>
      </c>
      <c r="C872" t="s">
        <v>452</v>
      </c>
      <c r="D872" t="s">
        <v>539</v>
      </c>
      <c r="E872" t="s">
        <v>538</v>
      </c>
    </row>
    <row r="873" spans="1:5" x14ac:dyDescent="0.3">
      <c r="A873" t="s">
        <v>566</v>
      </c>
      <c r="B873" s="4">
        <v>43243</v>
      </c>
      <c r="C873" t="s">
        <v>452</v>
      </c>
      <c r="D873" t="s">
        <v>539</v>
      </c>
      <c r="E873" t="s">
        <v>488</v>
      </c>
    </row>
    <row r="874" spans="1:5" x14ac:dyDescent="0.3">
      <c r="A874" t="s">
        <v>565</v>
      </c>
      <c r="B874" s="4">
        <v>43243</v>
      </c>
      <c r="C874" t="s">
        <v>452</v>
      </c>
      <c r="D874" t="s">
        <v>539</v>
      </c>
      <c r="E874" t="s">
        <v>560</v>
      </c>
    </row>
    <row r="875" spans="1:5" x14ac:dyDescent="0.3">
      <c r="A875" t="s">
        <v>564</v>
      </c>
      <c r="B875" s="4">
        <v>43243</v>
      </c>
      <c r="C875" t="s">
        <v>452</v>
      </c>
      <c r="D875" t="s">
        <v>539</v>
      </c>
      <c r="E875" t="s">
        <v>538</v>
      </c>
    </row>
    <row r="876" spans="1:5" x14ac:dyDescent="0.3">
      <c r="A876" t="s">
        <v>563</v>
      </c>
      <c r="B876" s="4">
        <v>43243</v>
      </c>
      <c r="C876" t="s">
        <v>452</v>
      </c>
      <c r="D876" t="s">
        <v>539</v>
      </c>
      <c r="E876" t="s">
        <v>538</v>
      </c>
    </row>
    <row r="877" spans="1:5" x14ac:dyDescent="0.3">
      <c r="A877" t="s">
        <v>562</v>
      </c>
      <c r="B877" s="4">
        <v>43243</v>
      </c>
      <c r="C877" t="s">
        <v>452</v>
      </c>
      <c r="D877" t="s">
        <v>539</v>
      </c>
      <c r="E877" t="s">
        <v>488</v>
      </c>
    </row>
    <row r="878" spans="1:5" x14ac:dyDescent="0.3">
      <c r="A878" t="s">
        <v>561</v>
      </c>
      <c r="B878" s="4">
        <v>43242</v>
      </c>
      <c r="C878" t="s">
        <v>452</v>
      </c>
      <c r="D878" t="s">
        <v>539</v>
      </c>
      <c r="E878" t="s">
        <v>560</v>
      </c>
    </row>
    <row r="879" spans="1:5" x14ac:dyDescent="0.3">
      <c r="A879" t="s">
        <v>559</v>
      </c>
      <c r="B879" s="4">
        <v>43240</v>
      </c>
      <c r="C879" t="s">
        <v>452</v>
      </c>
      <c r="D879" t="s">
        <v>539</v>
      </c>
      <c r="E879" t="s">
        <v>538</v>
      </c>
    </row>
    <row r="880" spans="1:5" x14ac:dyDescent="0.3">
      <c r="A880" t="s">
        <v>558</v>
      </c>
      <c r="B880" s="4">
        <v>43240</v>
      </c>
      <c r="C880" t="s">
        <v>452</v>
      </c>
      <c r="D880" t="s">
        <v>539</v>
      </c>
      <c r="E880" t="s">
        <v>538</v>
      </c>
    </row>
    <row r="881" spans="1:5" x14ac:dyDescent="0.3">
      <c r="A881" t="s">
        <v>557</v>
      </c>
      <c r="B881" s="4">
        <v>43240</v>
      </c>
      <c r="C881" t="s">
        <v>452</v>
      </c>
      <c r="D881" t="s">
        <v>539</v>
      </c>
      <c r="E881" t="s">
        <v>488</v>
      </c>
    </row>
    <row r="882" spans="1:5" x14ac:dyDescent="0.3">
      <c r="A882" t="s">
        <v>556</v>
      </c>
      <c r="B882" s="4">
        <v>43240</v>
      </c>
      <c r="C882" t="s">
        <v>452</v>
      </c>
      <c r="D882" t="s">
        <v>539</v>
      </c>
      <c r="E882" t="s">
        <v>538</v>
      </c>
    </row>
    <row r="883" spans="1:5" x14ac:dyDescent="0.3">
      <c r="A883" t="s">
        <v>555</v>
      </c>
      <c r="B883" s="4">
        <v>43240</v>
      </c>
      <c r="C883" t="s">
        <v>452</v>
      </c>
      <c r="D883" t="s">
        <v>539</v>
      </c>
      <c r="E883" t="s">
        <v>538</v>
      </c>
    </row>
    <row r="884" spans="1:5" x14ac:dyDescent="0.3">
      <c r="A884" t="s">
        <v>554</v>
      </c>
      <c r="B884" s="4">
        <v>43240</v>
      </c>
      <c r="C884" t="s">
        <v>452</v>
      </c>
      <c r="D884" t="s">
        <v>539</v>
      </c>
      <c r="E884" t="s">
        <v>538</v>
      </c>
    </row>
    <row r="885" spans="1:5" x14ac:dyDescent="0.3">
      <c r="A885" t="s">
        <v>553</v>
      </c>
      <c r="B885" s="4">
        <v>43240</v>
      </c>
      <c r="C885" t="s">
        <v>452</v>
      </c>
      <c r="D885" t="s">
        <v>539</v>
      </c>
      <c r="E885" t="s">
        <v>538</v>
      </c>
    </row>
    <row r="886" spans="1:5" x14ac:dyDescent="0.3">
      <c r="A886" t="s">
        <v>552</v>
      </c>
      <c r="B886" s="4">
        <v>43240</v>
      </c>
      <c r="C886" t="s">
        <v>452</v>
      </c>
      <c r="D886" t="s">
        <v>539</v>
      </c>
      <c r="E886" t="s">
        <v>488</v>
      </c>
    </row>
    <row r="887" spans="1:5" x14ac:dyDescent="0.3">
      <c r="A887" t="s">
        <v>551</v>
      </c>
      <c r="B887" s="4">
        <v>43240</v>
      </c>
      <c r="C887" t="s">
        <v>452</v>
      </c>
      <c r="D887" t="s">
        <v>539</v>
      </c>
      <c r="E887" t="s">
        <v>538</v>
      </c>
    </row>
    <row r="888" spans="1:5" x14ac:dyDescent="0.3">
      <c r="A888" t="s">
        <v>550</v>
      </c>
      <c r="B888" s="4">
        <v>43240</v>
      </c>
      <c r="C888" t="s">
        <v>452</v>
      </c>
      <c r="D888" t="s">
        <v>539</v>
      </c>
      <c r="E888" t="s">
        <v>488</v>
      </c>
    </row>
    <row r="889" spans="1:5" x14ac:dyDescent="0.3">
      <c r="A889" t="s">
        <v>549</v>
      </c>
      <c r="B889" s="4">
        <v>43240</v>
      </c>
      <c r="C889" t="s">
        <v>452</v>
      </c>
      <c r="D889" t="s">
        <v>539</v>
      </c>
      <c r="E889" t="s">
        <v>538</v>
      </c>
    </row>
    <row r="890" spans="1:5" x14ac:dyDescent="0.3">
      <c r="A890" t="s">
        <v>548</v>
      </c>
      <c r="B890" s="4">
        <v>43235</v>
      </c>
      <c r="C890" t="s">
        <v>452</v>
      </c>
      <c r="D890" t="s">
        <v>539</v>
      </c>
      <c r="E890" t="s">
        <v>488</v>
      </c>
    </row>
    <row r="891" spans="1:5" x14ac:dyDescent="0.3">
      <c r="A891" t="s">
        <v>547</v>
      </c>
      <c r="B891" s="4">
        <v>43235</v>
      </c>
      <c r="C891" t="s">
        <v>452</v>
      </c>
      <c r="D891" t="s">
        <v>539</v>
      </c>
      <c r="E891" t="s">
        <v>488</v>
      </c>
    </row>
    <row r="892" spans="1:5" x14ac:dyDescent="0.3">
      <c r="A892" t="s">
        <v>546</v>
      </c>
      <c r="B892" s="4">
        <v>43210</v>
      </c>
      <c r="C892" t="s">
        <v>452</v>
      </c>
      <c r="D892" t="s">
        <v>539</v>
      </c>
      <c r="E892" t="s">
        <v>538</v>
      </c>
    </row>
    <row r="893" spans="1:5" x14ac:dyDescent="0.3">
      <c r="A893" t="s">
        <v>545</v>
      </c>
      <c r="B893" s="4">
        <v>43210</v>
      </c>
      <c r="C893" t="s">
        <v>452</v>
      </c>
      <c r="D893" t="s">
        <v>539</v>
      </c>
      <c r="E893" t="s">
        <v>538</v>
      </c>
    </row>
    <row r="894" spans="1:5" x14ac:dyDescent="0.3">
      <c r="A894" t="s">
        <v>544</v>
      </c>
      <c r="B894" s="4">
        <v>43210</v>
      </c>
      <c r="C894" t="s">
        <v>452</v>
      </c>
      <c r="D894" t="s">
        <v>539</v>
      </c>
      <c r="E894" t="s">
        <v>538</v>
      </c>
    </row>
    <row r="895" spans="1:5" x14ac:dyDescent="0.3">
      <c r="A895" t="s">
        <v>543</v>
      </c>
      <c r="B895" s="4">
        <v>43210</v>
      </c>
      <c r="C895" t="s">
        <v>452</v>
      </c>
      <c r="D895" t="s">
        <v>539</v>
      </c>
      <c r="E895" t="s">
        <v>488</v>
      </c>
    </row>
    <row r="896" spans="1:5" x14ac:dyDescent="0.3">
      <c r="A896" t="s">
        <v>542</v>
      </c>
      <c r="B896" s="4">
        <v>43210</v>
      </c>
      <c r="C896" t="s">
        <v>452</v>
      </c>
      <c r="D896" t="s">
        <v>539</v>
      </c>
      <c r="E896" t="s">
        <v>538</v>
      </c>
    </row>
    <row r="897" spans="1:5" x14ac:dyDescent="0.3">
      <c r="A897" t="s">
        <v>541</v>
      </c>
      <c r="B897" s="4">
        <v>43210</v>
      </c>
      <c r="C897" t="s">
        <v>452</v>
      </c>
      <c r="D897" t="s">
        <v>539</v>
      </c>
      <c r="E897" t="s">
        <v>488</v>
      </c>
    </row>
    <row r="898" spans="1:5" x14ac:dyDescent="0.3">
      <c r="A898" t="s">
        <v>540</v>
      </c>
      <c r="B898" s="4">
        <v>43210</v>
      </c>
      <c r="C898" t="s">
        <v>452</v>
      </c>
      <c r="D898" t="s">
        <v>539</v>
      </c>
      <c r="E898" t="s">
        <v>538</v>
      </c>
    </row>
    <row r="899" spans="1:5" x14ac:dyDescent="0.3">
      <c r="A899" t="s">
        <v>537</v>
      </c>
      <c r="B899" s="4">
        <v>44035</v>
      </c>
      <c r="C899" t="s">
        <v>452</v>
      </c>
      <c r="D899" t="s">
        <v>504</v>
      </c>
      <c r="E899" t="s">
        <v>536</v>
      </c>
    </row>
    <row r="900" spans="1:5" x14ac:dyDescent="0.3">
      <c r="A900" t="s">
        <v>535</v>
      </c>
      <c r="B900" s="4">
        <v>43949</v>
      </c>
      <c r="C900" t="s">
        <v>452</v>
      </c>
      <c r="D900" t="s">
        <v>504</v>
      </c>
      <c r="E900" t="s">
        <v>488</v>
      </c>
    </row>
    <row r="901" spans="1:5" x14ac:dyDescent="0.3">
      <c r="A901" t="s">
        <v>534</v>
      </c>
      <c r="B901" s="4">
        <v>43949</v>
      </c>
      <c r="C901" t="s">
        <v>452</v>
      </c>
      <c r="D901" t="s">
        <v>504</v>
      </c>
      <c r="E901" t="s">
        <v>532</v>
      </c>
    </row>
    <row r="902" spans="1:5" x14ac:dyDescent="0.3">
      <c r="A902" t="s">
        <v>533</v>
      </c>
      <c r="B902" s="4">
        <v>43949</v>
      </c>
      <c r="C902" t="s">
        <v>452</v>
      </c>
      <c r="D902" t="s">
        <v>504</v>
      </c>
      <c r="E902" t="s">
        <v>532</v>
      </c>
    </row>
    <row r="903" spans="1:5" x14ac:dyDescent="0.3">
      <c r="A903" t="s">
        <v>531</v>
      </c>
      <c r="B903" s="4">
        <v>43888</v>
      </c>
      <c r="C903" t="s">
        <v>452</v>
      </c>
      <c r="D903" t="s">
        <v>504</v>
      </c>
      <c r="E903" t="s">
        <v>518</v>
      </c>
    </row>
    <row r="904" spans="1:5" x14ac:dyDescent="0.3">
      <c r="A904" t="s">
        <v>530</v>
      </c>
      <c r="B904" s="4">
        <v>43888</v>
      </c>
      <c r="C904" t="s">
        <v>452</v>
      </c>
      <c r="D904" t="s">
        <v>504</v>
      </c>
      <c r="E904" t="s">
        <v>518</v>
      </c>
    </row>
    <row r="905" spans="1:5" x14ac:dyDescent="0.3">
      <c r="A905" t="s">
        <v>529</v>
      </c>
      <c r="B905" s="4">
        <v>43874</v>
      </c>
      <c r="C905" t="s">
        <v>452</v>
      </c>
      <c r="D905" t="s">
        <v>504</v>
      </c>
      <c r="E905" t="s">
        <v>503</v>
      </c>
    </row>
    <row r="906" spans="1:5" x14ac:dyDescent="0.3">
      <c r="A906" t="s">
        <v>528</v>
      </c>
      <c r="B906" s="4">
        <v>43874</v>
      </c>
      <c r="C906" t="s">
        <v>452</v>
      </c>
      <c r="D906" t="s">
        <v>504</v>
      </c>
      <c r="E906" t="s">
        <v>503</v>
      </c>
    </row>
    <row r="907" spans="1:5" x14ac:dyDescent="0.3">
      <c r="A907" t="s">
        <v>527</v>
      </c>
      <c r="B907" s="4">
        <v>43873</v>
      </c>
      <c r="C907" t="s">
        <v>452</v>
      </c>
      <c r="D907" t="s">
        <v>504</v>
      </c>
      <c r="E907" t="s">
        <v>503</v>
      </c>
    </row>
    <row r="908" spans="1:5" x14ac:dyDescent="0.3">
      <c r="A908" t="s">
        <v>526</v>
      </c>
      <c r="B908" s="4">
        <v>43873</v>
      </c>
      <c r="C908" t="s">
        <v>452</v>
      </c>
      <c r="D908" t="s">
        <v>504</v>
      </c>
      <c r="E908" t="s">
        <v>503</v>
      </c>
    </row>
    <row r="909" spans="1:5" x14ac:dyDescent="0.3">
      <c r="A909" t="s">
        <v>525</v>
      </c>
      <c r="B909" s="4">
        <v>43872</v>
      </c>
      <c r="C909" t="s">
        <v>452</v>
      </c>
      <c r="D909" t="s">
        <v>504</v>
      </c>
      <c r="E909" t="s">
        <v>503</v>
      </c>
    </row>
    <row r="910" spans="1:5" x14ac:dyDescent="0.3">
      <c r="A910" t="s">
        <v>524</v>
      </c>
      <c r="B910" s="4">
        <v>43872</v>
      </c>
      <c r="C910" t="s">
        <v>452</v>
      </c>
      <c r="D910" t="s">
        <v>504</v>
      </c>
      <c r="E910" t="s">
        <v>503</v>
      </c>
    </row>
    <row r="911" spans="1:5" x14ac:dyDescent="0.3">
      <c r="A911" t="s">
        <v>523</v>
      </c>
      <c r="B911" s="4">
        <v>43872</v>
      </c>
      <c r="C911" t="s">
        <v>452</v>
      </c>
      <c r="D911" t="s">
        <v>504</v>
      </c>
      <c r="E911" t="s">
        <v>503</v>
      </c>
    </row>
    <row r="912" spans="1:5" x14ac:dyDescent="0.3">
      <c r="A912" t="s">
        <v>522</v>
      </c>
      <c r="B912" s="4">
        <v>43871</v>
      </c>
      <c r="C912" t="s">
        <v>452</v>
      </c>
      <c r="D912" t="s">
        <v>504</v>
      </c>
      <c r="E912" t="s">
        <v>488</v>
      </c>
    </row>
    <row r="913" spans="1:5" x14ac:dyDescent="0.3">
      <c r="A913" t="s">
        <v>521</v>
      </c>
      <c r="B913" s="4">
        <v>43861</v>
      </c>
      <c r="C913" t="s">
        <v>452</v>
      </c>
      <c r="D913" t="s">
        <v>504</v>
      </c>
      <c r="E913" t="s">
        <v>518</v>
      </c>
    </row>
    <row r="914" spans="1:5" x14ac:dyDescent="0.3">
      <c r="A914" t="s">
        <v>520</v>
      </c>
      <c r="B914" s="4">
        <v>43853</v>
      </c>
      <c r="C914" t="s">
        <v>452</v>
      </c>
      <c r="D914" t="s">
        <v>504</v>
      </c>
      <c r="E914" t="s">
        <v>518</v>
      </c>
    </row>
    <row r="915" spans="1:5" x14ac:dyDescent="0.3">
      <c r="A915" t="s">
        <v>519</v>
      </c>
      <c r="B915" s="4">
        <v>43852</v>
      </c>
      <c r="C915" t="s">
        <v>452</v>
      </c>
      <c r="D915" t="s">
        <v>504</v>
      </c>
      <c r="E915" t="s">
        <v>518</v>
      </c>
    </row>
    <row r="916" spans="1:5" x14ac:dyDescent="0.3">
      <c r="A916" t="s">
        <v>517</v>
      </c>
      <c r="B916" s="4">
        <v>43846</v>
      </c>
      <c r="C916" t="s">
        <v>452</v>
      </c>
      <c r="D916" t="s">
        <v>504</v>
      </c>
      <c r="E916" t="s">
        <v>503</v>
      </c>
    </row>
    <row r="917" spans="1:5" x14ac:dyDescent="0.3">
      <c r="A917" t="s">
        <v>516</v>
      </c>
      <c r="B917" s="4">
        <v>43846</v>
      </c>
      <c r="C917" t="s">
        <v>452</v>
      </c>
      <c r="D917" t="s">
        <v>504</v>
      </c>
      <c r="E917" t="s">
        <v>503</v>
      </c>
    </row>
    <row r="918" spans="1:5" x14ac:dyDescent="0.3">
      <c r="A918" t="s">
        <v>515</v>
      </c>
      <c r="B918" s="4">
        <v>43841</v>
      </c>
      <c r="C918" t="s">
        <v>452</v>
      </c>
      <c r="D918" t="s">
        <v>504</v>
      </c>
      <c r="E918" t="s">
        <v>503</v>
      </c>
    </row>
    <row r="919" spans="1:5" x14ac:dyDescent="0.3">
      <c r="A919" t="s">
        <v>514</v>
      </c>
      <c r="B919" s="4">
        <v>43841</v>
      </c>
      <c r="C919" t="s">
        <v>452</v>
      </c>
      <c r="D919" t="s">
        <v>504</v>
      </c>
      <c r="E919" t="s">
        <v>503</v>
      </c>
    </row>
    <row r="920" spans="1:5" x14ac:dyDescent="0.3">
      <c r="A920" t="s">
        <v>513</v>
      </c>
      <c r="B920" s="4">
        <v>43840</v>
      </c>
      <c r="C920" t="s">
        <v>452</v>
      </c>
      <c r="D920" t="s">
        <v>504</v>
      </c>
      <c r="E920" t="s">
        <v>503</v>
      </c>
    </row>
    <row r="921" spans="1:5" x14ac:dyDescent="0.3">
      <c r="A921" t="s">
        <v>512</v>
      </c>
      <c r="B921" s="4">
        <v>43840</v>
      </c>
      <c r="C921" t="s">
        <v>452</v>
      </c>
      <c r="D921" t="s">
        <v>504</v>
      </c>
      <c r="E921" t="s">
        <v>503</v>
      </c>
    </row>
    <row r="922" spans="1:5" x14ac:dyDescent="0.3">
      <c r="A922" t="s">
        <v>511</v>
      </c>
      <c r="B922" s="4">
        <v>43840</v>
      </c>
      <c r="C922" t="s">
        <v>452</v>
      </c>
      <c r="D922" t="s">
        <v>504</v>
      </c>
      <c r="E922" t="s">
        <v>503</v>
      </c>
    </row>
    <row r="923" spans="1:5" x14ac:dyDescent="0.3">
      <c r="A923" t="s">
        <v>510</v>
      </c>
      <c r="B923" s="4">
        <v>43840</v>
      </c>
      <c r="C923" t="s">
        <v>452</v>
      </c>
      <c r="D923" t="s">
        <v>504</v>
      </c>
      <c r="E923" t="s">
        <v>503</v>
      </c>
    </row>
    <row r="924" spans="1:5" x14ac:dyDescent="0.3">
      <c r="A924" t="s">
        <v>509</v>
      </c>
      <c r="B924" s="4">
        <v>43840</v>
      </c>
      <c r="C924" t="s">
        <v>452</v>
      </c>
      <c r="D924" t="s">
        <v>504</v>
      </c>
      <c r="E924" t="s">
        <v>503</v>
      </c>
    </row>
    <row r="925" spans="1:5" x14ac:dyDescent="0.3">
      <c r="A925" t="s">
        <v>508</v>
      </c>
      <c r="B925" s="4">
        <v>43840</v>
      </c>
      <c r="C925" t="s">
        <v>452</v>
      </c>
      <c r="D925" t="s">
        <v>504</v>
      </c>
      <c r="E925" t="s">
        <v>503</v>
      </c>
    </row>
    <row r="926" spans="1:5" x14ac:dyDescent="0.3">
      <c r="A926" t="s">
        <v>507</v>
      </c>
      <c r="B926" s="4">
        <v>43840</v>
      </c>
      <c r="C926" t="s">
        <v>452</v>
      </c>
      <c r="D926" t="s">
        <v>504</v>
      </c>
      <c r="E926" t="s">
        <v>503</v>
      </c>
    </row>
    <row r="927" spans="1:5" x14ac:dyDescent="0.3">
      <c r="A927" t="s">
        <v>506</v>
      </c>
      <c r="B927" s="4">
        <v>43840</v>
      </c>
      <c r="C927" t="s">
        <v>452</v>
      </c>
      <c r="D927" t="s">
        <v>504</v>
      </c>
      <c r="E927" t="s">
        <v>503</v>
      </c>
    </row>
    <row r="928" spans="1:5" x14ac:dyDescent="0.3">
      <c r="A928" t="s">
        <v>505</v>
      </c>
      <c r="B928" s="4">
        <v>43840</v>
      </c>
      <c r="C928" t="s">
        <v>452</v>
      </c>
      <c r="D928" t="s">
        <v>504</v>
      </c>
      <c r="E928" t="s">
        <v>503</v>
      </c>
    </row>
    <row r="929" spans="1:5" x14ac:dyDescent="0.3">
      <c r="A929" t="s">
        <v>502</v>
      </c>
      <c r="B929" s="4">
        <v>44077</v>
      </c>
      <c r="C929" t="s">
        <v>452</v>
      </c>
      <c r="D929" t="s">
        <v>486</v>
      </c>
      <c r="E929" t="s">
        <v>488</v>
      </c>
    </row>
    <row r="930" spans="1:5" x14ac:dyDescent="0.3">
      <c r="A930" t="s">
        <v>501</v>
      </c>
      <c r="B930" s="4">
        <v>44069</v>
      </c>
      <c r="C930" t="s">
        <v>452</v>
      </c>
      <c r="D930" t="s">
        <v>486</v>
      </c>
      <c r="E930" t="s">
        <v>485</v>
      </c>
    </row>
    <row r="931" spans="1:5" x14ac:dyDescent="0.3">
      <c r="A931" t="s">
        <v>500</v>
      </c>
      <c r="B931" s="4">
        <v>44069</v>
      </c>
      <c r="C931" t="s">
        <v>452</v>
      </c>
      <c r="D931" t="s">
        <v>486</v>
      </c>
      <c r="E931" t="s">
        <v>488</v>
      </c>
    </row>
    <row r="932" spans="1:5" x14ac:dyDescent="0.3">
      <c r="A932" t="s">
        <v>499</v>
      </c>
      <c r="B932" s="4">
        <v>44069</v>
      </c>
      <c r="C932" t="s">
        <v>452</v>
      </c>
      <c r="D932" t="s">
        <v>486</v>
      </c>
      <c r="E932" t="s">
        <v>485</v>
      </c>
    </row>
    <row r="933" spans="1:5" x14ac:dyDescent="0.3">
      <c r="A933" t="s">
        <v>498</v>
      </c>
      <c r="B933" s="4">
        <v>44069</v>
      </c>
      <c r="C933" t="s">
        <v>452</v>
      </c>
      <c r="D933" t="s">
        <v>486</v>
      </c>
      <c r="E933" t="s">
        <v>485</v>
      </c>
    </row>
    <row r="934" spans="1:5" x14ac:dyDescent="0.3">
      <c r="A934" t="s">
        <v>497</v>
      </c>
      <c r="B934" s="4">
        <v>44069</v>
      </c>
      <c r="C934" t="s">
        <v>452</v>
      </c>
      <c r="D934" t="s">
        <v>486</v>
      </c>
      <c r="E934" t="s">
        <v>485</v>
      </c>
    </row>
    <row r="935" spans="1:5" x14ac:dyDescent="0.3">
      <c r="A935" t="s">
        <v>496</v>
      </c>
      <c r="B935" s="4">
        <v>44069</v>
      </c>
      <c r="C935" t="s">
        <v>452</v>
      </c>
      <c r="D935" t="s">
        <v>486</v>
      </c>
      <c r="E935" t="s">
        <v>485</v>
      </c>
    </row>
    <row r="936" spans="1:5" x14ac:dyDescent="0.3">
      <c r="A936" t="s">
        <v>495</v>
      </c>
      <c r="B936" s="4">
        <v>44069</v>
      </c>
      <c r="C936" t="s">
        <v>452</v>
      </c>
      <c r="D936" t="s">
        <v>486</v>
      </c>
      <c r="E936" t="s">
        <v>485</v>
      </c>
    </row>
    <row r="937" spans="1:5" x14ac:dyDescent="0.3">
      <c r="A937" t="s">
        <v>494</v>
      </c>
      <c r="B937" s="4">
        <v>44069</v>
      </c>
      <c r="C937" t="s">
        <v>452</v>
      </c>
      <c r="D937" t="s">
        <v>486</v>
      </c>
      <c r="E937" t="s">
        <v>485</v>
      </c>
    </row>
    <row r="938" spans="1:5" x14ac:dyDescent="0.3">
      <c r="A938" t="s">
        <v>493</v>
      </c>
      <c r="B938" s="4">
        <v>44069</v>
      </c>
      <c r="C938" t="s">
        <v>452</v>
      </c>
      <c r="D938" t="s">
        <v>486</v>
      </c>
      <c r="E938" t="s">
        <v>485</v>
      </c>
    </row>
    <row r="939" spans="1:5" x14ac:dyDescent="0.3">
      <c r="A939" t="s">
        <v>492</v>
      </c>
      <c r="B939" s="4">
        <v>44069</v>
      </c>
      <c r="C939" t="s">
        <v>452</v>
      </c>
      <c r="D939" t="s">
        <v>486</v>
      </c>
      <c r="E939" t="s">
        <v>485</v>
      </c>
    </row>
    <row r="940" spans="1:5" x14ac:dyDescent="0.3">
      <c r="A940" t="s">
        <v>491</v>
      </c>
      <c r="B940" s="4">
        <v>44069</v>
      </c>
      <c r="C940" t="s">
        <v>452</v>
      </c>
      <c r="D940" t="s">
        <v>486</v>
      </c>
      <c r="E940" t="s">
        <v>485</v>
      </c>
    </row>
    <row r="941" spans="1:5" x14ac:dyDescent="0.3">
      <c r="A941" t="s">
        <v>490</v>
      </c>
      <c r="B941" s="4">
        <v>44069</v>
      </c>
      <c r="C941" t="s">
        <v>452</v>
      </c>
      <c r="D941" t="s">
        <v>486</v>
      </c>
      <c r="E941" t="s">
        <v>485</v>
      </c>
    </row>
    <row r="942" spans="1:5" x14ac:dyDescent="0.3">
      <c r="A942" t="s">
        <v>489</v>
      </c>
      <c r="B942" s="4">
        <v>44069</v>
      </c>
      <c r="C942" t="s">
        <v>452</v>
      </c>
      <c r="D942" t="s">
        <v>486</v>
      </c>
      <c r="E942" t="s">
        <v>488</v>
      </c>
    </row>
    <row r="943" spans="1:5" x14ac:dyDescent="0.3">
      <c r="A943" t="s">
        <v>487</v>
      </c>
      <c r="B943" s="4">
        <v>44069</v>
      </c>
      <c r="C943" t="s">
        <v>452</v>
      </c>
      <c r="D943" t="s">
        <v>486</v>
      </c>
      <c r="E943" t="s">
        <v>485</v>
      </c>
    </row>
    <row r="944" spans="1:5" x14ac:dyDescent="0.3">
      <c r="A944" t="s">
        <v>484</v>
      </c>
      <c r="B944" s="4">
        <v>43608</v>
      </c>
      <c r="C944" t="s">
        <v>452</v>
      </c>
      <c r="D944" t="s">
        <v>451</v>
      </c>
      <c r="E944" t="s">
        <v>458</v>
      </c>
    </row>
    <row r="945" spans="1:5" x14ac:dyDescent="0.3">
      <c r="A945" t="s">
        <v>483</v>
      </c>
      <c r="B945" s="4">
        <v>43608</v>
      </c>
      <c r="C945" t="s">
        <v>452</v>
      </c>
      <c r="D945" t="s">
        <v>451</v>
      </c>
      <c r="E945" t="s">
        <v>466</v>
      </c>
    </row>
    <row r="946" spans="1:5" x14ac:dyDescent="0.3">
      <c r="A946" t="s">
        <v>482</v>
      </c>
      <c r="B946" s="4">
        <v>43608</v>
      </c>
      <c r="C946" t="s">
        <v>452</v>
      </c>
      <c r="D946" t="s">
        <v>451</v>
      </c>
      <c r="E946" t="s">
        <v>466</v>
      </c>
    </row>
    <row r="947" spans="1:5" x14ac:dyDescent="0.3">
      <c r="A947" t="s">
        <v>481</v>
      </c>
      <c r="B947" s="4">
        <v>43607</v>
      </c>
      <c r="C947" t="s">
        <v>452</v>
      </c>
      <c r="D947" t="s">
        <v>451</v>
      </c>
      <c r="E947" t="s">
        <v>458</v>
      </c>
    </row>
    <row r="948" spans="1:5" x14ac:dyDescent="0.3">
      <c r="A948" t="s">
        <v>480</v>
      </c>
      <c r="B948" s="4">
        <v>43607</v>
      </c>
      <c r="C948" t="s">
        <v>452</v>
      </c>
      <c r="D948" t="s">
        <v>451</v>
      </c>
      <c r="E948" t="s">
        <v>458</v>
      </c>
    </row>
    <row r="949" spans="1:5" x14ac:dyDescent="0.3">
      <c r="A949" t="s">
        <v>479</v>
      </c>
      <c r="B949" s="4">
        <v>43606</v>
      </c>
      <c r="C949" t="s">
        <v>452</v>
      </c>
      <c r="D949" t="s">
        <v>451</v>
      </c>
      <c r="E949" t="s">
        <v>450</v>
      </c>
    </row>
    <row r="950" spans="1:5" x14ac:dyDescent="0.3">
      <c r="A950" t="s">
        <v>478</v>
      </c>
      <c r="B950" s="4">
        <v>43605</v>
      </c>
      <c r="C950" t="s">
        <v>452</v>
      </c>
      <c r="D950" t="s">
        <v>451</v>
      </c>
      <c r="E950" t="s">
        <v>450</v>
      </c>
    </row>
    <row r="951" spans="1:5" x14ac:dyDescent="0.3">
      <c r="A951" t="s">
        <v>477</v>
      </c>
      <c r="B951" s="4">
        <v>43605</v>
      </c>
      <c r="C951" t="s">
        <v>452</v>
      </c>
      <c r="D951" t="s">
        <v>451</v>
      </c>
      <c r="E951" t="s">
        <v>458</v>
      </c>
    </row>
    <row r="952" spans="1:5" x14ac:dyDescent="0.3">
      <c r="A952" t="s">
        <v>476</v>
      </c>
      <c r="B952" s="4">
        <v>43605</v>
      </c>
      <c r="C952" t="s">
        <v>452</v>
      </c>
      <c r="D952" t="s">
        <v>451</v>
      </c>
      <c r="E952" t="s">
        <v>450</v>
      </c>
    </row>
    <row r="953" spans="1:5" x14ac:dyDescent="0.3">
      <c r="A953" t="s">
        <v>475</v>
      </c>
      <c r="B953" s="4">
        <v>43605</v>
      </c>
      <c r="C953" t="s">
        <v>452</v>
      </c>
      <c r="D953" t="s">
        <v>451</v>
      </c>
      <c r="E953" t="s">
        <v>458</v>
      </c>
    </row>
    <row r="954" spans="1:5" x14ac:dyDescent="0.3">
      <c r="A954" t="s">
        <v>474</v>
      </c>
      <c r="B954" s="4">
        <v>43605</v>
      </c>
      <c r="C954" t="s">
        <v>452</v>
      </c>
      <c r="D954" t="s">
        <v>451</v>
      </c>
      <c r="E954" t="s">
        <v>458</v>
      </c>
    </row>
    <row r="955" spans="1:5" x14ac:dyDescent="0.3">
      <c r="A955" t="s">
        <v>473</v>
      </c>
      <c r="B955" s="4">
        <v>43605</v>
      </c>
      <c r="C955" t="s">
        <v>452</v>
      </c>
      <c r="D955" t="s">
        <v>451</v>
      </c>
      <c r="E955" t="s">
        <v>458</v>
      </c>
    </row>
    <row r="956" spans="1:5" x14ac:dyDescent="0.3">
      <c r="A956" t="s">
        <v>472</v>
      </c>
      <c r="B956" s="4">
        <v>43604</v>
      </c>
      <c r="C956" t="s">
        <v>452</v>
      </c>
      <c r="D956" t="s">
        <v>451</v>
      </c>
      <c r="E956" t="s">
        <v>458</v>
      </c>
    </row>
    <row r="957" spans="1:5" x14ac:dyDescent="0.3">
      <c r="A957" t="s">
        <v>471</v>
      </c>
      <c r="B957" s="4">
        <v>43603</v>
      </c>
      <c r="C957" t="s">
        <v>452</v>
      </c>
      <c r="D957" t="s">
        <v>451</v>
      </c>
      <c r="E957" t="s">
        <v>458</v>
      </c>
    </row>
    <row r="958" spans="1:5" x14ac:dyDescent="0.3">
      <c r="A958" t="s">
        <v>470</v>
      </c>
      <c r="B958" s="4">
        <v>43603</v>
      </c>
      <c r="C958" t="s">
        <v>452</v>
      </c>
      <c r="D958" t="s">
        <v>451</v>
      </c>
      <c r="E958" t="s">
        <v>458</v>
      </c>
    </row>
    <row r="959" spans="1:5" x14ac:dyDescent="0.3">
      <c r="A959" t="s">
        <v>469</v>
      </c>
      <c r="B959" s="4">
        <v>43603</v>
      </c>
      <c r="C959" t="s">
        <v>452</v>
      </c>
      <c r="D959" t="s">
        <v>451</v>
      </c>
      <c r="E959" t="s">
        <v>458</v>
      </c>
    </row>
    <row r="960" spans="1:5" x14ac:dyDescent="0.3">
      <c r="A960" t="s">
        <v>468</v>
      </c>
      <c r="B960" s="4">
        <v>43602</v>
      </c>
      <c r="C960" t="s">
        <v>452</v>
      </c>
      <c r="D960" t="s">
        <v>451</v>
      </c>
      <c r="E960" t="s">
        <v>458</v>
      </c>
    </row>
    <row r="961" spans="1:5" x14ac:dyDescent="0.3">
      <c r="A961" t="s">
        <v>467</v>
      </c>
      <c r="B961" s="4">
        <v>43602</v>
      </c>
      <c r="C961" t="s">
        <v>452</v>
      </c>
      <c r="D961" t="s">
        <v>451</v>
      </c>
      <c r="E961" t="s">
        <v>466</v>
      </c>
    </row>
    <row r="962" spans="1:5" x14ac:dyDescent="0.3">
      <c r="A962" t="s">
        <v>465</v>
      </c>
      <c r="B962" s="4">
        <v>43602</v>
      </c>
      <c r="C962" t="s">
        <v>452</v>
      </c>
      <c r="D962" t="s">
        <v>451</v>
      </c>
      <c r="E962" t="s">
        <v>458</v>
      </c>
    </row>
    <row r="963" spans="1:5" x14ac:dyDescent="0.3">
      <c r="A963" t="s">
        <v>464</v>
      </c>
      <c r="B963" s="4">
        <v>43602</v>
      </c>
      <c r="C963" t="s">
        <v>452</v>
      </c>
      <c r="D963" t="s">
        <v>451</v>
      </c>
      <c r="E963" t="s">
        <v>450</v>
      </c>
    </row>
    <row r="964" spans="1:5" x14ac:dyDescent="0.3">
      <c r="A964" t="s">
        <v>463</v>
      </c>
      <c r="B964" s="4">
        <v>43602</v>
      </c>
      <c r="C964" t="s">
        <v>452</v>
      </c>
      <c r="D964" t="s">
        <v>451</v>
      </c>
      <c r="E964" t="s">
        <v>458</v>
      </c>
    </row>
    <row r="965" spans="1:5" x14ac:dyDescent="0.3">
      <c r="A965" t="s">
        <v>462</v>
      </c>
      <c r="B965" s="4">
        <v>43602</v>
      </c>
      <c r="C965" t="s">
        <v>452</v>
      </c>
      <c r="D965" t="s">
        <v>451</v>
      </c>
      <c r="E965" t="s">
        <v>458</v>
      </c>
    </row>
    <row r="966" spans="1:5" x14ac:dyDescent="0.3">
      <c r="A966" t="s">
        <v>461</v>
      </c>
      <c r="B966" s="4">
        <v>43602</v>
      </c>
      <c r="C966" t="s">
        <v>452</v>
      </c>
      <c r="D966" t="s">
        <v>451</v>
      </c>
      <c r="E966" t="s">
        <v>450</v>
      </c>
    </row>
    <row r="967" spans="1:5" x14ac:dyDescent="0.3">
      <c r="A967" t="s">
        <v>460</v>
      </c>
      <c r="B967" s="4">
        <v>43602</v>
      </c>
      <c r="C967" t="s">
        <v>452</v>
      </c>
      <c r="D967" t="s">
        <v>451</v>
      </c>
      <c r="E967" t="s">
        <v>450</v>
      </c>
    </row>
    <row r="968" spans="1:5" x14ac:dyDescent="0.3">
      <c r="A968" t="s">
        <v>459</v>
      </c>
      <c r="B968" s="4">
        <v>43601</v>
      </c>
      <c r="C968" t="s">
        <v>452</v>
      </c>
      <c r="D968" t="s">
        <v>451</v>
      </c>
      <c r="E968" t="s">
        <v>458</v>
      </c>
    </row>
    <row r="969" spans="1:5" x14ac:dyDescent="0.3">
      <c r="A969" t="s">
        <v>457</v>
      </c>
      <c r="B969" s="4">
        <v>43601</v>
      </c>
      <c r="C969" t="s">
        <v>452</v>
      </c>
      <c r="D969" t="s">
        <v>451</v>
      </c>
      <c r="E969" t="s">
        <v>450</v>
      </c>
    </row>
    <row r="970" spans="1:5" x14ac:dyDescent="0.3">
      <c r="A970" t="s">
        <v>456</v>
      </c>
      <c r="B970" s="4">
        <v>43601</v>
      </c>
      <c r="C970" t="s">
        <v>452</v>
      </c>
      <c r="D970" t="s">
        <v>451</v>
      </c>
      <c r="E970" t="s">
        <v>450</v>
      </c>
    </row>
    <row r="971" spans="1:5" x14ac:dyDescent="0.3">
      <c r="A971" t="s">
        <v>455</v>
      </c>
      <c r="B971" s="4">
        <v>43601</v>
      </c>
      <c r="C971" t="s">
        <v>452</v>
      </c>
      <c r="D971" t="s">
        <v>451</v>
      </c>
      <c r="E971" t="s">
        <v>450</v>
      </c>
    </row>
    <row r="972" spans="1:5" x14ac:dyDescent="0.3">
      <c r="A972" t="s">
        <v>454</v>
      </c>
      <c r="B972" s="4">
        <v>43601</v>
      </c>
      <c r="C972" t="s">
        <v>452</v>
      </c>
      <c r="D972" t="s">
        <v>451</v>
      </c>
      <c r="E972" t="s">
        <v>450</v>
      </c>
    </row>
    <row r="973" spans="1:5" x14ac:dyDescent="0.3">
      <c r="A973" t="s">
        <v>453</v>
      </c>
      <c r="B973" s="4">
        <v>43600</v>
      </c>
      <c r="C973" t="s">
        <v>452</v>
      </c>
      <c r="D973" t="s">
        <v>451</v>
      </c>
      <c r="E973" t="s">
        <v>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defi_score</vt:lpstr>
      <vt:lpstr>tvl_pivot</vt:lpstr>
      <vt:lpstr>commits_pivot</vt:lpstr>
      <vt:lpstr>users_pivot</vt:lpstr>
      <vt:lpstr>unique_address_data</vt:lpstr>
      <vt:lpstr>tvl_data</vt:lpstr>
      <vt:lpstr>github_data</vt:lpstr>
      <vt:lpstr>user_data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Childress</dc:creator>
  <cp:lastModifiedBy>Aaron Childress</cp:lastModifiedBy>
  <dcterms:created xsi:type="dcterms:W3CDTF">2020-10-13T02:08:01Z</dcterms:created>
  <dcterms:modified xsi:type="dcterms:W3CDTF">2020-10-16T07:09:41Z</dcterms:modified>
</cp:coreProperties>
</file>